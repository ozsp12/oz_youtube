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308351cf5a860c7/github_oz/oz_youtube/videos/"/>
    </mc:Choice>
  </mc:AlternateContent>
  <xr:revisionPtr revIDLastSave="898" documentId="13_ncr:1_{E080B429-C63D-4743-90CA-FFA68B47823D}" xr6:coauthVersionLast="47" xr6:coauthVersionMax="47" xr10:uidLastSave="{80D29B70-62D2-488C-BA45-48DF5415F6A1}"/>
  <bookViews>
    <workbookView xWindow="-98" yWindow="-98" windowWidth="28996" windowHeight="15675" tabRatio="556" activeTab="1" xr2:uid="{00000000-000D-0000-FFFF-FFFF00000000}"/>
  </bookViews>
  <sheets>
    <sheet name="Dashboard" sheetId="1" r:id="rId1"/>
    <sheet name="Matriz" sheetId="11" r:id="rId2"/>
    <sheet name="Periódicos" sheetId="3" r:id="rId3"/>
  </sheets>
  <definedNames>
    <definedName name="_xlnm._FilterDatabase" localSheetId="1" hidden="1">Matriz!$A$1:$AC$48</definedName>
    <definedName name="_xlnm._FilterDatabase" localSheetId="2" hidden="1">Periódicos!$A$1:$N$168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1" l="1"/>
  <c r="C23" i="1"/>
  <c r="B23" i="1"/>
  <c r="E23" i="1" s="1"/>
  <c r="D22" i="1"/>
  <c r="C22" i="1"/>
  <c r="B22" i="1"/>
  <c r="E22" i="1" s="1"/>
  <c r="C21" i="1"/>
  <c r="B21" i="1"/>
  <c r="E21" i="1" s="1"/>
  <c r="D20" i="1"/>
  <c r="C20" i="1"/>
  <c r="B20" i="1"/>
  <c r="E20" i="1" s="1"/>
  <c r="D19" i="1"/>
  <c r="C19" i="1"/>
  <c r="B19" i="1"/>
  <c r="E19" i="1" s="1"/>
  <c r="D18" i="1"/>
  <c r="C18" i="1"/>
  <c r="B18" i="1"/>
  <c r="E18" i="1" s="1"/>
  <c r="D17" i="1"/>
  <c r="C17" i="1"/>
  <c r="B17" i="1"/>
  <c r="E17" i="1" s="1"/>
  <c r="D16" i="1"/>
  <c r="C16" i="1"/>
  <c r="B16" i="1"/>
  <c r="E16" i="1" s="1"/>
  <c r="C15" i="1"/>
  <c r="B15" i="1"/>
  <c r="E15" i="1" s="1"/>
  <c r="D14" i="1"/>
  <c r="C14" i="1"/>
  <c r="B14" i="1"/>
  <c r="E14" i="1" s="1"/>
  <c r="D13" i="1"/>
  <c r="C13" i="1"/>
  <c r="B13" i="1"/>
  <c r="E12" i="1"/>
  <c r="C12" i="1"/>
  <c r="B12" i="1"/>
  <c r="E44" i="1"/>
  <c r="D12" i="1"/>
  <c r="K8" i="1"/>
  <c r="I8" i="1"/>
  <c r="G8" i="1"/>
  <c r="C8" i="1"/>
  <c r="A8" i="1"/>
  <c r="K5" i="1"/>
  <c r="I5" i="1"/>
  <c r="G5" i="1"/>
  <c r="C5" i="1"/>
  <c r="AK60" i="11"/>
  <c r="AJ60" i="11"/>
  <c r="AI60" i="11"/>
  <c r="AK59" i="11"/>
  <c r="AJ59" i="11"/>
  <c r="AI59" i="11"/>
  <c r="AK58" i="11"/>
  <c r="AJ58" i="11"/>
  <c r="AI58" i="11"/>
  <c r="AK57" i="11"/>
  <c r="AJ57" i="11"/>
  <c r="AI57" i="11"/>
  <c r="AK56" i="11"/>
  <c r="AJ56" i="11"/>
  <c r="AI56" i="11"/>
  <c r="AK55" i="11"/>
  <c r="AJ55" i="11"/>
  <c r="AI55" i="11"/>
  <c r="AK54" i="11"/>
  <c r="AJ54" i="11"/>
  <c r="AI54" i="11"/>
  <c r="AK53" i="11"/>
  <c r="AJ53" i="11"/>
  <c r="AI53" i="11"/>
  <c r="AK52" i="11"/>
  <c r="AJ52" i="11"/>
  <c r="AI52" i="11"/>
  <c r="AK51" i="11"/>
  <c r="AJ51" i="11"/>
  <c r="AI51" i="11"/>
  <c r="AK50" i="11"/>
  <c r="AJ50" i="11"/>
  <c r="AI50" i="11"/>
  <c r="AK49" i="11"/>
  <c r="AJ49" i="11"/>
  <c r="AI49" i="11"/>
  <c r="AK48" i="11"/>
  <c r="AJ48" i="11"/>
  <c r="AI48" i="11"/>
  <c r="AK47" i="11"/>
  <c r="AJ47" i="11"/>
  <c r="AI47" i="11"/>
  <c r="AK46" i="11"/>
  <c r="AJ46" i="11"/>
  <c r="AI46" i="11"/>
  <c r="AK45" i="11"/>
  <c r="AJ45" i="11"/>
  <c r="AI45" i="11"/>
  <c r="AK44" i="11"/>
  <c r="AJ44" i="11"/>
  <c r="AI44" i="11"/>
  <c r="AK43" i="11"/>
  <c r="AJ43" i="11"/>
  <c r="AI43" i="11"/>
  <c r="AK42" i="11"/>
  <c r="AJ42" i="11"/>
  <c r="AI42" i="11"/>
  <c r="AK41" i="11"/>
  <c r="AJ41" i="11"/>
  <c r="AI41" i="11"/>
  <c r="AK40" i="11"/>
  <c r="AJ40" i="11"/>
  <c r="AI40" i="11"/>
  <c r="AK39" i="11"/>
  <c r="AJ39" i="11"/>
  <c r="AI39" i="11"/>
  <c r="AK38" i="11"/>
  <c r="AJ38" i="11"/>
  <c r="AI38" i="11"/>
  <c r="AK37" i="11"/>
  <c r="AJ37" i="11"/>
  <c r="AI37" i="11"/>
  <c r="AK36" i="11"/>
  <c r="AJ36" i="11"/>
  <c r="AI36" i="11"/>
  <c r="AK35" i="11"/>
  <c r="AK34" i="11"/>
  <c r="AJ34" i="11"/>
  <c r="AI34" i="11"/>
  <c r="AK33" i="11"/>
  <c r="AJ33" i="11"/>
  <c r="AI33" i="11"/>
  <c r="AK32" i="11"/>
  <c r="AJ32" i="11"/>
  <c r="AI32" i="11"/>
  <c r="AK31" i="11"/>
  <c r="AJ31" i="11"/>
  <c r="AI31" i="11"/>
  <c r="AK30" i="11"/>
  <c r="AJ30" i="11"/>
  <c r="AI30" i="11"/>
  <c r="AK29" i="11"/>
  <c r="AJ29" i="11"/>
  <c r="AI29" i="11"/>
  <c r="AK28" i="11"/>
  <c r="AJ28" i="11"/>
  <c r="AI28" i="11"/>
  <c r="AK27" i="11"/>
  <c r="AJ27" i="11"/>
  <c r="AI27" i="11"/>
  <c r="AK26" i="11"/>
  <c r="AJ26" i="11"/>
  <c r="AI26" i="11"/>
  <c r="AK25" i="11"/>
  <c r="AJ25" i="11"/>
  <c r="AI25" i="11"/>
  <c r="AK24" i="11"/>
  <c r="AJ24" i="11"/>
  <c r="AI24" i="11"/>
  <c r="AK23" i="11"/>
  <c r="AJ23" i="11"/>
  <c r="AI23" i="11"/>
  <c r="AK22" i="11"/>
  <c r="AJ22" i="11"/>
  <c r="AI22" i="11"/>
  <c r="AK21" i="11"/>
  <c r="AJ21" i="11"/>
  <c r="AI21" i="11"/>
  <c r="AK20" i="11"/>
  <c r="AJ20" i="11"/>
  <c r="AI20" i="11"/>
  <c r="AK19" i="11"/>
  <c r="AJ19" i="11"/>
  <c r="AI19" i="11"/>
  <c r="AK18" i="11"/>
  <c r="AJ18" i="11"/>
  <c r="AI18" i="11"/>
  <c r="AK17" i="11"/>
  <c r="AJ17" i="11"/>
  <c r="AI17" i="11"/>
  <c r="AK16" i="11"/>
  <c r="AK15" i="11"/>
  <c r="AJ15" i="11"/>
  <c r="AI15" i="11"/>
  <c r="AK14" i="11"/>
  <c r="AK13" i="11"/>
  <c r="AJ13" i="11"/>
  <c r="AI13" i="11"/>
  <c r="AK12" i="11"/>
  <c r="AJ12" i="11"/>
  <c r="AI12" i="11"/>
  <c r="AK11" i="11"/>
  <c r="AJ11" i="11"/>
  <c r="AI11" i="11"/>
  <c r="AK10" i="11"/>
  <c r="AJ10" i="11"/>
  <c r="AI10" i="11"/>
  <c r="AK9" i="11"/>
  <c r="AJ9" i="11"/>
  <c r="AI9" i="11"/>
  <c r="AK8" i="11"/>
  <c r="AJ8" i="11"/>
  <c r="AI8" i="11"/>
  <c r="AK7" i="11"/>
  <c r="AJ7" i="11"/>
  <c r="AI7" i="11"/>
  <c r="AK6" i="11"/>
  <c r="AJ6" i="11"/>
  <c r="AI6" i="11"/>
  <c r="AK5" i="11"/>
  <c r="AJ5" i="11"/>
  <c r="AI5" i="11"/>
  <c r="AK4" i="11"/>
  <c r="AJ4" i="11"/>
  <c r="AI4" i="11"/>
  <c r="AK3" i="11"/>
  <c r="AJ3" i="11"/>
  <c r="AI3" i="11"/>
  <c r="AK2" i="11"/>
  <c r="AJ2" i="11"/>
  <c r="AI2" i="11"/>
  <c r="E47" i="1"/>
  <c r="E45" i="1"/>
  <c r="E43" i="1"/>
  <c r="K36" i="1"/>
  <c r="K35" i="1"/>
  <c r="K34" i="1"/>
  <c r="K33" i="1"/>
  <c r="K32" i="1"/>
  <c r="K31" i="1"/>
  <c r="K30" i="1"/>
  <c r="K29" i="1"/>
  <c r="K28" i="1"/>
  <c r="F37" i="1"/>
  <c r="E37" i="1"/>
  <c r="G37" i="1" s="1"/>
  <c r="D37" i="1"/>
  <c r="A37" i="1"/>
  <c r="F36" i="1"/>
  <c r="E36" i="1"/>
  <c r="G36" i="1" s="1"/>
  <c r="D36" i="1"/>
  <c r="A36" i="1"/>
  <c r="F35" i="1"/>
  <c r="E35" i="1"/>
  <c r="G35" i="1" s="1"/>
  <c r="D35" i="1"/>
  <c r="A35" i="1"/>
  <c r="F34" i="1"/>
  <c r="E34" i="1"/>
  <c r="G34" i="1" s="1"/>
  <c r="D34" i="1"/>
  <c r="A34" i="1"/>
  <c r="F33" i="1"/>
  <c r="E33" i="1"/>
  <c r="G33" i="1" s="1"/>
  <c r="D33" i="1"/>
  <c r="A33" i="1"/>
  <c r="F32" i="1"/>
  <c r="E32" i="1"/>
  <c r="G32" i="1" s="1"/>
  <c r="D32" i="1"/>
  <c r="A32" i="1"/>
  <c r="F31" i="1"/>
  <c r="E31" i="1"/>
  <c r="G31" i="1" s="1"/>
  <c r="D31" i="1"/>
  <c r="A31" i="1"/>
  <c r="F30" i="1"/>
  <c r="E30" i="1"/>
  <c r="G30" i="1" s="1"/>
  <c r="D30" i="1"/>
  <c r="A30" i="1"/>
  <c r="F29" i="1"/>
  <c r="E29" i="1"/>
  <c r="G29" i="1" s="1"/>
  <c r="D29" i="1"/>
  <c r="A29" i="1"/>
  <c r="G28" i="1"/>
  <c r="F28" i="1"/>
  <c r="E28" i="1"/>
  <c r="D28" i="1"/>
  <c r="A28" i="1"/>
  <c r="J24" i="1"/>
  <c r="H24" i="1"/>
  <c r="I23" i="1"/>
  <c r="H23" i="1"/>
  <c r="J23" i="1" s="1"/>
  <c r="I22" i="1"/>
  <c r="H22" i="1"/>
  <c r="J22" i="1" s="1"/>
  <c r="I21" i="1"/>
  <c r="H21" i="1"/>
  <c r="J21" i="1" s="1"/>
  <c r="I20" i="1"/>
  <c r="H20" i="1"/>
  <c r="J20" i="1" s="1"/>
  <c r="I19" i="1"/>
  <c r="H19" i="1"/>
  <c r="J19" i="1" s="1"/>
  <c r="I18" i="1"/>
  <c r="H18" i="1"/>
  <c r="J18" i="1" s="1"/>
  <c r="I17" i="1"/>
  <c r="H17" i="1"/>
  <c r="J17" i="1" s="1"/>
  <c r="I16" i="1"/>
  <c r="H16" i="1"/>
  <c r="J16" i="1" s="1"/>
  <c r="I15" i="1"/>
  <c r="H15" i="1"/>
  <c r="J15" i="1" s="1"/>
  <c r="I14" i="1"/>
  <c r="H14" i="1"/>
  <c r="J14" i="1" s="1"/>
  <c r="I13" i="1"/>
  <c r="K37" i="1" s="1"/>
  <c r="H13" i="1"/>
  <c r="J13" i="1" s="1"/>
  <c r="J12" i="1"/>
  <c r="I12" i="1"/>
  <c r="H12" i="1"/>
  <c r="A5" i="1"/>
  <c r="AH60" i="11"/>
  <c r="AG60" i="11"/>
  <c r="AF60" i="11"/>
  <c r="AE60" i="11"/>
  <c r="AH59" i="11"/>
  <c r="AG59" i="11"/>
  <c r="AF59" i="11"/>
  <c r="AE59" i="11"/>
  <c r="AH58" i="11"/>
  <c r="AG58" i="11"/>
  <c r="AF58" i="11"/>
  <c r="AE58" i="11"/>
  <c r="AH57" i="11"/>
  <c r="AG57" i="11"/>
  <c r="AF57" i="11"/>
  <c r="AE57" i="11"/>
  <c r="AH56" i="11"/>
  <c r="AG56" i="11"/>
  <c r="AF56" i="11"/>
  <c r="AE56" i="11"/>
  <c r="AH55" i="11"/>
  <c r="AG55" i="11"/>
  <c r="AF55" i="11"/>
  <c r="AE55" i="11"/>
  <c r="AH54" i="11"/>
  <c r="AG54" i="11"/>
  <c r="AF54" i="11"/>
  <c r="AE54" i="11"/>
  <c r="AH53" i="11"/>
  <c r="AG53" i="11"/>
  <c r="AF53" i="11"/>
  <c r="AE53" i="11"/>
  <c r="AH52" i="11"/>
  <c r="AG52" i="11"/>
  <c r="AF52" i="11"/>
  <c r="AE52" i="11"/>
  <c r="AH51" i="11"/>
  <c r="AG51" i="11"/>
  <c r="AF51" i="11"/>
  <c r="AE51" i="11"/>
  <c r="AH50" i="11"/>
  <c r="AG50" i="11"/>
  <c r="AF50" i="11"/>
  <c r="AE50" i="11"/>
  <c r="AH49" i="11"/>
  <c r="AG49" i="11"/>
  <c r="AF49" i="11"/>
  <c r="AE49" i="11"/>
  <c r="AF48" i="11"/>
  <c r="AE48" i="11"/>
  <c r="AG48" i="11" s="1"/>
  <c r="AF47" i="11"/>
  <c r="AE47" i="11"/>
  <c r="AG47" i="11" s="1"/>
  <c r="AF46" i="11"/>
  <c r="AE46" i="11"/>
  <c r="AG46" i="11" s="1"/>
  <c r="AF45" i="11"/>
  <c r="AE45" i="11"/>
  <c r="AG45" i="11" s="1"/>
  <c r="AF44" i="11"/>
  <c r="AE44" i="11"/>
  <c r="AG44" i="11" s="1"/>
  <c r="AF43" i="11"/>
  <c r="AE43" i="11"/>
  <c r="AG43" i="11" s="1"/>
  <c r="AF42" i="11"/>
  <c r="AE42" i="11"/>
  <c r="AG42" i="11" s="1"/>
  <c r="AG41" i="11"/>
  <c r="AF41" i="11"/>
  <c r="AE41" i="11"/>
  <c r="AF40" i="11"/>
  <c r="AE40" i="11"/>
  <c r="AG40" i="11" s="1"/>
  <c r="AF39" i="11"/>
  <c r="AE39" i="11"/>
  <c r="AG39" i="11" s="1"/>
  <c r="AF38" i="11"/>
  <c r="AE38" i="11"/>
  <c r="AG38" i="11" s="1"/>
  <c r="AF37" i="11"/>
  <c r="AE37" i="11"/>
  <c r="AG37" i="11" s="1"/>
  <c r="AF36" i="11"/>
  <c r="AE36" i="11"/>
  <c r="AG36" i="11" s="1"/>
  <c r="AF35" i="11"/>
  <c r="AE35" i="11"/>
  <c r="AG35" i="11" s="1"/>
  <c r="AF34" i="11"/>
  <c r="AE34" i="11"/>
  <c r="AG34" i="11" s="1"/>
  <c r="AF33" i="11"/>
  <c r="AE33" i="11"/>
  <c r="AG33" i="11" s="1"/>
  <c r="AF32" i="11"/>
  <c r="AE32" i="11"/>
  <c r="AG32" i="11" s="1"/>
  <c r="AF31" i="11"/>
  <c r="AE31" i="11"/>
  <c r="AG31" i="11" s="1"/>
  <c r="AF30" i="11"/>
  <c r="AE30" i="11"/>
  <c r="AG30" i="11" s="1"/>
  <c r="AF29" i="11"/>
  <c r="AE29" i="11"/>
  <c r="AG29" i="11" s="1"/>
  <c r="AF28" i="11"/>
  <c r="AE28" i="11"/>
  <c r="AG28" i="11" s="1"/>
  <c r="AF27" i="11"/>
  <c r="AE27" i="11"/>
  <c r="AG27" i="11" s="1"/>
  <c r="AF26" i="11"/>
  <c r="AE26" i="11"/>
  <c r="AG26" i="11" s="1"/>
  <c r="AF25" i="11"/>
  <c r="AE25" i="11"/>
  <c r="AG25" i="11" s="1"/>
  <c r="AF24" i="11"/>
  <c r="AE24" i="11"/>
  <c r="AG24" i="11" s="1"/>
  <c r="AF23" i="11"/>
  <c r="AE23" i="11"/>
  <c r="AG23" i="11" s="1"/>
  <c r="AF22" i="11"/>
  <c r="AE22" i="11"/>
  <c r="AG22" i="11" s="1"/>
  <c r="AF21" i="11"/>
  <c r="AE21" i="11"/>
  <c r="AG21" i="11" s="1"/>
  <c r="AF20" i="11"/>
  <c r="AE20" i="11"/>
  <c r="AG20" i="11" s="1"/>
  <c r="AF19" i="11"/>
  <c r="AE19" i="11"/>
  <c r="AG19" i="11" s="1"/>
  <c r="AF18" i="11"/>
  <c r="AE18" i="11"/>
  <c r="AG18" i="11" s="1"/>
  <c r="AF17" i="11"/>
  <c r="AE17" i="11"/>
  <c r="AG17" i="11" s="1"/>
  <c r="AF16" i="11"/>
  <c r="AE16" i="11"/>
  <c r="AG16" i="11" s="1"/>
  <c r="AF15" i="11"/>
  <c r="AE15" i="11"/>
  <c r="AG15" i="11" s="1"/>
  <c r="AF14" i="11"/>
  <c r="AE14" i="11"/>
  <c r="AG14" i="11" s="1"/>
  <c r="AH14" i="11" s="1"/>
  <c r="AF13" i="11"/>
  <c r="AE13" i="11"/>
  <c r="AG13" i="11" s="1"/>
  <c r="AF12" i="11"/>
  <c r="AE12" i="11"/>
  <c r="AG12" i="11" s="1"/>
  <c r="AF11" i="11"/>
  <c r="AE11" i="11"/>
  <c r="AG11" i="11" s="1"/>
  <c r="AF10" i="11"/>
  <c r="AE10" i="11"/>
  <c r="AG10" i="11" s="1"/>
  <c r="AF9" i="11"/>
  <c r="AE9" i="11"/>
  <c r="AG9" i="11" s="1"/>
  <c r="AF8" i="11"/>
  <c r="AE8" i="11"/>
  <c r="AG8" i="11" s="1"/>
  <c r="AF7" i="11"/>
  <c r="AE7" i="11"/>
  <c r="AG7" i="11" s="1"/>
  <c r="AF6" i="11"/>
  <c r="AE6" i="11"/>
  <c r="AG6" i="11" s="1"/>
  <c r="AG5" i="11"/>
  <c r="AF5" i="11"/>
  <c r="AE5" i="11"/>
  <c r="AF4" i="11"/>
  <c r="AE4" i="11"/>
  <c r="AG4" i="11" s="1"/>
  <c r="AF3" i="11"/>
  <c r="AE3" i="11"/>
  <c r="AG3" i="11" s="1"/>
  <c r="AG2" i="11"/>
  <c r="AF2" i="11"/>
  <c r="AE2" i="11"/>
  <c r="AJ35" i="11" l="1"/>
  <c r="AI35" i="11"/>
  <c r="D21" i="1"/>
  <c r="I24" i="1"/>
  <c r="AJ16" i="11"/>
  <c r="AI16" i="11"/>
  <c r="AI14" i="11"/>
  <c r="AJ14" i="11"/>
  <c r="D15" i="1"/>
  <c r="D24" i="1" s="1"/>
  <c r="E5" i="1"/>
  <c r="E8" i="1"/>
  <c r="E46" i="1"/>
  <c r="C24" i="1"/>
  <c r="B24" i="1"/>
  <c r="E24" i="1" s="1"/>
  <c r="E13" i="1"/>
  <c r="AH2" i="11"/>
  <c r="AH41" i="11"/>
  <c r="AH3" i="11"/>
  <c r="AH46" i="11"/>
  <c r="AH35" i="11"/>
  <c r="AH29" i="11"/>
  <c r="AH25" i="11"/>
  <c r="AH21" i="11"/>
  <c r="AH16" i="11"/>
  <c r="AH9" i="11"/>
  <c r="AH48" i="11"/>
  <c r="AH45" i="11"/>
  <c r="AH43" i="11"/>
  <c r="AH38" i="11"/>
  <c r="AH36" i="11"/>
  <c r="AH32" i="11"/>
  <c r="AH28" i="11"/>
  <c r="AH23" i="11"/>
  <c r="AH20" i="11"/>
  <c r="AH13" i="11"/>
  <c r="AH5" i="11"/>
  <c r="AH47" i="11"/>
  <c r="AH44" i="11"/>
  <c r="AH42" i="11"/>
  <c r="AH37" i="11"/>
  <c r="AH34" i="11"/>
  <c r="AH30" i="11"/>
  <c r="AH26" i="11"/>
  <c r="AH22" i="11"/>
  <c r="AH17" i="11"/>
  <c r="AH11" i="11"/>
  <c r="AH7" i="11"/>
  <c r="AH40" i="11"/>
  <c r="AH33" i="11"/>
  <c r="AH27" i="11"/>
  <c r="AH24" i="11"/>
  <c r="AH19" i="11"/>
  <c r="AH12" i="11"/>
  <c r="AH6" i="11"/>
  <c r="AH39" i="11"/>
  <c r="AH15" i="11"/>
  <c r="AH4" i="11"/>
  <c r="AH31" i="11"/>
  <c r="AH18" i="11"/>
  <c r="AH10" i="11"/>
  <c r="AH8" i="11"/>
  <c r="E41" i="1" l="1"/>
  <c r="E42" i="1"/>
</calcChain>
</file>

<file path=xl/sharedStrings.xml><?xml version="1.0" encoding="utf-8"?>
<sst xmlns="http://schemas.openxmlformats.org/spreadsheetml/2006/main" count="3114" uniqueCount="1114">
  <si>
    <t>Indicador</t>
  </si>
  <si>
    <t>Valor</t>
  </si>
  <si>
    <t>Projetos</t>
  </si>
  <si>
    <t>Saídas</t>
  </si>
  <si>
    <t>Cobertura</t>
  </si>
  <si>
    <t>Links registrados</t>
  </si>
  <si>
    <t>Cobertura geral</t>
  </si>
  <si>
    <t>Links</t>
  </si>
  <si>
    <t>arXiv/SSRN</t>
  </si>
  <si>
    <t>Journal</t>
  </si>
  <si>
    <t>Research Gate</t>
  </si>
  <si>
    <t>YouTube</t>
  </si>
  <si>
    <t>TikTok</t>
  </si>
  <si>
    <t>LinkedIn</t>
  </si>
  <si>
    <t>Newsletter LinkedIn</t>
  </si>
  <si>
    <t>Substack</t>
  </si>
  <si>
    <t>GitHub</t>
  </si>
  <si>
    <t>Oz.io</t>
  </si>
  <si>
    <t>Oz Site</t>
  </si>
  <si>
    <t>Curso</t>
  </si>
  <si>
    <t>ID</t>
  </si>
  <si>
    <t>Descrição</t>
  </si>
  <si>
    <t>https://arxiv.org/abs/2512.00123</t>
  </si>
  <si>
    <t>https://doi.org/10.1590/1806-9126-RBEF-2025-0401</t>
  </si>
  <si>
    <t>https://www.youtube.com/watch?v=uzmDvQQZoGs</t>
  </si>
  <si>
    <t>https://www.tiktok.com/@olsp1982/video/7591487240614858005</t>
  </si>
  <si>
    <t>Experimento de medição da densidade da água</t>
  </si>
  <si>
    <t>https://arxiv.org/abs/2508.02682</t>
  </si>
  <si>
    <t>https://doi.org/10.1590/1806-9126-RBEF-2025-0044</t>
  </si>
  <si>
    <t>https://www.youtube.com/watch?v=fvKghpRJkY8</t>
  </si>
  <si>
    <t>https://www.tiktok.com/@olsp1982/video/7575534029655608583?is_from_webapp=1&amp;sender_device=pc&amp;web_id=7580439068664989205</t>
  </si>
  <si>
    <t>Teoria dos Números</t>
  </si>
  <si>
    <t>Dust content content solutions for the Alcubierre warp drive spacetime.</t>
  </si>
  <si>
    <t>https://arxiv.org/abs/2008.06560</t>
  </si>
  <si>
    <t>https://doi.org/10.1140/epjc/s10052-020-8355-2</t>
  </si>
  <si>
    <t>Fluid dynamics in the warp drive spacetime geometry</t>
  </si>
  <si>
    <t>https://arxiv.org/abs/2101.11467</t>
  </si>
  <si>
    <t>https://doi.org/10.1140/epjc/s10052-021-08921-3</t>
  </si>
  <si>
    <t>Charged dust solutions for the warp drive spacetime</t>
  </si>
  <si>
    <t>https://arxiv.org/abs/2102.05119</t>
  </si>
  <si>
    <t>https://doi.org/10.1007/s10714-021-02799-y</t>
  </si>
  <si>
    <t>Perfect fluid warp drive solutions with the cosmological constant</t>
  </si>
  <si>
    <t>https://arxiv.org/abs/2108.10960v1</t>
  </si>
  <si>
    <t>https://doi.org/10.1140/epjp/s13360-021-01899-7</t>
  </si>
  <si>
    <t>Warp drive dynamic solutions considering different fluid sources</t>
  </si>
  <si>
    <t>https://doi.org/10.1142/9789811269776_0066</t>
  </si>
  <si>
    <t>Matching the Alcubierre and Minkowski spacetimes.</t>
  </si>
  <si>
    <t>https://arxiv.org/abs/2512.12541</t>
  </si>
  <si>
    <t>https://doi.org/10.1140/epjc/s10052-025-15215-5</t>
  </si>
  <si>
    <t>Nome do periódico</t>
  </si>
  <si>
    <t>Sigla</t>
  </si>
  <si>
    <t>Publisher</t>
  </si>
  <si>
    <t>Impact Factor</t>
  </si>
  <si>
    <t>Área</t>
  </si>
  <si>
    <t>Escopo</t>
  </si>
  <si>
    <t>URL</t>
  </si>
  <si>
    <t>Exemplo de artigo</t>
  </si>
  <si>
    <t>Fit com projetos (1–5)</t>
  </si>
  <si>
    <t>APC</t>
  </si>
  <si>
    <t>Open Access</t>
  </si>
  <si>
    <t>Tempo editorial</t>
  </si>
  <si>
    <t>Observações</t>
  </si>
  <si>
    <t>Fonte / referência</t>
  </si>
  <si>
    <t>Action in Teacher Education</t>
  </si>
  <si>
    <t>ATE</t>
  </si>
  <si>
    <t>Association of Teacher Educators(ATE)</t>
  </si>
  <si>
    <t>N/D</t>
  </si>
  <si>
    <t>matemática</t>
  </si>
  <si>
    <t>Designed for a general teacher ed audience, but it does publish mathematics-specific articles. Particularly interested in action research articles.</t>
  </si>
  <si>
    <t>https://ate1.org/ate-publications</t>
  </si>
  <si>
    <t>Consultar política atual</t>
  </si>
  <si>
    <t>Membros/assinatura</t>
  </si>
  <si>
    <t>3–4 meses</t>
  </si>
  <si>
    <t>APC deve ser conferido antes da submissão.</t>
  </si>
  <si>
    <t>https://docs.google.com/spreadsheets/d/1wSi_RMs07HmPMkirnmFInYvAovt0vWFP9lLaMk694Cc/htmlview/sheet?gid=0&amp;headers=true</t>
  </si>
  <si>
    <t>Advances in Theoretical and Mathematical Physics</t>
  </si>
  <si>
    <t>ATMP</t>
  </si>
  <si>
    <t>International Press</t>
  </si>
  <si>
    <t>física</t>
  </si>
  <si>
    <t>Pesquisa original em física teórica e matemática, especialmente em temas na interface entre física e matemática.</t>
  </si>
  <si>
    <t>https://intlpress.com/site/pub/pages/journals/items/atmp/_home/_main/index.html</t>
  </si>
  <si>
    <t>Não confirmado</t>
  </si>
  <si>
    <t>Não informado</t>
  </si>
  <si>
    <t>APC deve ser conferido antes da submissão. Tempo editorial não informado de forma verificável.</t>
  </si>
  <si>
    <t>AERA Open</t>
  </si>
  <si>
    <t>American Educational Research Association (AERA)</t>
  </si>
  <si>
    <t>2.8</t>
  </si>
  <si>
    <t>"AERA Open is a peer-reviewed, open access journal published by the American Educational Research Association (AERA). With an emphasis on rapid review and dissemination, AERA Open aims to advance knowledge through theoretical and empirical study across arenas of inquiry related to education and learning. AERA Open emphasizes publishing scientific and scholarly work that adds to knowledge incrementally and cumulatively. AERA Open also serves as a venue for innovation, novel inquiry and ideas, interdisciplinary bridge building, and research that fosters the connection of research to practice and practice to research."</t>
  </si>
  <si>
    <t>https://www.google.com/search?q=%22AERA+Open%22+official+journal</t>
  </si>
  <si>
    <t>4–6 meses</t>
  </si>
  <si>
    <t>Homepage oficial não foi confirmada; a URL fornecida é uma busca de localização. APC deve ser conferido antes da submissão.</t>
  </si>
  <si>
    <t>African Journal of Research in Science, Mathematics and Technology Education</t>
  </si>
  <si>
    <t>AJRSMTE</t>
  </si>
  <si>
    <t>Taylor &amp; Francis</t>
  </si>
  <si>
    <t>0.5</t>
  </si>
  <si>
    <t>"African Journal of Research in Mathematics, Science and Technology Education (AJRMSTE) is to disseminate, as widely as possible, high quality research findings and well written articles on Curriculum Studies; Teacher Education; Education for Development; Mathematics Education; Science Education; Design &amp; Technology Education and Computer Education. 
Articles that promote the understanding of curricular policy and diverse socio-cultural issues and those which stimulate epistemological and methodological debates are welcome. The editorial board welcomes articles that will contribute to the overall development of science, mathematics, technology and environmental education in Africa. 
The focus being the development of research capacity in Africa, AJRMSTE assists first time authors in achieving the high standards to which the journal is committed. Naturally, the journal welcomes contributions from more experienced authors as well."</t>
  </si>
  <si>
    <t>https://www.google.com/search?q=%22African+Journal+of+Research+in+Science%2C+Mathematics+and+Technology+Education%22+official+journal</t>
  </si>
  <si>
    <t>Híbrido</t>
  </si>
  <si>
    <t>American Educational Research Journal</t>
  </si>
  <si>
    <t>AERJ</t>
  </si>
  <si>
    <t>AERA</t>
  </si>
  <si>
    <t>3.6</t>
  </si>
  <si>
    <t>"The American Educational Research Journal (AERJ, quarterly; approximately 960 pp./volume year) publishes original empirical and theoretical studies and analyses in education. The editors seek to publish articles from a wide variety of academic disciplines and substantive fields; they are looking for clear and significant contributions to the understanding and/or improvement of educational processes and outcomes. Manuscripts not appropriate for submission to this journal include essays, reviews, course evaluations, and brief reports of studies to address a narrow question."</t>
  </si>
  <si>
    <t>https://www.google.com/search?q=%22American+Educational+Research+Journal%22+official+journal</t>
  </si>
  <si>
    <t>Assinatura</t>
  </si>
  <si>
    <t>Homepage oficial não foi confirmada; a URL fornecida é uma busca de localização. APC deve ser conferido antes da submissão. Tempo editorial não informado de forma verificável.</t>
  </si>
  <si>
    <t>Asian Journal for Mathematics Education</t>
  </si>
  <si>
    <t>AJME</t>
  </si>
  <si>
    <t>Sage</t>
  </si>
  <si>
    <t>"Asian Journal for Mathematics Education is a peer-reviewed open access journal. The mission of the journal is to contribute to the advancement of mathematics education research, theory and practice in Asia and, more generally, the world. The journal seeks to publish high-quality original research and scholarly articles focusing on various areas/topics in mathematics education.</t>
  </si>
  <si>
    <t>https://www.google.com/search?q=%22Asian+Journal+for+Mathematics+Education%22+official+journal</t>
  </si>
  <si>
    <t>Australian Mathematics Education Journal</t>
  </si>
  <si>
    <t>AMEJ</t>
  </si>
  <si>
    <t>Australian Association of Mathematics Teachers(AAMT)</t>
  </si>
  <si>
    <t>"There are two defined sections: Section 1 is suitable for an audience of upper-primary and middle-school teachers and Section 2 is directed toward mathematics educators of senior high school and tertiary levels."</t>
  </si>
  <si>
    <t>https://www.google.com/search?q=%22Australian+Mathematics+Education+Journal%22+official+journal</t>
  </si>
  <si>
    <t>Membros</t>
  </si>
  <si>
    <t>Segundo a fonte de referência, não estava aceitando submissões no início de 2026; confirmar situação atual. Homepage oficial não foi confirmada; a URL fornecida é uma busca de localização. APC deve ser conferido antes da submissão. Tempo editorial não informado de forma verificável.</t>
  </si>
  <si>
    <t>Australian Mathematics Teacher</t>
  </si>
  <si>
    <t>See AMEJ</t>
  </si>
  <si>
    <t>Now AMEJ (but AMEJ possibly defunct)</t>
  </si>
  <si>
    <t>https://www.google.com/search?q=%22Australian+Mathematics+Teacher%22+official+journal</t>
  </si>
  <si>
    <t>Descontinuado</t>
  </si>
  <si>
    <t>Publicação descontinuada; sucedida/absorvida por estruturas editoriais posteriores da AAMT. Homepage oficial não foi confirmada; a URL fornecida é uma busca de localização. APC deve ser conferido antes da submissão. Tempo editorial não informado de forma verificável.</t>
  </si>
  <si>
    <t>Australian Primary Mathematics Classroom</t>
  </si>
  <si>
    <t>APMC</t>
  </si>
  <si>
    <t>"APMC publishes papers considering the teaching and learning of mathematics applicable to early years (pre-F) and primary school students (Years F–6/7). Papers tend to have a very practical focus with reports and ideas for teaching activities, as well as reporting research which has a direct impact on classroom teaching. Papers will assist educators who may not have specific mathematics training to understand how children learn concepts which are built on in later years of schooling."</t>
  </si>
  <si>
    <t>https://www.google.com/search?q=%22Australian+Primary+Mathematics+Classroom%22+official+journal</t>
  </si>
  <si>
    <t>Australian Senior Mathematics Journal</t>
  </si>
  <si>
    <t>https://www.google.com/search?q=%22Australian+Senior+Mathematics+Journal%22+official+journal</t>
  </si>
  <si>
    <t>Publicação descontinuada; confirmar alternativas atuais da AAMT. Homepage oficial não foi confirmada; a URL fornecida é uma busca de localização. APC deve ser conferido antes da submissão. Tempo editorial não informado de forma verificável.</t>
  </si>
  <si>
    <t>Brazilian Journal of Physics</t>
  </si>
  <si>
    <t>BJP</t>
  </si>
  <si>
    <t>Springer Nature</t>
  </si>
  <si>
    <t>Pesquisa experimental, teórica e computacional em física, incluindo física atômica, matéria condensada, nuclear, óptica, partículas, física estatística, sistemas complexos e áreas correlatas.</t>
  </si>
  <si>
    <t>https://www.springer.com/journal/13538</t>
  </si>
  <si>
    <t>Híbrido/consultar</t>
  </si>
  <si>
    <t>British Journal for the History of Mathematics</t>
  </si>
  <si>
    <t>BJHM</t>
  </si>
  <si>
    <t>Taylor and Francis</t>
  </si>
  <si>
    <t>0.4 (2022)</t>
  </si>
  <si>
    <t>História da matemática em amplo espectro cronológico e geográfico, incluindo contextos culturais, filosóficos e institucionais.</t>
  </si>
  <si>
    <t>https://www.tandfonline.com/journals/tbsh21</t>
  </si>
  <si>
    <t>≈6 meses</t>
  </si>
  <si>
    <t>Canadian Journal of Physics</t>
  </si>
  <si>
    <t>Can. J. Phys.</t>
  </si>
  <si>
    <t>Canadian Science Publishing</t>
  </si>
  <si>
    <t>Pesquisa ampla em física, incluindo física atômica e molecular, matéria condensada, partículas, nuclear, fluidos e plasmas, óptica, física matemática, relatividade, cosmologia e gravitação.</t>
  </si>
  <si>
    <t>https://cdnsciencepub.com/journal/cjp</t>
  </si>
  <si>
    <t>Canadian Journal of Science, Mathematics and Technology Education</t>
  </si>
  <si>
    <t>CJSMTE</t>
  </si>
  <si>
    <t>Springer</t>
  </si>
  <si>
    <t>"The Canadian Journal of Science, Mathematics and Technology Education is the premier Canadian academic journal, and one of the leading journals internationally, in the field of STEM education. Published in both English and French, the journal aims to be both Canadian and international in scope. The journal provides a forum for the publication of original articles in a variety of styles, including research investigations using experimental, qualitative, ethnographic, historical, philosophical, or case study approaches; critical reviews of the literature; policy perspectives; and position papers, curriculum arguments, and discussion of issues in teacher education."</t>
  </si>
  <si>
    <t>https://www.google.com/search?q=%22Canadian+Journal+of+Science%2C+Mathematics+and+Technology+Education%22+official+journal</t>
  </si>
  <si>
    <t>CHAPTERS in Education</t>
  </si>
  <si>
    <t>CHAPTERS</t>
  </si>
  <si>
    <t>"CHAPTERS in Education is a new, innovative series designed to provide a dedicated outlet for single-chapter submissions across the broad field of education research. Unlike traditional journal articles that focus on primary research and specific research questions, the scope of CHAPTERS in Education is on secondary and reflective scholarship. Our state-of-the-art self-service portal ensures a streamlined process for submission, peer review, decision-making, and publication. Each accepted chapter is published Online First, assigned a DOI, and fully citable—providing authors with rapid visibility and impact. Chapters are later compiled into volumes on a first-in, first-out basis."</t>
  </si>
  <si>
    <t>https://www.google.com/search?q=%22CHAPTERS+in+Education%22+official+journal</t>
  </si>
  <si>
    <t>Chinese Journal of Physics</t>
  </si>
  <si>
    <t>Chin. J. Phys.</t>
  </si>
  <si>
    <t>Elsevier</t>
  </si>
  <si>
    <t>The Chinese Journal of Physics publishes important advances in various branches in physics, including: Gravitation and Astrophysics, General Physics. Statistical and Quantum Mechanics, etc. Quantum Information and Quantum Computation</t>
  </si>
  <si>
    <t>https://www.journals.elsevier.com/chinese-journal-of-physics</t>
  </si>
  <si>
    <t>Classical and Quantum Gravity</t>
  </si>
  <si>
    <t>CQG</t>
  </si>
  <si>
    <t>IOP Publishing</t>
  </si>
  <si>
    <t>Classical and Quantum Gravity is an established journal for physicists, mathematicians and cosmologists in the fields of gravitation and the theory of spacetime. The journal is now the acknowledged world leader in classical relativity and all areas of quantum gravity.</t>
  </si>
  <si>
    <t>https://iopscience.iop.org/journal/0264-9381</t>
  </si>
  <si>
    <t>https://iopscience.iop.org/article/10.1088/0264-9381/11/5/001</t>
  </si>
  <si>
    <t>Cognition and Instruction</t>
  </si>
  <si>
    <t>CI</t>
  </si>
  <si>
    <t>"Among education journals, Cognition and Instruction's distinctive niche is rigorous study of foundational issues concerning the mental, socio-cultural, and mediational processes and conditions of learning and intellectual competence. For these purposes, both “cognition” and “instruction” must be interpreted broadly. The journal preferentially attends to the “how” of learning and intellectual practices. A balance of well-reasoned theory and careful and reflective empirical technique is typical... Research at multiple levels and involving multiple methods is welcomed."</t>
  </si>
  <si>
    <t>https://www.google.com/search?q=%22Cognition+and+Instruction%22+official+journal</t>
  </si>
  <si>
    <t>College Mathematics Journal</t>
  </si>
  <si>
    <t>CMJ</t>
  </si>
  <si>
    <t>MAA</t>
  </si>
  <si>
    <t>"The College Mathematics Journal [welcomes] engaging writing on new mathematics or new perspectives on known mathematics, and encourage historical perspectives, pedagogical notes, and open questions where possible. Also, The College Mathematics Journal has a tradition of an annual issue dedicated to recreational mathematics. The College Mathematics Journal accepts the following types of submissions: articles, Classroom Capsules, Proofs Without Words, problems, solutions to published problems, and Media Highlights. Letters to the Editor on any topic are also welcome, and all kinds of comments, criticisms, and suggestions for making CMJ more lively, entertaining, and informative."</t>
  </si>
  <si>
    <t>https://www.google.com/search?q=%22College+Mathematics+Journal%22+official+journal</t>
  </si>
  <si>
    <t>Communications in Mathematical Physics</t>
  </si>
  <si>
    <t>CMP</t>
  </si>
  <si>
    <t>Pesquisa em física matemática com forte conteúdo matemático e motivação em problemas fundamentais da física moderna.</t>
  </si>
  <si>
    <t>https://www.springer.com/journal/220</t>
  </si>
  <si>
    <t>OA: US$ 3.190 / £2.190 / €2.590</t>
  </si>
  <si>
    <t>18 dias (mediana até 1ª decisão)</t>
  </si>
  <si>
    <t>Dados editoriais sujeitos a atualização; confirmar no site do periódico antes da submissão.</t>
  </si>
  <si>
    <t>Contemporary Issues in Technology and Teacher Education</t>
  </si>
  <si>
    <t>CITE</t>
  </si>
  <si>
    <t>AACE</t>
  </si>
  <si>
    <t>"The CITE Journal is an online, open-access, peer-reviewed journal, established and jointly sponsored by six professional associations (AMTE, ASTE, NCSS-CUFA, ELATE, ITEEA, and SITE)."</t>
  </si>
  <si>
    <t>https://www.google.com/search?q=%22Contemporary+Issues+in+Technology+and+Teacher+Education%22+official+journal</t>
  </si>
  <si>
    <t>≈5 meses</t>
  </si>
  <si>
    <t>Curriculum Inquiry</t>
  </si>
  <si>
    <t>"It is dedicated to studies of educational experience in schools, communities, families, and other local or transnational settings, using a range of theoretical and disciplinary approaches. CI brings together the work of both established and emerging scholars from a variety of academic fields and disciplines who theorize and examine curriculum and pedagogy, broadly defined, and whose work promotes conceptual debate and pushes beyond current understandings of educational research, theory, and practice. The journal publishes papers that explore and critique contemporary ideas, issues, trends, and problems in education, particularly those relating to curriculum, teaching and learning, teacher education, cultural practice, and educational research and policy."</t>
  </si>
  <si>
    <t>https://www.google.com/search?q=%22Curriculum+Inquiry%22+official+journal</t>
  </si>
  <si>
    <t>Digital Experiences in Mathematics Education</t>
  </si>
  <si>
    <t>DEME</t>
  </si>
  <si>
    <t>1.6</t>
  </si>
  <si>
    <t>"The aim of this journal is to continue the effort to understand and enhance changes in the nature of worthwhile mathematical work that can be performed by learning, teachers and practitioners with digital technologies—an effort begun by Seymour Papert in the original International Journal of Computers for Mathematics Learning. "</t>
  </si>
  <si>
    <t>https://www.google.com/search?q=%22Digital+Experiences+in+Mathematics+Education%22+official+journal</t>
  </si>
  <si>
    <t>≈55 dias</t>
  </si>
  <si>
    <t>Educational Evaluation and Policy Analysis</t>
  </si>
  <si>
    <t>EEPA</t>
  </si>
  <si>
    <t>3.4</t>
  </si>
  <si>
    <t>"Educational Evaluation and Policy Analysis (EEPA) publishes manuscripts of theoretical or practical interest to those engaged in educational evaluation or policy analysis, including economic, demographic, financial, and political analyses of education policies, and significant meta-analyses or syntheses that address issues of current concern. The journal seeks high-quality research on how reforms and interventions affect educational outcomes; research on how multiple educational policy and reform initiatives support or conflict with each other; and research that informs pending changes in educational policy at the federal, state, and local levels, demonstrating an effect on early childhood through early adulthood."</t>
  </si>
  <si>
    <t>https://www.google.com/search?q=%22Educational+Evaluation+and+Policy+Analysis%22+official+journal</t>
  </si>
  <si>
    <t>Educational Leadership</t>
  </si>
  <si>
    <t>EL</t>
  </si>
  <si>
    <t>ASCD</t>
  </si>
  <si>
    <t>"Our readers are educators from all levels, preK–12, and from many different disciplines and job positions—teachers, principals, superintendents, professors of education, and other leaders in education."</t>
  </si>
  <si>
    <t>https://www.google.com/search?q=%22Educational+Leadership%22+official+journal</t>
  </si>
  <si>
    <t>Educational Researcher</t>
  </si>
  <si>
    <t>ER</t>
  </si>
  <si>
    <t>8.2</t>
  </si>
  <si>
    <t>"Educational Researcher publishes scholarly articles that are of general significance to the education research community and that come from a wide range of areas of education research and related disciplines. ER aims to make major programmatic research and new findings of broad importance widely accessible... ER encourages submissions of three types of research articles—feature articles, reviews/essays, and briefs. Technical comments may also be submitted. In addition, ER publishes commentary articles under the demarcations of policy forum, letters, and books et al."</t>
  </si>
  <si>
    <t>https://www.google.com/search?q=%22Educational+Researcher%22+official+journal</t>
  </si>
  <si>
    <t>≈8–9 semanas</t>
  </si>
  <si>
    <t>Educational Studies in Mathematics</t>
  </si>
  <si>
    <t>ESM</t>
  </si>
  <si>
    <t>0.959</t>
  </si>
  <si>
    <t>"Educational Studies in Mathematics presents new ideas and developments of major importance to practitioners working in the field of mathematical education. It reflects both the variety of research concerns within the field and the range of methods used to study them. Articles deal with didactical, methodological and pedagogical subjects, rather than with specific programs for teaching mathematics. The journal emphasizes high-level articles that go beyond local or national interest."</t>
  </si>
  <si>
    <t>https://www.google.com/search?q=%22Educational+Studies+in+Mathematics%22+official+journal</t>
  </si>
  <si>
    <t>Electronic Journal for Research in Science and Mathematics Education</t>
  </si>
  <si>
    <t>EJRSME</t>
  </si>
  <si>
    <t>International Consortium for Research
in Science and Mathematics Education</t>
  </si>
  <si>
    <t>Pesquisa em ensino e aprendizagem de ciências e matemática, formação docente, currículo e práticas educacionais.</t>
  </si>
  <si>
    <t>https://www.google.com/search?q=%22Electronic+Journal+for+Research+in+Science+and+Mathematics+Education%22+official+journal</t>
  </si>
  <si>
    <t>Electronic Journal of Mathematics &amp; Technology</t>
  </si>
  <si>
    <t>EJMT</t>
  </si>
  <si>
    <t>RJMT</t>
  </si>
  <si>
    <t>The eJMT strives to publish quality papers demonstrating that Mathematics and its applicable fields can be made Fun, Accessible, Challenging and Theoretical.
The eJMT has four basic areas of interest:
Trend 1: Research in Mathematics and its Applications and Mathematics Education with Technology
Trend 2: Instruction in Mathematics and its Applications with Technology
Trend 3: Learning in Mathematics and its Applications and Mathematics Education with Technology
Trend 4: Newly Emerging Technologies and Mathematical Fields
12217 papers delivered to 4432 unique IP addresses since February 2007
Selected articles from this journal will be published in RJMT (see below).</t>
  </si>
  <si>
    <t>https://www.google.com/search?q=%22Electronic+Journal+of+Mathematics+%26+Technology%22+official+journal</t>
  </si>
  <si>
    <t>Elementary School Journal</t>
  </si>
  <si>
    <t>ESJ</t>
  </si>
  <si>
    <t>University of Chicago Press</t>
  </si>
  <si>
    <t>Highly respected journal of general education research at the elementary/primary level -- publish work in all subject areas or studies that cut across subject areas.
"ESJ publishes peer-reviewed articles dealing with both education theory and research and their implications for teaching practice. In addition, ESJ presents articles that relate the latest research in child development, cognitive psychology, and sociology to school learning and teaching. ESJ prefers to publish original studies that contain data about school and classroom processes in elementary or middle schools while occasionally publishing integrative research reviews and in-depth conceptual analyses of schooling."</t>
  </si>
  <si>
    <t>https://www.google.com/search?q=%22Elementary+School+Journal%22+official+journal</t>
  </si>
  <si>
    <t>Equity and Excellence in Education</t>
  </si>
  <si>
    <t>EEE</t>
  </si>
  <si>
    <t>"Equity and Excellence in Education publishes articles based on scholarly research utilizing qualitative or quantitative methods, as well as essays that describe and assess practical efforts to achieve educational equity and are contextualized within an appropriate literature review. We consider manuscripts on a range of topics related to equity, equality and social justice in K-12 or postsecondary schooling, and that focus upon social justice issues in school systems, individual schools, classrooms, and/or the social justice factors that contribute to inequality in learning for students from diverse social group backgrounds. There have been and will continue to be many social justice efforts to transform educational systems as well as interpersonal interactions at all levels of schooling. Some are successful while others fall short of their goals. This journal provides a record of those important experiments and ventures."</t>
  </si>
  <si>
    <t>https://www.google.com/search?q=%22Equity+and+Excellence+in+Education%22+official+journal</t>
  </si>
  <si>
    <t>Eurasia Journal of Mathematics, Science, and Technology Education</t>
  </si>
  <si>
    <t>EJMSTE</t>
  </si>
  <si>
    <t>Modestum Publishing Ltd</t>
  </si>
  <si>
    <t>"The aim is to advance the scholarship and the scientific knowledge base in these areas. Articles can take variety of forms of scholarly communication. We emphasize communications which have not been stressed adequately in the past such as interview/conversations with eminent scholars of the field and hence encourage authors to get engaged in such activities and prepare manuscripts of this form. We welcome ideas and suggestions for special issues dedicated to a special theme or region/country."</t>
  </si>
  <si>
    <t>https://www.google.com/search?q=%22Eurasia+Journal+of+Mathematics%2C+Science%2C+and+Technology+Education%22+official+journal</t>
  </si>
  <si>
    <t>European Journal of Science and Mathematics Education</t>
  </si>
  <si>
    <t>EJSME</t>
  </si>
  <si>
    <t>Bastas Publications</t>
  </si>
  <si>
    <t>"The Journal aims to stimulate discussions on contemporary topics in science and mathematics education and to foster the application of the results in primary, secondary, and higher education. Research papers are welcome for rapid publication. The Journal is a platform for exchange of original ideas with particular emphasis on application. We welcome empirical and theoretical research papers, as well as papers on innovation of teaching techniques and technologies, and position papers. The European Journal of Science and Mathematics Education is open-access, peer-reviewed and published quarterly. There are no publication charges."
Began in 2013</t>
  </si>
  <si>
    <t>https://www.google.com/search?q=%22European+Journal+of+Science+and+Mathematics+Education%22+official+journal</t>
  </si>
  <si>
    <t>Sem taxa de publicação</t>
  </si>
  <si>
    <t>Homepage oficial não foi confirmada; a URL fornecida é uma busca de localização. Tempo editorial não informado de forma verificável.</t>
  </si>
  <si>
    <t>Far East Journal of Mathematics Education</t>
  </si>
  <si>
    <t>FEJME</t>
  </si>
  <si>
    <t>Pushpa Publishing House</t>
  </si>
  <si>
    <t>"The FJME is an academic journal devoted to the publication of research articles and critical survey articles on all aspects of mathematics education having potential for utility to educators, researchers, and practitioners. The FJME is being published in one volume annually comprises of three issues in the months of February, June and October."
Started in 2011. All published articles are reviewed/indexed in Mathematical Reviews, MathSciNet, Zentralblatt für Mathematik, IndexCopernicus Data, EBSCOhost, and the journals have been evaluated for inclusion in Scopus, Elsevier's bibliographic database, Ei databases index, EMBASE, EMCare also.</t>
  </si>
  <si>
    <t>https://www.google.com/search?q=%22Far+East+Journal+of+Mathematics+Education%22+official+journal</t>
  </si>
  <si>
    <t>Fields Mathematics Education Journal
(Discontinued publication in 2018)</t>
  </si>
  <si>
    <t>FMEJ</t>
  </si>
  <si>
    <t>Springer (formerly)</t>
  </si>
  <si>
    <t>This international peer-reviewed online journal aims to provide open access to the range of themes that attract attention of the mathematics education community internationally.</t>
  </si>
  <si>
    <t>https://www.google.com/search?q=%22Fields+Mathematics+Education+Journal%0A%28Discontinued+publication+in+2018%29%22+official+journal</t>
  </si>
  <si>
    <t>Publicação descontinuada em 2018. Homepage oficial não foi confirmada; a URL fornecida é uma busca de localização. APC deve ser conferido antes da submissão. Tempo editorial não informado de forma verificável.</t>
  </si>
  <si>
    <t>For the Learning of Mathematics</t>
  </si>
  <si>
    <t>FLM</t>
  </si>
  <si>
    <t>FLM publishing association</t>
  </si>
  <si>
    <t>This journal is specific to mathematics education
"The journal aims to stimulate reflection on mathematics education at all levels, and promote study of its practices and its theories: to generate productive discussion; to encourage enquiry and research; to promote criticism and evaluation of ideas and procedures current in the field. It is intended for the mathematics educator who is aware that the learning and teaching of mathematics are complex enterprises about which much remains to be revealed and understood."
A reader-friendly journal that is open to all forms of inquiry into mathematics education, not just research reports. FLM can be thought of as a journal to publish any studies, summaries, comparisons, theoretical pieces, stories, or reflective thoughts that are worthwhile for others in the field to read. Published 3 times a year, based at the University of Alberta. Current editor: Richard Barwell. Former editors: David Wheeler, David Pimm, Brent Davis.
Articles published in English or French
Graded "A" by Toerner and Arzarello (2012).</t>
  </si>
  <si>
    <t>https://www.google.com/search?q=%22For+the+Learning+of+Mathematics%22+official+journal</t>
  </si>
  <si>
    <t>Global Education Review</t>
  </si>
  <si>
    <t>GER</t>
  </si>
  <si>
    <t>Mercy College, NY</t>
  </si>
  <si>
    <t>GER is a forum for reporting approaches to and implications of educational practice, as well as the influence of social, economic, and political forces on educational practice in different countries or global regions. GER is published in thematic issues that reflect on policy and practice in educational settings in the United States and abroad. Selected themes focus on issues that are relevant to the field of education, with implications for policy nationally and/or globally. As a generalist journal, GER strives to provide open access, clearly written articles that are free of technical jargon to policy makers and educators at all levels, including those directly involved with student learning on a daily basis. Theoretical, empirical, and policy related articles are welcomed that address critical issues in education throughout the world.
Online format, open access.
Focuses on policy matters or work that informs policy (though not exclusively)
Published quarterly.</t>
  </si>
  <si>
    <t>https://www.google.com/search?q=%22Global+Education+Review%22+official+journal</t>
  </si>
  <si>
    <t>Global Research Journal on Mathematical and Science Education</t>
  </si>
  <si>
    <t>GRJMSE</t>
  </si>
  <si>
    <t>Centre For Mathematical Education and Research, India</t>
  </si>
  <si>
    <t>The aim of the journal is to promote fresh scholarly enquiry in the field of mathematics and science education for primary, secondary and higher level of study. It is devoted to through light on recent developments and research activities in the wide field of mathematics and science education . Its broad coverage will encompass Mathematics Education, Science Education, Chemistry Education, Physics Education, Life Science, Environmental Education, Statistics Education, ICT Education, Technology and Engineering Education. Policy/Curriculum/Language/History issues in Mathematics, Science and Technology Education (MSTE), Challenges of MSTE in the Open and Distance Learning (ODL) context. Management Science Education, Library Science Education
ISSN 2278-0769
''Global Research Journal on Mathematics and Science Education is a peer-reviewed publication of The Centre For Mathematical Education and Research, India. This publication covers an wide area of research in the field of Mathematics and science education. The journal publishes narrative, theoretical and empirically-based research articles and book reviews relevant to the research on Mathematical and Science Educations. Publishing TWO times in a year (May,October) the Journal encourages the submission of manuscripts from around the world, and from a wide range of academic fields, including mathematics education, Ethonomthematics, Vedic Mathematics, Statistics education, Science education,Chemistry Education, Physics education,Environtmental Education,Biology Education and Management Science Education,Technology Education,Library Science Education,Information Science Education,Geography Education, Computer Science Education.''</t>
  </si>
  <si>
    <t>https://www.google.com/search?q=%22Global+Research+Journal+on+Mathematical+and+Science+Education%22+official+journal</t>
  </si>
  <si>
    <t>Gravitation and Cosmology</t>
  </si>
  <si>
    <t>Grav. Cosmol.</t>
  </si>
  <si>
    <t>Gravitação, cosmologia relativística, astrofísica relativística, soluções exatas, métodos matemáticos e fundamentos de teorias gravitacionais.</t>
  </si>
  <si>
    <t>https://www.springer.com/journal/10714</t>
  </si>
  <si>
    <t>Implementation and Replication Studies in Mathematics Education</t>
  </si>
  <si>
    <t>IRME</t>
  </si>
  <si>
    <t>Brill</t>
  </si>
  <si>
    <t>Implementation and replication research is considered as the active use of mathematics education research in practice and as the scientific investigation of questions that relate to implementation and replication initiatives. Implementation and Replication Studies in Mathematics Education is an important channel for academic work related to applying and scaling up the insights of mathematics education research, and a channel for bridging the academic community and the policy-making communities. 
The journal focuses on implementation and replication research that communicates and investigates initiatives aiming to improve teaching and learning of mathematics by using knowledge from mathematics education research and by re-implementing it in new contexts.</t>
  </si>
  <si>
    <t>https://www.google.com/search?q=%22Implementation+and+Replication+Studies+in+Mathematics+Education%22+official+journal</t>
  </si>
  <si>
    <t>International Electronic Journal of Mathematics Education</t>
  </si>
  <si>
    <t>IEJME</t>
  </si>
  <si>
    <t>Modestum (UK)</t>
  </si>
  <si>
    <t>International Electronic Journal of Mathematics Education (IEJME) journal aims to stimulate discussions at all levels of mathematics education through disseminating significant and innovative scholarly studies that are of value to the international research communities. The journal welcomes articles focusing on all aspects of mathematics education including empirical, theoretical, methodological, and philosophical works that have a perspective wider than local or national interest. IEJME publishes only original scholarly works.</t>
  </si>
  <si>
    <t>https://www.google.com/search?q=%22International+Electronic+Journal+of+Mathematics+Education%22+official+journal</t>
  </si>
  <si>
    <t>International Journal for Research in Mathematics Education</t>
  </si>
  <si>
    <t>RIPEM</t>
  </si>
  <si>
    <t>Brazilian Society for Mathematics Education</t>
  </si>
  <si>
    <t>"The RIPEM publishes papers that report findings from empirical research and literature-based scholarly articles that advance theories and scholarship of Mathematics Education. The journal also accepts critical reviews of books. The RIPEM publishes three issues per year. From time to time, the Journal may produce a special issue devoted to a single, well-defined topic. Decisions relations to such special issues will be shared with the working groups of SBEM. Manuscripts must only be submitted in English. If an article is accepted for publication, authors from Portuguese- or Spanish-speaking countries will be expected to provide also a final version in Portuguese or Spanish. For authors from other countries, the journal will invite members of its editorial team to translate the English version to Portuguese."
Peer-reviewed electronic journal</t>
  </si>
  <si>
    <t>https://www.google.com/search?q=%22International+Journal+for+Research+in+Mathematics+Education%22+official+journal</t>
  </si>
  <si>
    <t>International Journal for Studies in Mathematics Education</t>
  </si>
  <si>
    <t>IJSME</t>
  </si>
  <si>
    <t>Uniban (Brazil)</t>
  </si>
  <si>
    <t>This journal is specific to mathematics education
"The International Journal for Studies in Mathematics Education (IJSME/JIEEM) aims to stimulate reflection on mathematics education at all levels: to generate productive discussion; to encourage enquiry and research; to promote criticism and evaluation of ideas and procedures current in the field. It is intended for the mathematics educator who is aware that the learning and teaching of mathematics are complex enterprises about which much remains to be revealed and understood. It reflects both the variety of research concerns within the field and the range of methods used to study them. We accept for submission articles in Portuguese, English, French and Spanish. The journal emphasizes high-level articles that go beyond local or national interest."
New in 2009. Publishes pieces in English, Portuguese, French, and Spanish.
Published semi-annually, peer-reviewed professional academic research journal.
Publisher: Uniban (Brazil)</t>
  </si>
  <si>
    <t>https://www.google.com/search?q=%22International+Journal+for+Studies+in+Mathematics+Education%22+official+journal</t>
  </si>
  <si>
    <t>International Journal of Computers for Mathematics Learning</t>
  </si>
  <si>
    <t>IJCML</t>
  </si>
  <si>
    <t>LearnTechLib</t>
  </si>
  <si>
    <t>Uso de computadores e tecnologias digitais no ensino e na aprendizagem de matemática, incluindo ambientes interativos e desenho de atividades.</t>
  </si>
  <si>
    <t>https://www.google.com/search?q=%22International+Journal+of+Computers+for+Mathematics+Learning%22+official+journal</t>
  </si>
  <si>
    <t>International Journal of Data Science and Analytics</t>
  </si>
  <si>
    <t>JDSA</t>
  </si>
  <si>
    <t>data science</t>
  </si>
  <si>
    <t>Data Science has been established as an important emergent scientific field and paradigm driving research evolution in such disciplines as statistics, computing science and intelligence science, and practical transformation in such domains as science, engineering, the public sector, business, social sci­ence, and lifestyle. The field encompasses the larger ar­eas of artificial intelligence, data analytics, machine learning, pattern recognition, natural language understanding, and big data manipulation. It also tackles related new sci­entific chal­lenges, ranging from data capture, creation, storage, retrieval, sharing, analysis, optimization, and vis­ualization, to integrative analysis across heterogeneous and interdependent complex resources for better decision-making, collaboration, and, ultimately, value creation.
The International Journal of Data Science and Analytics (JDSA) brings together thought leaders, researchers, industry practitioners, and potential users of data science and analytics, to develop the field, discuss new trends and opportunities, exchange ideas and practices, and promote transdisciplinary and cross-domain collaborations. The jour­nal is composed of three streams: Regular, to communicate original and reproducible theoretical and experimental findings on data science and analytics; Applications, to report the significant data science applications to real-life situations; and Trends, to report expert opinion and comprehensive surveys and reviews of relevant areas and topics in data science and analytics.
Topics of relevance include all aspects of the trends, scientific foundations, techniques, and applica­tions of data science and analytics, with a primary focus on:
statistical and mathematical foundations for data science and analytics;
understanding and analytics of complex data, human, domain, network, organizational, social, behavior, and system characteristics, complexities and intelligences;
creation and extraction, processing, representation and modelling, learning and discovery, fusion and integration, presentation and visualization of complex data, behavior, knowledge and intelligence;
data analytics, pattern recognition, knowledge discovery, machine learning, deep analytics and deep learning, and intelligent processing of various data (including transaction, text, image, video, graph and network), behaviors and systems;
active, real-time, personalized, actionable and automated analytics, learning, computation, optimization, presentation and recommendation;
big data architecture, infrastructure, computing, matching, indexing, query processing, mapping, search, retrieval, interopera­bility, exchange, and recommendation;
in-memory, distributed, parallel, scalable and high-performance computing, analytics and optimization for big data;
review, surveys, trends, prospects and opportunities of data science research, innovation and applications;
data science applications, intelligent devices and services in scientific, business, governmental, cultural, behavioral, social and economic, health and medical, human, natural and artificial (including online/Web, cloud, IoT, mobile and social media) domains; and
ethics, quality, privacy, safety and security, trust, and risk of data science and analytics</t>
  </si>
  <si>
    <t>https://link.springer.com/journal/41060</t>
  </si>
  <si>
    <t>https://doi.org/10.1007/s41060-023-00454-0</t>
  </si>
  <si>
    <t>International Journal of Education in Mathematics, Science, and Technology</t>
  </si>
  <si>
    <t>IJEMST</t>
  </si>
  <si>
    <t>International Society for Technology, Education and Science (ISTES)</t>
  </si>
  <si>
    <t>"The IJEMST welcomes any papers on math education, science education and educational technology using techniques from and applications in any technical knowledge domain: original theoretical works, literature reviews, research reports, social issues, psychological issues, curricula, learning environments, research in an educational context, book reviews, and review articles. The articles should be original, unpublished, and not in consideration for publication elsewhere at the time of submission to the IJEMST."</t>
  </si>
  <si>
    <t>https://www.google.com/search?q=%22International+Journal+of+Education+in+Mathematics%2C+Science%2C+and+Technology%22+official+journal</t>
  </si>
  <si>
    <t>Triagem ≈2 semanas; revisão pode chegar a 6 meses</t>
  </si>
  <si>
    <t>International Journal of Educational Research</t>
  </si>
  <si>
    <t>IJER</t>
  </si>
  <si>
    <t>"The International Journal of Educational Research publishes regular papers and special issues on specific topics of interest to international audiences of educational researchers. Examples of recent Special Issues published in the journal illustrate the breadth of topics that have be included in the journal: 'Students' Perspectives on Learning Environments', Social, Motivational and Emotional Aspects of Learning Disabilities', Epistemological Beliefs and Domain', 'Analyzing Mathematics Classroom Cultures and Practices', and 'Music Education: A site for collaborative creativity.'"
Six issues publisher per year, but two are often combined into a single binding
Regularly has special issues on contemporary educational topics with international relevance (including mathematics education), but they now also accept individual papers.</t>
  </si>
  <si>
    <t>https://www.google.com/search?q=%22International+Journal+of+Educational+Research%22+official+journal</t>
  </si>
  <si>
    <t>International Journal of Innovation in Science and Mathematics Education</t>
  </si>
  <si>
    <t>IJISME</t>
  </si>
  <si>
    <t>University of Sydney</t>
  </si>
  <si>
    <t>Inovação no ensino de ciências e matemática, práticas curriculares, tecnologia educacional e pesquisa aplicada à educação STEM.</t>
  </si>
  <si>
    <t>https://www.google.com/search?q=%22International+Journal+of+Innovation+in+Science+and+Mathematics+Education%22+official+journal</t>
  </si>
  <si>
    <t>International Journal of Mathematical Education in Science and Technology</t>
  </si>
  <si>
    <t>IJMEST</t>
  </si>
  <si>
    <t>0.7 (2023)</t>
  </si>
  <si>
    <t>"The International Journal of Mathematical Education in Science and Technology provides a forum in which a wide range of peer-reviewed research in mathematics education can be presented, assimilated and eventually adapted to everyday needs in schools, colleges, universities, industry and commerce. The journal is especially interested in facilitating communication between researchers and practitioners, and contributions are welcome from researchers, lecturers, teachers and users of mathematics at all levels regarding the contents of courses and pedagogical approaches across all areas of STEAM (Science, Technology, Engineering, Arts and Mathematics) education. We are always delighted to receive submissions from as diverse and international a range of contributors as possible, including teachers and early-career academics."</t>
  </si>
  <si>
    <t>https://www.google.com/search?q=%22International+Journal+of+Mathematical+Education+in+Science+and+Technology%22+official+journal</t>
  </si>
  <si>
    <t>≈4 meses</t>
  </si>
  <si>
    <t>International Journal of Mathematics and Mathematics Education</t>
  </si>
  <si>
    <t>IJMME</t>
  </si>
  <si>
    <t>Edupedia (Indonesia)</t>
  </si>
  <si>
    <t>"International Journal of Mathematics and Mathematics Education (IJMME) is a peer-refereed open-access journal that has been established for 
the dissemination of state-of-the-art knowledge in the field of mathematics and mathematics education. The IJMME welcomes high-quality 
manuscripts resulting from researchers, scholars, teachers, and professionals from a research project in the scope of Mathematics and Mathematics Education."</t>
  </si>
  <si>
    <t>https://www.google.com/search?q=%22International+Journal+of+Mathematics+and+Mathematics+Education%22+official+journal</t>
  </si>
  <si>
    <t>International Journal of Modern Physics A</t>
  </si>
  <si>
    <t>IJMPA</t>
  </si>
  <si>
    <t>World Scientific</t>
  </si>
  <si>
    <t>Física de partículas, teoria quântica de campos, gravitação, cosmologia, física nuclear e temas relacionados de física moderna.</t>
  </si>
  <si>
    <t>https://www.worldscientific.com/worldscinet/ijmpa</t>
  </si>
  <si>
    <t>International Journal of Qualitative Studies in Education</t>
  </si>
  <si>
    <t>IJQSE</t>
  </si>
  <si>
    <t>"The aim of the International Journal of Qualitative Studies in Education (popularly known as QSE) is to enhance the practice and theory of qualitative research in education, with “education” defined in the broadest possible sense, including non-school settings. QSE publishes peer-reviewed empirical research employing a variety of qualitative methods and approaches, such as ethnographic observation and interviewing, grounded theory, life history, case study, curriculum criticism, policy studies, narrative, ethnomethodology, social and educational critique, phenomenology, deconstruction, genealogy, autoethnography, etc. In addition, innovative or provocative approaches to qualitative research as well as the way research is reported are encouraged. Theoretical papers are also welcome. We publish discussions of epistemology, methodology, or ethics of qualitative research from a range of perspectives, including (but not limited to) interpretivism, constructivism, critical theory, feminism, and race-based, lesbian/gay/bi/transgender (including queer theory), and poststructural ones. Furthermore, there is a strong interest in qualitative research conducted by researchers throughout the world, and the Journal publishes book reviews."</t>
  </si>
  <si>
    <t>https://www.google.com/search?q=%22International+Journal+of+Qualitative+Studies+in+Education%22+official+journal</t>
  </si>
  <si>
    <t>International Journal of Research in Undergraduate Mathematics Education</t>
  </si>
  <si>
    <t>IJRUME</t>
  </si>
  <si>
    <t>1.8 (2024)</t>
  </si>
  <si>
    <t>IJRUME "is dedicated to the interests of post-secondary mathematics. It welcomes original research, including empirical, theoretical, and methodological reports of learning and teaching of undergraduate and graduate students."
Launch in 2015. Accepting manuscripts since 2014.
Original Editors-in-Chief: Karen Marrongelle, Chris Rasmussen, Mike Thomas
Publisher: Springer
3 issues per year, 4-5 articles per issue</t>
  </si>
  <si>
    <t>https://www.google.com/search?q=%22International+Journal+of+Research+in+Undergraduate+Mathematics+Education%22+official+journal</t>
  </si>
  <si>
    <t>≈1 mês</t>
  </si>
  <si>
    <t>International Journal of Science and Mathematics Education</t>
  </si>
  <si>
    <t>2.2</t>
  </si>
  <si>
    <t>"Sponsored by the National Science Council, Taiwan, the International Journal of Science and Mathematics Education publishes original, peer reviewed articles on a variety of topics and research methods in both science and mathematics education. Articles address common issues in mathematics and science education, including cross-curricular dimensions. This journal emphasizes studies that explore science and mathematics education from different cultural perspectives. Manuscripts written by authors whose native language is not English are encouraged; the journal’s editors provide support for these authors."
Publisher: Springer
Ranking: Top Quartile in SJR Education Journal ranking.</t>
  </si>
  <si>
    <t>https://link.springer.com/journal/10763</t>
  </si>
  <si>
    <t>OA: ≈US$ 3.000</t>
  </si>
  <si>
    <t>≈3 semanas</t>
  </si>
  <si>
    <t>International Journal of Science, Mathematics and Technology Learning</t>
  </si>
  <si>
    <t>IJSMTL</t>
  </si>
  <si>
    <t>Common Ground Scholar</t>
  </si>
  <si>
    <t>"The International Journal of Science, Mathematics and Technology Learning offers studies of best practices in teaching and learning science, mathematics, and technology. The journal is part of The Learner Journal Collection. This collection is brought together around a common concern for learning in all its sites,
formal and informal, and at all levels, from early childhood, to schools, colleges and universities, and adult, community and workplace 
education. We seek to build an epistemic community to make linkages across disciplinary, geographic, and cultural boundaries."</t>
  </si>
  <si>
    <t>https://www.google.com/search?q=%22International+Journal+of+Science%2C+Mathematics+and+Technology+Learning%22+official+journal</t>
  </si>
  <si>
    <t>≈230 dias até publicação</t>
  </si>
  <si>
    <t>International Journal of STEM Education</t>
  </si>
  <si>
    <t>IJSTEM-Ed</t>
  </si>
  <si>
    <t>"The International Journal of STEM Education is a multidisciplinary journal in subject-content education that focuses on the study of teaching and learning in science, technology, engineering, and mathematics (STEM). It is being established as a brand new, forward looking journal in the field of education. As a peer-reviewed journal, it is positioned to promote research and educational development in the rapidly evolving field of STEM education around the world."
Launched in 2014</t>
  </si>
  <si>
    <t>https://www.google.com/search?q=%22International+Journal+of+STEM+Education%22+official+journal</t>
  </si>
  <si>
    <t>International Journal of Theoretical Physics</t>
  </si>
  <si>
    <t>IJTP</t>
  </si>
  <si>
    <t>Pesquisa em física teórica, fundamentos quânticos, gravitação, cosmologia, teoria de campos, física matemática e áreas correlatas.</t>
  </si>
  <si>
    <t>https://www.springer.com/journal/10773</t>
  </si>
  <si>
    <t>International Online Journal of Educational Sciences</t>
  </si>
  <si>
    <t>IOJES</t>
  </si>
  <si>
    <t>Educational Researches and Publications Association</t>
  </si>
  <si>
    <t>"IOJES is an international, peer-reviewed, non-profit, professional scientific journal. IOJES is a journal that accepts manuscripts related to educational sciences. The journal is published online three times in a year. The article being submitted should be either in Turkish or English. IOJES publishes research employing a variety of qualitative and/or quantitative methods and approaches in all areas of the education field. IOJES welcomes articles from different institutions and countries."
Online
Publisher: Educational Researches and Publications Association
Author pays to have their article published (once accepted), about $250</t>
  </si>
  <si>
    <t>https://www.google.com/search?q=%22International+Online+Journal+of+Educational+Sciences%22+official+journal</t>
  </si>
  <si>
    <t>≈US$ 250</t>
  </si>
  <si>
    <t>Investigations in Mathematics Learning</t>
  </si>
  <si>
    <t>IML</t>
  </si>
  <si>
    <t>Routledge/T&amp;F and Research Council on Mathematics Learning</t>
  </si>
  <si>
    <t>1.25</t>
  </si>
  <si>
    <t>This journal is specific to mathematics education
"RCML seeks to stimulate, generate, coordinate, and disseminate research efforts designed to understand and/or influence factors that affect mathematics learning."
Former title: FOCUS on Learning Problems in Mathematics
4 issues per year
Publisher: Routledge/T&amp;F and Research Council on Mathematics Learning
Acceptance rate: 20-25%
Manuscript length: 30 pages (not counting references) in 12-point font, 120 word abstract</t>
  </si>
  <si>
    <t>https://www.google.com/search?q=%22Investigations+in+Mathematics+Learning%22+official+journal</t>
  </si>
  <si>
    <t>≈2 meses</t>
  </si>
  <si>
    <t>Issues and Ideas in Education</t>
  </si>
  <si>
    <t>IIE</t>
  </si>
  <si>
    <t>Chitkara University (India)</t>
  </si>
  <si>
    <t>"Issues and Ideas in Education has a broad scope that covers fields of education, psychology, philosophy, classroom teaching, evaluation, e-learning, information technology, educational management, administration and supervision, guidance and counselling, training of special children, educational technology, current issues in education and other related areas. Thus, the journal welcomes papers, both in theoretical and applied fields, of original and expository type that address issues of inter-disciplinary nature and cross-curricular dimensions."
Publisher: Chitkara University (India)
Two issues per year
Free of cost worldwide</t>
  </si>
  <si>
    <t>https://www.google.com/search?q=%22Issues+and+Ideas+in+Education%22+official+journal</t>
  </si>
  <si>
    <t>Journal for Research in Mathematics Education</t>
  </si>
  <si>
    <t>JRME</t>
  </si>
  <si>
    <t>National Council of Teachers of Mathematics</t>
  </si>
  <si>
    <t>"JRME promotes and disseminates disciplined scholarly inquiry into the teaching and learning of mathematics at all levels, including research reports, book reviews, and commentaries."</t>
  </si>
  <si>
    <t>https://www.google.com/search?q=%22Journal+for+Research+in+Mathematics+Education%22+official+journal</t>
  </si>
  <si>
    <t>Journal for Theoretical and Marginal Mathematics Education</t>
  </si>
  <si>
    <t>JTM ME</t>
  </si>
  <si>
    <t>Critical, Philosophical, and Psychoanalytic Institute for Mathematics Education</t>
  </si>
  <si>
    <t>"The aim of the Journal is to publish papers of interest to the mathematics education and STEM education fields more broadly that focus on critical, philosophical, psychoanalytic, experimental, theoretical, or post-qualitative research. Authors are especially encouraged to "push the boundaries" of mathematics education when writing, in terms of theory, methods, conception, and presentation. One of the Journal's key motivations is to provide a space for "marginal" scholarship in the mathematics education and STEM education fields, i.e., scholarship which is considered to be "on the margins" of the field. Thus, papers suitable for publication in the Journal should be provocative and innovative, and will often employ perspectives not typically seen in the mathematics or STEM education literature. Cross-disciplinary approaches to theory and methods are also encouraged."</t>
  </si>
  <si>
    <t>https://www.google.com/search?q=%22Journal+for+Theoretical+and+Marginal+Mathematics+Education%22+official+journal</t>
  </si>
  <si>
    <t>Journal of Authentic Research on Mathematics Education</t>
  </si>
  <si>
    <t>JARME</t>
  </si>
  <si>
    <t>Siliwangi University (Indonesia)</t>
  </si>
  <si>
    <t>"This journal publishes research articles on mathematics education with the scope of mathematics education, applied mathematics, mathematics education design, mathematical research problems, and theories in the field of mathematics education, both learning and teaching."</t>
  </si>
  <si>
    <t>https://www.google.com/search?q=%22Journal+of+Authentic+Research+on+Mathematics+Education%22+official+journal</t>
  </si>
  <si>
    <t>Journal of Computational Physics</t>
  </si>
  <si>
    <t>JCP</t>
  </si>
  <si>
    <t>Science Direct</t>
  </si>
  <si>
    <t>The Journal of Computational Physics (JCP) focuses on the computational aspects of physical problems. JCP encourages original scientific contributions in advanced mathematical and numerical modeling reflecting a combination of concepts, methods and principles which are often interdisciplinary in nature and span several areas of physics, mechanics, applied mathematics, statistics, applied geometry, computer science, chemistry and other scientific disciplines as well: the Journal's editors seek to emphasize methods that cross disciplinary boundaries.</t>
  </si>
  <si>
    <t>https://www.sciencedirect.com/journal/journal-of-computational-physics</t>
  </si>
  <si>
    <t>Journal of Computers in Mathematics and Science Teaching</t>
  </si>
  <si>
    <t>JCMST</t>
  </si>
  <si>
    <t>Association for the Advancement of Computing in Education (AACE)</t>
  </si>
  <si>
    <t>"JCMST is a highly respected scholarly journal which offers an in-depth forum for the interchange of information in the fields of science, mathematics, and computer science. JCMST is the only periodical devoted specifically to using information technology in the teaching of mathematics and science."
Publisher: Association for the Advancement of Computing in Education (AACE)</t>
  </si>
  <si>
    <t>https://www.google.com/search?q=%22Journal+of+Computers+in+Mathematics+and+Science+Teaching%22+official+journal</t>
  </si>
  <si>
    <t>Journal of Curriculum and Teaching</t>
  </si>
  <si>
    <t>JCT</t>
  </si>
  <si>
    <t>Sciedu Press (Canada)</t>
  </si>
  <si>
    <t>"Journal of Curriculum and Teaching is a peer-reviewed journal, published by Sciedu Press. It is devoted to publishing research papers in curriculum and instruction, learning and teaching, and related disciplines at global and local levels, such as but not limited to curriculum theory, teaching methodology, program innovation, policy development, professional ethics, and assessment in education. It is published semi-annually in both online and printed versions."</t>
  </si>
  <si>
    <t>https://www.google.com/search?q=%22Journal+of+Curriculum+and+Teaching%22+official+journal</t>
  </si>
  <si>
    <t>Journal of Curriculum Studies</t>
  </si>
  <si>
    <t>JCS</t>
  </si>
  <si>
    <t>"Journal of Curriculum Studies publishes original refereed contributions on all aspects of curriculum studies (including those derived from historical, philosophical, comparative and policy-related investigations), pedagogic theory, teacher education and development, assessment and evaluation, and the present state of schooling. In keeping with its international character, Journal of Curriculum Studies especially welcomes articles which extend the perspectives of curriculum beyond national boundaries."
Publisher: Taylor &amp; Francis
Ranking: Top Quartile in SJR Education Journal ranking.</t>
  </si>
  <si>
    <t>https://www.google.com/search?q=%22Journal+of+Curriculum+Studies%22+official+journal</t>
  </si>
  <si>
    <t>≈66 dias até 1ª decisão pós-revisão</t>
  </si>
  <si>
    <t>Journal of Curriculum Theorizing</t>
  </si>
  <si>
    <t>Open Journal System(OJS)</t>
  </si>
  <si>
    <t>'JCT: Journal of Curriculum Theorizing is an interdisciplinary journal of curriculum studies. It offers an academic forum for scholarly discussions of curriculum. Historically aligned with the "reconceptualist" movement in curriculum theorizing and oriented toward informing and affecting classroom practice, JCT presents compelling pieces within forms that challenge disciplinary, genre, and textual boundaries''. 
''JCT accepts both feature articles and section articles (see Section Policies for descriptions of different sections). Please submit your article either to a section or as a feature article according to your topic.Manuscripts submitted for publication consideration to JCT should not have been published elsewhere be under review for publication elsewhere. Manuscripts must be original works. It is authors' responsibility to obtain copyright permission to use any copyrighted materials such as poetry, photography, figures, or tables.''</t>
  </si>
  <si>
    <t>https://www.google.com/search?q=%22Journal+of+Curriculum+Theorizing%22+official+journal</t>
  </si>
  <si>
    <t>Journal of Education</t>
  </si>
  <si>
    <t>JE</t>
  </si>
  <si>
    <t>Sage in association with Boston University School of Education</t>
  </si>
  <si>
    <t>"Researchers, scholars, teachers, administrators, specialists, and advanced graduate students are invited to submit manuscripts of three types: research, theory, and reflection. Research Articles should include a review of the relevant literature, a description of the methodology, a summary of the findings, and a discussion of implications for practice in an educational setting. Theoretical Articles should begin with a clear explanation of a theory that informs practice, a description of the historical context, and a justification based on the literature. The paper should conclude with implications for practice in an educational setting. Reflections by scholars and professionals who are informed observers of education in classrooms and schools should provide critical analysis and insights regarding effective practice. Experienced researchers may offer an historic analysis of a significant topic of inquiry and the effects on the field, as well as insights into implications for practice."
Generalist audience, tending toward practice.
Publisher: Boston University School of Education</t>
  </si>
  <si>
    <t>https://www.google.com/search?q=%22Journal+of+Education%22+official+journal</t>
  </si>
  <si>
    <t>≈3 meses</t>
  </si>
  <si>
    <t>Journal of Education and Learning</t>
  </si>
  <si>
    <t>JEL</t>
  </si>
  <si>
    <t>Canadian Center of Science and Education</t>
  </si>
  <si>
    <t>New journal, 2012
The journal publishes a broad range of papers from all branches of education and individual or group learning relating to education, including but not limited to curriculum, elementary and secondary education, higher and adult education, teacher education, the education of special groups, gender and education, education and information technology, theories of education, educational research and methodologies.
Publisher: Canadian Center of Science and Education
Print and online versions, but the online version is open access</t>
  </si>
  <si>
    <t>https://www.google.com/search?q=%22Journal+of+Education+and+Learning%22+official+journal</t>
  </si>
  <si>
    <t>≈4–10 semanas</t>
  </si>
  <si>
    <t>Journal of Education and Training Studies</t>
  </si>
  <si>
    <t>JETS</t>
  </si>
  <si>
    <t>Redfame Publishing</t>
  </si>
  <si>
    <t>"JETS is an international, peer-reviewed, open-access journal." Scope includes consumer education, critical pedagogy, curriculum and instruction (which includes sub-areas such as mathematics education), distance education, educational leadership, educational philosophy, educational psychology, educational technology.
Published quarterly, print and online.</t>
  </si>
  <si>
    <t>https://www.google.com/search?q=%22Journal+of+Education+and+Training+Studies%22+official+journal</t>
  </si>
  <si>
    <t>Journal of Educational Research in Mathematics</t>
  </si>
  <si>
    <t>JERM</t>
  </si>
  <si>
    <t>Korea Society of Educational Studies in Mathematics</t>
  </si>
  <si>
    <t>Pesquisa em educação matemática, incluindo aprendizagem, ensino, currículo, cognição, tecnologia, avaliação e formação docente.</t>
  </si>
  <si>
    <t>https://www.google.com/search?q=%22Journal+of+Educational+Research+in+Mathematics%22+official+journal</t>
  </si>
  <si>
    <t>Journal of High Energy Physics</t>
  </si>
  <si>
    <t>JHEP</t>
  </si>
  <si>
    <t>The aim of the Journal of High Energy Physics (JHEP) is to ensure fast and efficient online publication tools to the scientific community, while keeping that community in charge of every aspect of the peer-review and publication process in order to ensure the highest quality standards in the journal.</t>
  </si>
  <si>
    <t>https://link.springer.com/journal/13130</t>
  </si>
  <si>
    <t>Open Access / SCOAP3</t>
  </si>
  <si>
    <t>Journal of Higher Education</t>
  </si>
  <si>
    <t>JHE</t>
  </si>
  <si>
    <t>Ohio State University Press and Taylor sand Francis</t>
  </si>
  <si>
    <t>"Founded in 1930, The Journal of Higher Education is the leading scholarly journal on the institution of higher education. Articles combine disciplinary methods with critical insight to investigate issues important to faculty, administrators, and program managers."
Have typically focused on policy-oriented articles or reports of empirical research about institutions of higher educations, but there is a growing movement in this community for the inclusion of studies of post-secondary teaching and learning (e.g., mathematics learning at the undergraduate level).</t>
  </si>
  <si>
    <t>https://www.google.com/search?q=%22Journal+of+Higher+Education%22+official+journal</t>
  </si>
  <si>
    <t>Journal of Mathematical Behavior</t>
  </si>
  <si>
    <t>JMB</t>
  </si>
  <si>
    <t>1.7 (2024)</t>
  </si>
  <si>
    <t>"The Journal of Mathematical Behavior is an international, double anonymized peer reviewed journal concerned with the learning and teaching of mathematics. Our fundamental goal is to publish research of the highest quality that expands understanding of how people build, retain, communicate, apply, and comprehend mathematical ideas.
The Journal of Mathematical Behavior welcomes theoretical and empirical research from diverse methodologies and paradigms. The journal focuses on research about learning and teaching of mathematics at all ages, in formal as well as informal contexts.
The intended audience for this journal includes researchers who concentrate on the learning and teaching of mathematics, learning scientists, mathematicians, educators, teachers of mathematics, cognitive scientists, and linguists."</t>
  </si>
  <si>
    <t>https://www.google.com/search?q=%22Journal+of+Mathematical+Behavior%22+official+journal</t>
  </si>
  <si>
    <t>≈3–4 meses</t>
  </si>
  <si>
    <t>Journal of Mathematical Physics</t>
  </si>
  <si>
    <t>JMP</t>
  </si>
  <si>
    <t>AIP Publishing</t>
  </si>
  <si>
    <t>Desenvolvimentos matemáticos relevantes à física, incluindo geometria, análise, sistemas dinâmicos, teoria quântica, campos e gravitação.</t>
  </si>
  <si>
    <t>https://pubs.aip.org/aip/jmp</t>
  </si>
  <si>
    <t>Journal of Mathematics and Culture</t>
  </si>
  <si>
    <t>JMC</t>
  </si>
  <si>
    <t>NASGEm</t>
  </si>
  <si>
    <t>A Peer-Reviewed Journal Sponsored by the North American Study Group on Ethnomathematics
"The journal’s contents examine the intersections between mathematics and culture in both western and non-western societies, and among both math professionals (such as university mathematicians, mathematics educators, and cryptologists) and non-professionals (such as carpenters, indigenous healers, and hair stylists). We define culture broadly, to include all scales: ethnic groups, nations, labor communities, religious traditions, professions, and so on. Particular aspects of culture examined might include broad social dynamics such as race and gender, or micro-practices such as dancing or computer programming. Mathematical practices include symbolic systems, spatial designs, practical construction techniques, calculation methods, measurement in time and space, specific ways of reasoning and inferring, and other cognitive and material activities which can be translated to formal mathematical representation. Of particular interest are educational studies which take the classroom setting into account, such as pedagogical applications of ethnomathematics."</t>
  </si>
  <si>
    <t>https://www.google.com/search?q=%22Journal+of+Mathematics+and+Culture%22+official+journal</t>
  </si>
  <si>
    <t>Journal of Mathematics and the Arts</t>
  </si>
  <si>
    <t>JMA</t>
  </si>
  <si>
    <t>0.2 (2022)</t>
  </si>
  <si>
    <t>"Journal of Mathematics and the Arts focuses on connections between mathematics and the arts. It publishes articles of interest for readers who are engaged in using mathematics in the creation of works of art, who seek to understand art arising from mathematical or scientific endeavors, or who strive to explore the mathematical implications of artistic works.The following list, while not exhaustive, indicates a range of topics that fall within the scope of the Journal: 
• Artists’ descriptions providing mathematical context, analysis, or insight about their work; 
• The exposition of mathematics intended for interdisciplinary mathematics and arts educators and classroom use; 
• Mathematical techniques and methodologies of interest to practice-based artists; 
• Critical analysis or insight concerning mathematics and art in historical and cultural settings".</t>
  </si>
  <si>
    <t>https://www.google.com/search?q=%22Journal+of+Mathematics+and+the+Arts%22+official+journal</t>
  </si>
  <si>
    <t>≈2–3 meses</t>
  </si>
  <si>
    <t>Journal of Mathematics Education (Education for All)</t>
  </si>
  <si>
    <t>JME</t>
  </si>
  <si>
    <t>Education for All</t>
  </si>
  <si>
    <t>"The Journal of Mathematics Education (JME) is an internationally oriented, peer-reviewed, open-access academic journal. Our focus is on advancing ongoing research and practice in diverse studies within the field of mathematics education. JME is published by Education for All, LLC (ISSN 1945-7448) and is based in California, United States. 
JME aims at promoting communication in mathematics education internationally, especially between West and East. The goal of JME is to provide opportunities for all scholars to conduct research on mathematics education, with emphasis on assessment, curriculum, instruction, theory, technology, equity, as well as features and book review relating to mathematics education. 
The Journal of Mathematics Education aims to publish the best theoretical and empirical research on mathematical curriculum, teaching, learning, technology, and assessment. JME embraces action-oriented, applied research and action research that can have an impact on educational practices."</t>
  </si>
  <si>
    <t>https://www.google.com/search?q=%22Journal+of+Mathematics+Education+%28Education+for+All%29%22+official+journal</t>
  </si>
  <si>
    <t>Journal of Mathematics Education at Teachers College</t>
  </si>
  <si>
    <t>JMETC</t>
  </si>
  <si>
    <t>EdLab Publishing Network</t>
  </si>
  <si>
    <t>"The JMETC is a re-creation of an earlier publication by the Teachers College Columbia University Program in Mathematics and Education. As a peer-reviewed, semi-annual journal, it is intended to provide dissemination opportunities for writers of practice-based or research contributions to the general field of Mathematics Education. Each issue of the JMETC will focus upon an educational theme or issue. The JMETC will have a distinctive niche in the world of education publishing. Our readers are educators from pre K-12 and college and university levels, and from many different disciplines and job positions - teachers, principals, superintendents, professors of education, and other leaders in education."</t>
  </si>
  <si>
    <t>https://www.google.com/search?q=%22Journal+of+Mathematics+Education+at+Teachers+College%22+official+journal</t>
  </si>
  <si>
    <t>Journal of Mathematics Teacher Education</t>
  </si>
  <si>
    <t>JMTE</t>
  </si>
  <si>
    <t>1.259 (2014)</t>
  </si>
  <si>
    <t>"JMTE is devoted to research that seeks to improve the education of mathematics teachers and develop teaching methods that better enable mathematics students to learn. The journal covers all stages of the professional development of mathematics teachers and teacher-educators. It serves as a forum for examining institutional, societal, and cultural influences that impact on teachers' learning and ultimately their students’ learning."
Publisher: Springer
Ranking: 2nd Quartile in SJR Education Journal ranking.
Graded "A" by Toerner and Arzarello (2012).
2014 Impact factor: 1.259
Two types of papers
Research papers: these papers should reflect the main focuses of JMTE and should be of more than local or national
interest: Maximum 10000 words
Reader Commentary: these are short contributions; for example, offering a response to a paper published in JMTEor developing a theoretical idea: Maximum 3000 words
Maximum word lengths include references, figures, appendices, etc.</t>
  </si>
  <si>
    <t>https://www.google.com/search?q=%22Journal+of+Mathematics+Teacher+Education%22+official+journal</t>
  </si>
  <si>
    <t>Journal of Mathematics Teacher Education in Texas</t>
  </si>
  <si>
    <t>JMTET</t>
  </si>
  <si>
    <t>AMTE-Texas</t>
  </si>
  <si>
    <t>"The editorial board will consider various types of submissions, including essays addressing questions related to theory and practice, reviews of resources for mathematics teacher educators, research summaries, book reviews, and news articles related to mathematics teacher education. We encourage submissions from researchers, practitioners, and graduate students that support the mission of AMTE TX. The mission of AMTE-TX is to promote the improvement of mathematics teacher education in all its aspects in the state of Texas."</t>
  </si>
  <si>
    <t>https://www.google.com/search?q=%22Journal+of+Mathematics+Teacher+Education+in+Texas%22+official+journal</t>
  </si>
  <si>
    <t>Journal of Numerical Cognition</t>
  </si>
  <si>
    <t>JNC</t>
  </si>
  <si>
    <t>Mathematical Cognition and Learning Society</t>
  </si>
  <si>
    <t>1.77</t>
  </si>
  <si>
    <t>"The main objective of this Journal is to provide a scholarly forum for the focused discussion of research into numerical cognition. The Journal aims to be inclusive, and takes numerical cognition to encompass for example all branches of mathematics (including spatial reasoning), and welcomes research for its quality, regardless of whether its origins are in (Cognitive) Psychology, Education, Anthropology, or other disciplines."</t>
  </si>
  <si>
    <t>https://www.google.com/search?q=%22Journal+of+Numerical+Cognition%22+official+journal</t>
  </si>
  <si>
    <t>Journal of Physics A: Mathematical and Theoretical</t>
  </si>
  <si>
    <t>J. Phys. A</t>
  </si>
  <si>
    <t>Física matemática e teórica, incluindo métodos matemáticos, sistemas quânticos, mecânica estatística, matéria complexa e teoria de campos.</t>
  </si>
  <si>
    <t>https://iopscience.iop.org/journal/1751-8121</t>
  </si>
  <si>
    <t>Journal of Research and Advances in Mathematics Education</t>
  </si>
  <si>
    <t>JRAMathEdu</t>
  </si>
  <si>
    <t>Universitas Muhammadiyah Surakarta, Indonesia</t>
  </si>
  <si>
    <t>"The JRAMathEdu (Journal of Research and Advances in Mathematics Education) is an open-access and peer-reviewed scholarly international journal devoted to encouraging the academic conversation of researchers in the field of mathematics education. The JRAMathEdu publishes high-quality articles on the topics of technology in mathematics education, mathematics teachers' development, special needs in mathematics education, educational psychology in mathematics education, and ethnomathematics."</t>
  </si>
  <si>
    <t>https://www.google.com/search?q=%22Journal+of+Research+and+Advances+in+Mathematics+Education%22+official+journal</t>
  </si>
  <si>
    <t>Journal of Research in International Education</t>
  </si>
  <si>
    <t>JRIE</t>
  </si>
  <si>
    <t>"The Journal of Research in International Education is a peer-reviewed journal in international education for schools, examiners and higher education institutions throughout the world. The Journal of Research in International Education seeks to advance the understanding and significance of international education. It sets out to undertake a rigorous consideration of the educational implications of the fundamental relationship between human unity and human diversity that `education for international understanding` requires."
Publisher: Sage
Published three times per year
Frequently publishes book reviews (approx. 2-4 pages)</t>
  </si>
  <si>
    <t>https://www.google.com/search?q=%22Journal+of+Research+in+International+Education%22+official+journal</t>
  </si>
  <si>
    <t>Journal of Research in Mathematics Education</t>
  </si>
  <si>
    <t>REDIMAT</t>
  </si>
  <si>
    <t>Hipatia Press</t>
  </si>
  <si>
    <t>Started in 2012, publishes in both English and Spanish
''The Journal of Research in Mathematics Education (REDIMAT) is an electronic quarterly journal of Hipatia Press that publishes articles in the field of mathematics education with significant contributions to the understanding and improvement of the teaching and learning of mathematics. REDIMAT publishes original empirical and theoretical work, drawing on scientific researches focused in a variety of theoretical and methodological approaches.
REDIMAT emerges from the need to respond to the excessive compartmentalization of scientific knowledge that has traditionally existed in the educational field in Spain and Latin America, and aims to be an international space for disciplined debate and criticism through the presentation of theoretical contributions and evidence to promote educational equity and the improvement of our societies.
REDIMAT is a complete and reliable source of information on current works in the field of mathematics education. In this sense, REDIMAT aims to be indexed and abstracted as soon as possible in national and international Social Sciences databases such as Catálogo de Latindex, In-RECS, ERIH, SCOPUS, the Social Science Citation Index and others.''</t>
  </si>
  <si>
    <t>https://hipatiapress.com/hpjournals/index.php/redimat/en</t>
  </si>
  <si>
    <t>até ≈3 meses</t>
  </si>
  <si>
    <t>Journal of Research in Science, Mathematics, and Technology Education</t>
  </si>
  <si>
    <t>JRSMTE</t>
  </si>
  <si>
    <t>Diamond Open Access</t>
  </si>
  <si>
    <t>"The objective of the journal is to publish original articles on a variety of topics and research methods in science, mathematics, and technology education."</t>
  </si>
  <si>
    <t>https://www.google.com/search?q=%22Journal+of+Research+in+Science%2C+Mathematics%2C+and+Technology+Education%22+official+journal</t>
  </si>
  <si>
    <t>Journal of Scholastic Inquiry</t>
  </si>
  <si>
    <t>JSI</t>
  </si>
  <si>
    <t>Center for Scholastic Inquiry</t>
  </si>
  <si>
    <t>The aim is "focused on recognizing, celebrating and highlighting scholarly research, discovery and evidence-based practice in the fields of education, business and behavioral science. CSI publishes three journals including the following -- Journal of Scholastic Inquiry: Business, Journal of Scholastic Inquiry: Behavioral Sciences, Journal of Scholastic Inquiry: Education."</t>
  </si>
  <si>
    <t>https://www.google.com/search?q=%22Journal+of+Scholastic+Inquiry%22+official+journal</t>
  </si>
  <si>
    <t>Journal of Statistics and Data Science Education (formerly Journal of Statistics Education)</t>
  </si>
  <si>
    <t>JSDSE</t>
  </si>
  <si>
    <t>Taylor &amp; Francis / American Statistical Association</t>
  </si>
  <si>
    <t>Ensino e aprendizagem de estatística e ciência de dados, currículo, pedagogia, tecnologia e formação de profissionais e docentes.</t>
  </si>
  <si>
    <t>https://www.tandfonline.com/journals/ujse21</t>
  </si>
  <si>
    <t>Periódico da American Statistical Association; antigo Journal of Statistics Education. APC deve ser conferido antes da submissão. Tempo editorial não informado de forma verificável.</t>
  </si>
  <si>
    <t>Journal of Teacher Education</t>
  </si>
  <si>
    <t>JTE</t>
  </si>
  <si>
    <t>sage</t>
  </si>
  <si>
    <t>Respected journal in teacher education; publishes all subject areas; ideal for TE studies that cut across disciplines.
"The Journal of Teacher Education provides a vital forum for considering practice, policy, and research in teacher education. It examines some of the most timely and important topics in the field, such as: New Teacher Education Standards, Assessing the Outcomes of Teacher Education, Preparing Teachers to Meet the Needs of Diverse Populations, Teacher Education in a Global Society, The Research Base for Teacher Education, Accountability and Accreditation Issues, Collaborating with Arts and Sciences Faculties, Recruiting a More Diverse Teaching Force and Teacher Education Faculty, School-based and Partnership-based Teacher Education, Alternative Approaches to Teacher Education, High Stakes Testing for Teachers and Students, Leadership in 21st Century Schools of Education, The Changing Demographics of Schools and Schooling"
Impact Factor: 2.208. Top Quartile in SJR Education Journal ranking. 17/219 in Education &amp; Educational Research category (as of 2014).</t>
  </si>
  <si>
    <t>https://www.google.com/search?q=%22Journal+of+Teacher+Education%22+official+journal</t>
  </si>
  <si>
    <t>Journal of Technology and Teacher Education</t>
  </si>
  <si>
    <t>JTATE</t>
  </si>
  <si>
    <t>"JTATE serves as a forum for the exchange of knowledge about the use of information technology in teacher education. Journal content covers preservice and inservice teacher education, graduate programs in areas such as curriculum and instruction, educational administration, staff development instructional technology, and educational computing."
Acceptance Rate: rumor has it that there is no back-log here.</t>
  </si>
  <si>
    <t>https://www.google.com/search?q=%22Journal+of+Technology+and+Teacher+Education%22+official+journal</t>
  </si>
  <si>
    <t>Journal of the Association for Information Science and Technology</t>
  </si>
  <si>
    <t>JASIST</t>
  </si>
  <si>
    <t>Wiley</t>
  </si>
  <si>
    <t>The Journal welcomes rigorous work of an empirical, experimental, ethnographic, conceptual, historical, socio-technical, policy-analytic, or critical-theoretical nature. JASIST also commissions in-depth review articles (“Advances in Information Science”) and reviews of print and other media.</t>
  </si>
  <si>
    <t>https://asistdl.onlinelibrary.wiley.com/journal/23301643/journal-metrics</t>
  </si>
  <si>
    <t>https://doi.org/10.1080/00107510500052444</t>
  </si>
  <si>
    <t>Journal of the Learning Sciences</t>
  </si>
  <si>
    <t>JLS</t>
  </si>
  <si>
    <t>ISLS, Taylor &amp; Francis</t>
  </si>
  <si>
    <t>Not specifically mathematics education, but it is worth mentioning because of its ranking (see below).
"The Journal of the Learning Sciences provides a multidisciplinary forum for the presentation and discussion of research on education and learning. Emphasis is placed on important ideas that can change our understanding of learning as well as the practice of education. Articles evolve from disciplines such as artificial intelligence, cognitive science, cognitive and educational psychology, cognitive anthropology, education, and educational psychology."
Impact factor: 1.767. Top Quartile in SJR Education Journal ranking.</t>
  </si>
  <si>
    <t>https://www.google.com/search?q=%22Journal+of+the+Learning+Sciences%22+official+journal</t>
  </si>
  <si>
    <t>≈6 dias triagem; ≈122 dias após revisão</t>
  </si>
  <si>
    <t>Journal of the Physical Society of Japan</t>
  </si>
  <si>
    <t>JPSJ</t>
  </si>
  <si>
    <t>Physical Society of Japan</t>
  </si>
  <si>
    <t>Pesquisa original em física geral, incluindo matéria condensada, física estatística, quântica, nuclear, partículas e áreas correlatas.</t>
  </si>
  <si>
    <t>https://journals.jps.jp/journal/jpsj</t>
  </si>
  <si>
    <t>Journal of Urban Mathematics Education</t>
  </si>
  <si>
    <t>JUME</t>
  </si>
  <si>
    <t>Texas A&amp;M University’s Aggie STEM</t>
  </si>
  <si>
    <t>"The mission of the journal is to foster a transformative global academic space in mathematics that embraces critical research, emancipatory pedagogy, and scholarship of engagement in urban communities. Here, the view of the urban domain extends beyond the geographical context, into the lives of people within the multitude of cultural, social, and political spaces in which mathematics teaching and learning takes place. The Editorial Team embraces the idea that theory and practice are inextricably linked, and can work together in a multiplicity of ways. We welcome submissions from emerging and noted scholars whose research in the urban domain offers important and innovative contributions to the theory and practice of mathematics teaching, learning, and policy."</t>
  </si>
  <si>
    <t>https://www.google.com/search?q=%22Journal+of+Urban+Mathematics+Education%22+official+journal</t>
  </si>
  <si>
    <t>≈2–4 meses</t>
  </si>
  <si>
    <t>Journal on Mathematics Education</t>
  </si>
  <si>
    <t>IndoMS-JME</t>
  </si>
  <si>
    <t>Universitas Sriwijaya and the Indonesian Mathematical Society</t>
  </si>
  <si>
    <t>"The journal functions as a platform for the dissemination of innovative ideas and significant advancements in mathematics education. Its goal is to represent the wide array of research interests and the diverse methodologies employed to investigate these interests. Rather than concentrating exclusively on a specific mathematics teaching program, the journal addresses the methodological, didactical, political, and socio-cultural dimensions of mathematics teaching and learning. IndoMS-JME invites research from all approaches, with a particular emphasis on high-quality articles that possess global relevance and impact on mathematics learning."</t>
  </si>
  <si>
    <t>https://www.google.com/search?q=%22Journal+on+Mathematics+Education%22+official+journal</t>
  </si>
  <si>
    <t>≈1–2 meses</t>
  </si>
  <si>
    <t>Kentucky Journal of Mathematics Teacher Education</t>
  </si>
  <si>
    <t>KJMTE</t>
  </si>
  <si>
    <t>AMTE - Kentucky affiliate</t>
  </si>
  <si>
    <t>Formação de professores de matemática, prática docente, desenvolvimento profissional e pesquisa aplicada à educação matemática.</t>
  </si>
  <si>
    <t>https://www.google.com/search?q=%22Kentucky+Journal+of+Mathematics+Teacher+Education%22+official+journal</t>
  </si>
  <si>
    <t>Learning and Teaching Mathematics</t>
  </si>
  <si>
    <t>LTM</t>
  </si>
  <si>
    <t>AMESA</t>
  </si>
  <si>
    <t>Learning and Teaching Mathematics provides a medium for stimulating and challenging ideas relating to mathematics teaching and learning at all levels. While this journal "listens" to research, it does not publish conventional research reports; rather it presents articles that describe or discuss mathematics teaching and learning from the perspective of the practitioner.
Learning and Teaching Mathematics is a peer-reviewed journal, published two times a year and distributed to all members of AMESA (Association for Mathematics Education of South Africa - AMESA - is the professional association for Mathematics Education in South Africa.)</t>
  </si>
  <si>
    <t>https://www.google.com/search?q=%22Learning+and+Teaching+Mathematics%22+official+journal</t>
  </si>
  <si>
    <t>Math Horizons</t>
  </si>
  <si>
    <t>MH</t>
  </si>
  <si>
    <t>A journal that publishes reader-friendly articles that connect mathematics to other aspects of life (e.g., art, television, politics). Geared toward undergrads.</t>
  </si>
  <si>
    <t>https://www.google.com/search?q=%22Math+Horizons%22+official+journal</t>
  </si>
  <si>
    <t>MathAMATYC Educator</t>
  </si>
  <si>
    <t>MathAMATYC</t>
  </si>
  <si>
    <t>American Mathematical Association of Two-Year Colleges (AMATYC)</t>
  </si>
  <si>
    <t>"Its purpose is to provide an avenue of communication for all mathematics educators concerned with the views, ideas, and experiences pertinent to two-year college teachers and students.Subject Matter: The editorial team of MathAMATYC Educator is interested in articles that focus on mathematics teaching and learning at two-year colleges."
Accept both research-based and practically-focused articles
3 issues per year
Focused on issues relevant to math education at two-year colleges, community colleges, post-secondary level, remediation, etc.</t>
  </si>
  <si>
    <t>https://www.google.com/search?q=%22MathAMATYC+Educator%22+official+journal</t>
  </si>
  <si>
    <t>Mathematical Thinking and Learning</t>
  </si>
  <si>
    <t>MTL</t>
  </si>
  <si>
    <t>1.6 (2022)</t>
  </si>
  <si>
    <t>An international journal interested in interdisciplinary or multiple perspectives on mathematical (you guessed it) thinking and learning, with a particular emphasis on development of reasoning, innovative instructional practices, and cross-cultural comparisons.
"The international mathematics education community is maturing at a rapid and exciting rate. Although this community has developed its own research perspectives and theoretical frameworks, it continues to expand its horizons by drawing upon new theories and research in mathematics, psychology, sociology, philosophy, anthropology, and information technology. Mathematical Thinking and Learning is directed at researchers interested in mathematics education from any of these perspectives, with a particular focus on mathematical thinking, reasoning, and learning. ... In addition to receiving research articles, the journal invites articles that present theoretical and philosophical analyses of issues related to the previous topics."
Was publicly described by Dick Lesh at PME-NA 32 as the best journal in mathematics education. Is often considered one of the Top 3 research journals in mathematics education, behind the Journal for Research in Mathematics Education and with Educational Studies in Mathematics.
Acceptance rate is below 20%. Top Quartile in SJR Education Journal ranking.
Graded "A" by Toerner and Arzarello (2012).</t>
  </si>
  <si>
    <t>https://www.google.com/search?q=%22Mathematical+Thinking+and+Learning%22+official+journal</t>
  </si>
  <si>
    <t>Mathematics Education (MathEdu)</t>
  </si>
  <si>
    <t>ME</t>
  </si>
  <si>
    <t>Formerly known as International Electronic Journal of Mathematics Education (IEJME, ISSN: 1306-3030), changed to Mathematics Education (MathEdu) on March 25, 2015.
The former named International Electronic Journal of Mathematics Education (IEJME) is an online academic journal devoted to reflect a variety of research ideas and methods in the field of mathematics education. MathEdu aims to stimulate discussions at all levels of mathematics education through significant and innovative research studies. The Journal welcomes articles highlighting empirical as well as theoretical research studies, which have a perspective wider than local or national interest.
Volumes 1 through 8 are listed as IEJME, volume 9 began using the new title but retained the volume number.
MathEdu is published three times a year, in January, May and September
double-blind, peer reviewed with a 5% acceptance rate
Abstracted/Indexed in: EBSCO, Elsevier, Cabell’s Directory Index, Index Copernicus, DOAJ, MathDi, EdNA Online Database, NewJour
ISSN: 1306-3030</t>
  </si>
  <si>
    <t>https://www.google.com/search?q=%22Mathematics+Education+%28MathEdu%29%22+official+journal</t>
  </si>
  <si>
    <t>Mathematics Education Research Journal</t>
  </si>
  <si>
    <t>MERJ</t>
  </si>
  <si>
    <t>MERGA</t>
  </si>
  <si>
    <t>Accepts various kinds of articles that are either of interest to an international audience or specifically the Australasian audience.
"MERJ, an official journal of the Mathematics Education Research Group of Australasia, Inc. (MERGA), is an international refereed journal that provides a forum for the publication of research on the teaching and learning of mathematics at all levels. Submissions of high quality papers should normally be of general interest to an international readership, but papers exploring specifically Australasian issues, are welcome."</t>
  </si>
  <si>
    <t>https://www.google.com/search?q=%22Mathematics+Education+Research+Journal%22+official+journal</t>
  </si>
  <si>
    <t>Mathematics Education Review</t>
  </si>
  <si>
    <t>MER</t>
  </si>
  <si>
    <t>Association of Mathematics Education Teachers (UK)</t>
  </si>
  <si>
    <t>MER focuses on articles that are meant for teacher educators (e.g., a special issue about lesson observations of student teachers).</t>
  </si>
  <si>
    <t>https://www.google.com/search?q=%22Mathematics+Education+Review%22+official+journal</t>
  </si>
  <si>
    <t>Mathematics in School</t>
  </si>
  <si>
    <t>MS</t>
  </si>
  <si>
    <t>The Mathematical Association (Britain)</t>
  </si>
  <si>
    <t>"Mathematics in School is a lively journal providing contributions from mathematics practitioners at all levels. It reflects the best of current thinking and practice, exploring possible development and sharing practical experience. As well as articles covering mathematics teaching at both primary and secondary levels, each issue provides practical advice on general teaching methods, information on the analysis of official reports and reviews of classroom based projects and surveys. It is aimed at teachers of primary and secondary pupils, students in training and all those with a professional interest in mathematics education."</t>
  </si>
  <si>
    <t>https://www.google.com/search?q=%22Mathematics+in+School%22+official+journal</t>
  </si>
  <si>
    <t>Mathematics Teacher
(Discontinued publication in 2019)</t>
  </si>
  <si>
    <t>MT</t>
  </si>
  <si>
    <t>National Council of Teachers of Mathematics (NCTM)</t>
  </si>
  <si>
    <t>SPUN OUT OF MATHEMATICS TEACHER AND OTHER NCTM TEACHER JOURNALS IN 2019.</t>
  </si>
  <si>
    <t>https://www.google.com/search?q=%22Mathematics+Teacher%0A%28Discontinued+publication+in+2019%29%22+official+journal</t>
  </si>
  <si>
    <t>Publicação descontinuada em 2019; conteúdo editorial foi reorganizado pelo NCTM. Homepage oficial não foi confirmada; a URL fornecida é uma busca de localização. APC deve ser conferido antes da submissão. Tempo editorial não informado de forma verificável.</t>
  </si>
  <si>
    <t>Mathematics Teacher Education and Development</t>
  </si>
  <si>
    <t>MTED</t>
  </si>
  <si>
    <t>Mathematics Education Research Group of Australasia</t>
  </si>
  <si>
    <t>"MTED is an international refereed journal which provides a stimulating collection of articles with a focus on mathematics teacher education in the broader sense. Submission of high quality papers in any area of mathematics teacher education and development is invited. Topics should normally be of general interest to an international readership, but papers exploring specifically Australasian issues are also welcomed. Quite a diversity of articles will be included: research reports; papers addressing general issues and perspectives; “successful pathways” – reports of exemplary practices that have a strong theoretical basis or have been evaluated effectively; discussion on recent and potential policy decisions and curriculum developments; evaluations of programs, materials, particular practices, relevant research methods (e.g., teacher-as-researcher); summaries of what research says about specific mathematics education professional development themes; philosophical debates; “think" pieces where new ideas are presented; reviews of relevant books and software."</t>
  </si>
  <si>
    <t>https://www.google.com/search?q=%22Mathematics+Teacher+Education+and+Development%22+official+journal</t>
  </si>
  <si>
    <t>Mathematics Teacher Educator</t>
  </si>
  <si>
    <t>MTE</t>
  </si>
  <si>
    <t>AMTE/NCTM</t>
  </si>
  <si>
    <t>Forthcoming journal published jointly by the Association of Mathematics Teacher Educators (AMTE) and National Council of Teachers of Mathematics (NCTM). This journal will be practitioner-based with the intended audience being teacher educators rather than teachers themselves (as in the NCTM journals such as MT, MTMS, and TCM). Peg Smith (University of Pittsburgh) will be the inaugural editor.
Publication is scheduled to start in 2012 with 2 issues per year for the first two years, then a possible increase in frequency after that (depending on submission rates).
Online format</t>
  </si>
  <si>
    <t>https://www.google.com/search?q=%22Mathematics+Teacher+Educator%22+official+journal</t>
  </si>
  <si>
    <t>Mathematics Teacher: Learning and Teaching PK-12</t>
  </si>
  <si>
    <t>MTLT</t>
  </si>
  <si>
    <t>NCTM</t>
  </si>
  <si>
    <t>NAME CHANGED IN 2019 TO MATHEMATICS TEACHER: LEARNING AND TEACHING PK-12. The primary US teachers' journal focusing on high school mathematics.
"The Mathematics Teacher is devoted to improving mathematics instruction from grade 8-14 and supporting teacher education programs. It provides a forum for sharing activities and pedagogical strategies, deepening understanding of mathematical ideas, and linking mathematics education research to practice. Mathematics Teacher solicits submissions from high school mathematics teachers, university mathematicians, and mathematics educators and strongly encourages manuscripts in which ideas relate to classroom practice. Manuscripts previously published in other journals, books or electronic venues are not acceptable. The journal's articles have won numerous awards, including honors from the Society of National Association Publications." 30,278 readers (as of Jan 2011)</t>
  </si>
  <si>
    <t>https://www.google.com/search?q=%22Mathematics+Teacher%3A+Learning+and+Teaching+PK-12%22+official+journal</t>
  </si>
  <si>
    <t>Mathematics Teaching</t>
  </si>
  <si>
    <t>Association of Teachers of Mathematics (UK)</t>
  </si>
  <si>
    <t>At Mathematics Teaching (MT) Journal we're not looking to conform to an ‘official’ view - whatever that may be - on the way mathematics should be taught. Instead the MT Editorial Board wants journal contributors to express their personal views, on the teaching and learning of mathematics. The ATM is an association of teachers; where everyone has a contribution to make, and experiences and insights to share. Whether they're practical, political, philosophical or speculative, we're looking for articles reflecting on the practice of teaching mathematics. We want to publish articles of interest to our broad membership - from Foundation Stage, to Higher and Further Education - as well as balanced between articles derived from research and those from practical experience.</t>
  </si>
  <si>
    <t>https://www.google.com/search?q=%22Mathematics+Teaching%22+official+journal</t>
  </si>
  <si>
    <t>Mathematics Teaching - Research Journal</t>
  </si>
  <si>
    <t>MTRJ</t>
  </si>
  <si>
    <t>City University of New York</t>
  </si>
  <si>
    <t>0.15</t>
  </si>
  <si>
    <t>The Mathematics Teaching-Research Journal (MTRJ) is an online teaching-research journal published four times a year. Each issue consists of teaching-research articles in mathematics that contain ideas, practical tools and other content of interest to experienced teachers, instructors and researchers, as well as to those new to teaching.Mathematics Teaching-Research Journal primarily accepts the submissions which contain both research components and classroom teaching component. If the main focus of the submission is research, then we expect a description, and preferably classroom realization corresponding to the research. If the main focus of the submission is teaching, then we expect some connection to research topics in the profession. Both aspects: teaching and research should be present in the submission.</t>
  </si>
  <si>
    <t>https://www.google.com/search?q=%22Mathematics+Teaching+-+Research+Journal%22+official+journal</t>
  </si>
  <si>
    <t>≈6 semanas</t>
  </si>
  <si>
    <t>Mathematics Teaching in the Middle School
(Discontinued publication in 2019)</t>
  </si>
  <si>
    <t>MTMS</t>
  </si>
  <si>
    <t>"Mathematics Teaching in the Middle School (MTMS) is intended as a resource for middle school students, teachers, and teacher educators. The focus of the journal is on intuitive, exploratory investigations that use informal reasoning to help students develop a strong conceptual basis that leads to greater mathematical abstraction. The journal's articles have won numerous awards, including honors from the Society of National Association Publications."
The primary US teachers' journal focusing on middle school mathematics. 28,102 readers (as of Jan 2011)</t>
  </si>
  <si>
    <t>https://www.google.com/search?q=%22Mathematics+Teaching+in+the+Middle+School%0A%28Discontinued+publication+in+2019%29%22+official+journal</t>
  </si>
  <si>
    <t>Publicação descontinuada em 2019. Homepage oficial não foi confirmada; a URL fornecida é uma busca de localização. APC deve ser conferido antes da submissão. Tempo editorial não informado de forma verificável.</t>
  </si>
  <si>
    <t>Middle Grades Research Journal</t>
  </si>
  <si>
    <t>MGRJ</t>
  </si>
  <si>
    <t>IAP</t>
  </si>
  <si>
    <t>"Middle Grades Research Journal (MGRJ) is a refereed, peer reviewed journal that publishes original studies providing both empirical and theoretical frameworks that focus on middle grades education. A variety of articles are published quarterly in March, June, September, and December of each volume year."</t>
  </si>
  <si>
    <t>https://www.google.com/search?q=%22Middle+Grades+Research+Journal%22+official+journal</t>
  </si>
  <si>
    <t>Nature Physics</t>
  </si>
  <si>
    <t>Nat. Phys.</t>
  </si>
  <si>
    <t>Pesquisa de alta relevância em física fundamental e aplicada, cobrindo amplo espectro de subáreas da física moderna.</t>
  </si>
  <si>
    <t>https://www.nature.com/nphys/</t>
  </si>
  <si>
    <t>NCSM Journal of Mathematics Education Leadership</t>
  </si>
  <si>
    <t>NCSM - JMEL</t>
  </si>
  <si>
    <t>National Council of Supervisors of Mathematics</t>
  </si>
  <si>
    <t>'NCSM is a mathematics education leadership organization that equips and empowers a diverse education community to engage in leadership that supports, sustains, and inspires high quality mathematics teaching and learning every day for each and every learner.''</t>
  </si>
  <si>
    <t>https://www.google.com/search?q=%22NCSM+Journal+of+Mathematics+Education+Leadership%22+official+journal</t>
  </si>
  <si>
    <t>Necatibey Faculty of Education Electronic Journal of Science and Mathematics Education</t>
  </si>
  <si>
    <t>NEF - EFMED</t>
  </si>
  <si>
    <t>DergiPark</t>
  </si>
  <si>
    <t>"Necatibey Faculty of Education Electronic Journal of Science and Mathematics Education (NEF-EFMED) is an open access, electronic-only,peer reviewed scholarly journal.It is published twice a year since December 2007. NEF-EFMED accepts manuscripts related to all Science and Mathematics Education. Its target population is science and mathematics educator, students, teachers and people and institutions who produce products and provide services for educational communities. Original scientific studies are published in the NEF-EFMED for the target population. Manuscripts covering theoretical narratives and experimental studies about science and mathematics education. Technological approaches on instruction in science and mathematics education are also taken into consideration to be published in NEF-EFMED."</t>
  </si>
  <si>
    <t>https://www.google.com/search?q=%22Necatibey+Faculty+of+Education+Electronic+Journal+of+Science+and+Mathematics+Education%22+official+journal</t>
  </si>
  <si>
    <t>Notices of the American Mathematical Society</t>
  </si>
  <si>
    <t>NAMS</t>
  </si>
  <si>
    <t>AMS</t>
  </si>
  <si>
    <t>"By publishing high-level exposition, the Notices provides opportunities for mathematicians and students of mathematics to find out what is going on in the field. Each issue contains one or two such expository articles that describe current developments in mathematical research, written by professional mathematicians. The Notices also carries articles on the history of mathematics, mathematics education, and professional issues facing mathematicians, as well as reviews of books, plays, movies, and other artistic and cultural works involving mathematics. Members keep abreast of official AMS reports, activities, and actions, and the news of the mathematical world, through articles the Notices."</t>
  </si>
  <si>
    <t>https://www.google.com/search?q=%22Notices+of+the+American+Mathematical+Society%22+official+journal</t>
  </si>
  <si>
    <t>Nuclear Physics B</t>
  </si>
  <si>
    <t>NPB</t>
  </si>
  <si>
    <t>Física de altas energias, teoria quântica de campos, física de partículas, sistemas estatísticos e métodos matemáticos relacionados.</t>
  </si>
  <si>
    <t>https://www.journals.elsevier.com/nuclear-physics-b</t>
  </si>
  <si>
    <t>Peabody Journal of Education</t>
  </si>
  <si>
    <t>PJE</t>
  </si>
  <si>
    <t>Taylor &amp; Francis (with Vanderbilt University)</t>
  </si>
  <si>
    <t>"PJE publishes quarterly symposia in the broad area of education, including but not limited to topics related to formal institutions serving students in early childhood, pre-school, primary, elementary, intermediate, secondary, post-secondary, and tertiary education. The scope of the journal includes special kinds of educational institutions, such as those providing vocational training or the schooling for students with disabilities. PJE also welcomes manuscript submissions that concentrate on informal education dynamics, those outside the immediate framework of institutions, and education matters that are important to nations outside the United States. Finally, it includes topics that are linked to the social and organizational context in which formal and informal education take place. The Editor cooperates with groups of scholars to present multifaceted, integrated expositions of important topics. A given issue of PJE may contain contributions from social scientists, historians, philosophers, attorneys, practitioners, and policymakers. Unsolicited proposals for special issues--including designation of participating scholars and an outline of articles--will be accepted for review."</t>
  </si>
  <si>
    <t>https://www.google.com/search?q=%22Peabody+Journal+of+Education%22+official+journal</t>
  </si>
  <si>
    <t>Phi Delta Kappan</t>
  </si>
  <si>
    <t>PDK</t>
  </si>
  <si>
    <t>Phi Delta Kappa Professional Association in Education</t>
  </si>
  <si>
    <t>"[Phi Delta Kappan] addresses issues related to K-12 education. We are interested in topics that most interest educators working in K-12 schools throughout the world. Because policy decisions influence practice, we are very interested in the implications and implementation of policy changes. We want to encourage conversations that inspire changes in practice that lead to improved student learning. We are not an activist publication, but we are active educators who believe that the quality of our work can have an impact on schools throughout the world."</t>
  </si>
  <si>
    <t>https://www.google.com/search?q=%22Phi+Delta+Kappan%22+official+journal</t>
  </si>
  <si>
    <t>Philosophy of Mathematics Education Journal</t>
  </si>
  <si>
    <t>PMEJ</t>
  </si>
  <si>
    <t>Paul Ernest / University of Exeter</t>
  </si>
  <si>
    <t>Created and edited by Paul Ernest.
"Remember we reprint earlier publications to reach a wider or different audience - and you do not surrender copyright. If in doubt, please run your ideas past me!" - Paul Ernest
Graduate students are warmly invited to submit coursework assignments and theses for inclusion in this journal, to make available otherwise inaccessible resources for the benefit of the research community in mathematics education and/or the philosophy of mathematics.
There are no strict guidelines on submissions – authors are requested to make their submissions look like published papers – especially the first page headers etc.
Published online, usually once per year.</t>
  </si>
  <si>
    <t>https://sites.exeter.ac.uk/pmej/</t>
  </si>
  <si>
    <t>Physical Review D</t>
  </si>
  <si>
    <t>PRD</t>
  </si>
  <si>
    <t>American Physical Society</t>
  </si>
  <si>
    <t>Physical Review D is a trusted journal for significant developments in elementary particle physics, field theory, gravitation, cosmology, astrophysics, and physics and cosmology-related astronomy.</t>
  </si>
  <si>
    <t>https://journals.aps.org/prd/</t>
  </si>
  <si>
    <t>https://doi.org/10.1103/PhysRevD.53.7365</t>
  </si>
  <si>
    <t>Physical Review Letters</t>
  </si>
  <si>
    <t>PRL</t>
  </si>
  <si>
    <t>Resultados concisos e de alta relevância em todas as áreas da física.</t>
  </si>
  <si>
    <t>https://journals.aps.org/prl/</t>
  </si>
  <si>
    <t>Physics Letters A</t>
  </si>
  <si>
    <t>PLA</t>
  </si>
  <si>
    <t>The journal Physics Letters A offers a rapid review and publication outlet for novel theoretical and experimental frontier physics.</t>
  </si>
  <si>
    <t>https://www.sciencedirect.com/journal/physics-letters-a</t>
  </si>
  <si>
    <t>Physics Letters B</t>
  </si>
  <si>
    <t>PLB</t>
  </si>
  <si>
    <t>Physics Letters B ensures the rapid publication of important new results in particle physics, nuclear physics and cosmology. Specialized editors are responsible for contributions in experimental nuclear physics, theoretical nuclear physics, experimental high-energy physics, theoretical high-energy physics, astrophysics, astroparticle physics and cosmology.</t>
  </si>
  <si>
    <t>https://www.journals.elsevier.com/physics-letters-b</t>
  </si>
  <si>
    <t>Physics Reports</t>
  </si>
  <si>
    <t>PR</t>
  </si>
  <si>
    <t>The journal Physics Reports publishes timely reviews which are more extensive than just literature surveys but normally less than a full monograph. Each report deals with one specific subject and is generally published in a separate volume. These reviews are specialist in nature but contain enough introductory material to make the main points intelligible to a non-specialist. The reader will not only be able to distinguish important developments and trends in physics but will also find a sufficient number of references to the original literature.</t>
  </si>
  <si>
    <t>https://www.sciencedirect.com/journal/physics-reports</t>
  </si>
  <si>
    <t>https://doi.org/10.1016/0370-1573(80)90154-4</t>
  </si>
  <si>
    <t>PNA: revista en Didáctica de la Matemática.</t>
  </si>
  <si>
    <t>PNA</t>
  </si>
  <si>
    <t>Universidad de Granada, Grupo de Investigacion Didactica de la Matematica</t>
  </si>
  <si>
    <t>PNA is a research journal in mathematics education published by the research group Didáctica de la Matemática: Pensamiento Numérico, FQM-193 of the Andalusian Plan of Research, Development and Innovation (PAIDI). Its goal is to promote and disseminate quality research at national and international levels. It is directed to researchers and education agents in the field. The articles published in PNA can be written in English or Spanish,</t>
  </si>
  <si>
    <t>https://www.google.com/search?q=%22PNA%3A+revista+en+Did%C3%A1ctica+de+la+Matem%C3%A1tica.%22+official+journal</t>
  </si>
  <si>
    <t>PRIMUS (Problems, Resources, and Issues in Mathematics Undergraduate Studies)</t>
  </si>
  <si>
    <t>PRIMUS</t>
  </si>
  <si>
    <t>"PRIMUS is a rich forum for the exchange of ideas in mathematics education at the college level. The journal is a refereed quarterly devoted to dialogue among those interested in teaching undergraduate mathematics. This includes those who prepare students for college level mathematics, those who teach college level mathematics, and those who receive students who have been taught college level mathematics."
Acceptance rate: 58% (2015). Circulation: 2,320 institutions</t>
  </si>
  <si>
    <t>https://www.google.com/search?q=%22PRIMUS+%28Problems%2C+Resources%2C+and+Issues+in+Mathematics+Undergraduate+Studies%29%22+official+journal</t>
  </si>
  <si>
    <t>Pythagoras</t>
  </si>
  <si>
    <t>Association for Mathematics Education of South Africa.</t>
  </si>
  <si>
    <t>Pythagoras "reflects the variety of research concerns, the range of research methods employed and the variety of didactical, methodological and pedagogical issues in the teaching of Mathematics at all levels of education. Pythagoras is thus an academic forum for the presentation and critical discussion of current research and developments in Mathematics Education at national as well as international level."</t>
  </si>
  <si>
    <t>https://www.google.com/search?q=%22Pythagoras%22+official+journal</t>
  </si>
  <si>
    <t>Qualitative Inquiry</t>
  </si>
  <si>
    <t>QI</t>
  </si>
  <si>
    <t>1.3</t>
  </si>
  <si>
    <t>"The journal publishes refereed research articles that experiment with manuscript form and content, and focus on methodological issues raised by qualitative research rather than the content or results of the research. Open to think-pieces and review essays, QI also addresses: Advances in specific methodological strategies or techniques · Key issues in qualitative research · Postmodern, post-structural and/or critical treatments of qualitative or interpretive work · Practical applications of qualitative research · Theoretical discussions on the philosophical bases of qualitative traditions."</t>
  </si>
  <si>
    <t>https://www.google.com/search?q=%22Qualitative+Inquiry%22+official+journal</t>
  </si>
  <si>
    <t>REDIMAT - Revista de Investigacion en didactica de las matematicas</t>
  </si>
  <si>
    <t>Pesquisa empírica e teórica em didática e educação matemática, incluindo aprendizagem, ensino, currículo e formação docente.</t>
  </si>
  <si>
    <t>Research in Higher Education</t>
  </si>
  <si>
    <t>RHE</t>
  </si>
  <si>
    <t>Association for Institutional Research, Springer</t>
  </si>
  <si>
    <t>3.59</t>
  </si>
  <si>
    <t>"Research in Higher Education publishes empirical studies that enhance our understanding of an educational institution or allow comparison among institutions. It focuses on post-secondary education, including two-year and four-year colleges, universities, and graduate and professional schools. Papers in the journal assist faculty and administrators in making more informed decisions about current or future operations and in improving the efficiency and effectiveness of an institution. Among the topics covered in the journal are administration and faculty; curriculum and instruction; student characteristics; alumni assessment; recruitment and admissions; prediction and student academic performance; campus climate; and retention, attrition, and transfer. The journal also publishes brief methodological notes."
Has typically focused on policy-oriented articles or reports of empirical research about institutions of higher educations, but there is a growing movement in this community for the inclusion of studies of post-secondary teaching and learning (e.g., mathematics learning at the undergraduate level).</t>
  </si>
  <si>
    <t>https://www.google.com/search?q=%22Research+in+Higher+Education%22+official+journal</t>
  </si>
  <si>
    <t>Research in Mathematics Education</t>
  </si>
  <si>
    <t>RME</t>
  </si>
  <si>
    <t>Routledge, British Society for Research into Learning Mathematics, Taylor and Francis online</t>
  </si>
  <si>
    <t>1.3 (2022)</t>
  </si>
  <si>
    <t>This journal is international in scope. It "welcomes high-quality research in any methodological tradition and is open to innovative and unusual approaches."
"Research in Mathematics Education is an international English language journal, publishing original refereed articles on all aspects of mathematics education. Papers should address the central issues in terms which are of relevance across educational systems and informed by wider thinking in the field. ... The journal has three sections, covering research papers, book reviews, and current reports."</t>
  </si>
  <si>
    <t>https://www.google.com/search?q=%22Research+in+Mathematics+Education%22+official+journal</t>
  </si>
  <si>
    <t>≈4–5 meses</t>
  </si>
  <si>
    <t>Research Journal of Mathematics and Technology</t>
  </si>
  <si>
    <t>The aims and scope, areas of Interests, submission guidelines are identical to those at eJMT (see above entry for eJMT)
The Research Journal of Mathematics and Technology is a printed version of selected articles from the Electronic Journal of Mathematics and Technology (eJMT: https://php.radford.edu/~ejmt/),
Published semi-annually in June and December of each year.
First issue in June of 2012.</t>
  </si>
  <si>
    <t>https://www.google.com/search?q=%22Research+Journal+of+Mathematics+and+Technology%22+official+journal</t>
  </si>
  <si>
    <t>Results in Physics</t>
  </si>
  <si>
    <t>RINP</t>
  </si>
  <si>
    <t>Resultados originais em amplo espectro da física, com ênfase em contribuições novas e aplicações experimentais, teóricas ou computacionais.</t>
  </si>
  <si>
    <t>https://www.journals.elsevier.com/results-in-physics</t>
  </si>
  <si>
    <t>Review of Educational Research</t>
  </si>
  <si>
    <t>RER</t>
  </si>
  <si>
    <t>"The Review of Educational Research (RER, quarterly, begun in 1931; approximately 640 pp./volume year) publishes critical, integrative reviews of research literature bearing on education. Such reviews should include conceptualizations, interpretations, and syntheses of literature and scholarly work in a field broadly relevant to education and educational research. RER encourages the submission of research relevant to education from any discipline, such as reviews of research in psychology, sociology, history, philosophy, political science, economics, computer science, statistics, anthropology, and biology, provided that the review bears on educational issues. RER does not publish original empirical research unless it is incorporated in a broader integrative review. RER will occasionally publish solicited, but carefully refereed, analytic reviews of special topics, particularly from disciplines infrequently represented."</t>
  </si>
  <si>
    <t>https://www.google.com/search?q=%22Review+of+Educational+Research%22+official+journal</t>
  </si>
  <si>
    <t>Review of Research in Education</t>
  </si>
  <si>
    <t>RRE</t>
  </si>
  <si>
    <t>7.3</t>
  </si>
  <si>
    <t>"Review of Research in Education (RRE), published annually since 1973 (approximately 416 pp./volume year), provides an overview and descriptive analysis of selected topics of relevant research literature through critical and synthesizing essays. Articles are usually solicited for specific RRE issues. There may also be calls for papers. RRE promotes discussion and controversy about research problems in addition to pulling together and summarizing the work in a field."</t>
  </si>
  <si>
    <t>https://www.google.com/search?q=%22Review+of+Research+in+Education%22+official+journal</t>
  </si>
  <si>
    <t>Reviews of Modern Physics</t>
  </si>
  <si>
    <t>RMP</t>
  </si>
  <si>
    <t>Artigos de revisão abrangentes e autoritativos sobre avanços, fundamentos e tendências em física.</t>
  </si>
  <si>
    <t>https://journals.aps.org/rmp/</t>
  </si>
  <si>
    <t>Revista de Investigatción en Didáctica de la Matemática</t>
  </si>
  <si>
    <t>Hypatia Press</t>
  </si>
  <si>
    <t>'REDIMAT. Revista de Investigación en Didactica de las Mathematics is an electronic journal that publishes articles in the field of mathematics education that represent a significant contribution to understanding and improving teaching and learning in mathematics. REDIMAT publishes original empirical and theoretical works, based on scientific investigations, with different theoretical and methodological approaches."</t>
  </si>
  <si>
    <t>https://www.google.com/search?q=%22Revista+de+Investigatci%C3%B3n+en+Did%C3%A1ctica+de+la+Matem%C3%A1tica%22+official+journal</t>
  </si>
  <si>
    <t>Revista do Professor de Matemática</t>
  </si>
  <si>
    <t>RPM</t>
  </si>
  <si>
    <t>Sociedade Brasileira de Matemática (SBM)</t>
  </si>
  <si>
    <t>A revista acolhe matéria, a mais variada, de nível elementar ou avançado, dentro dos parâmetros do ensino básico. O principal critério de seleção do que deve ser publicado é o bom gosto e correção da matéria submetida. Uma experiência interessante em sala de aula, um problema que suscita uma questão pouco conhecida, uma história que valha a pena ser contada, tudo isso pode ser tema de artigos de interesse dos leitores. Em contraste, não se aceitam simples transcrições do que se encontra em livros nem resumo de aulas de rotina.
Toda matéria submetida para publicação deve ser de leitura agradável, escrita com uma distribuição adequada de parágrafos e seções e contendo, inclusive, uma introdução, onde se diga claramente o objetivo do que se vai apresentar. É no início do trabalho que o autor tem sua oportunidade de cativar o interesse do leitor. É importante que o autor tenha em conta o público a que se dirige, lembrando que o trabalho é escrito para ser lido e apreciado; provavelmente o leitor terá dificuldade em ler um artigo escrito sem muita clareza, mesmo que em linguagem rigorosa e exata. Se possível o autor deve examinar seu trabalho do ponto de vista de quem lê e não somente do ponto de vista de quem escreve.
A colaboração do leitor, submetendo artigos, contando suas experiências e apresentando suas idéias, é essencial para o enriquecimento da revista e será sempre bem acolhida pelo Comitê Editorial.</t>
  </si>
  <si>
    <t>https://rpm.org.br/BuscaAvancada.aspx</t>
  </si>
  <si>
    <t>Revista Matemática Universitária</t>
  </si>
  <si>
    <t>RMU</t>
  </si>
  <si>
    <t>Orientação aos autores
Artigos submetidos à revista devem evitar tecnicalidades excessivas e os estilos de notas de sala de aula ou de livro texto. Observamos também que a RMU não é um veículo para artigos de pesquisa ou apresentações muito próximas de livros ou textos existentes. O artigo ideal deve capturar a atenção do leitor com uma introdução adequada e desenvolver o tema proposto de modo a tornar a leitura leve e prazerosa; deve-se manter em mente que a revista não se propõe a publicar textos para estudo, mas sim sugerir direções para isso.
A RMU encoraja os membros da comunidade matemática brasileira e de outros países de língua portuguesa a submeterem para publicação artigos versando sobre temas de Matemática, voltada para alunos e professores de cursos de graduação, licenciatura e pós-graduação em Matemática ou em outras ciências exatas, nos seguintes formatos:
exposições de tópicos não habituais nos programas de disciplinas de cursos de Matemática;
ensaios de áreas de pesquisa atuais que deem uma boa ideia dos temas pesquisados e do estado atual da área;
resenhas de livros, vídeos, filmes e outras produções técnicas ou artísticas relevantes;
resenhas de sites;
biografias de e entrevistas com matemáticos que tenham realizados contribuições significativas à Matemática;
novas exposições de tópicos e resultados habituais, que contemplam, por exemplo, demonstrações não habituais e novas abordagens expositivas;
textos de caráter histórico abordando ideias, eventos e personalidades relevantes;
problemas (com soluções) para a Seção de Problemas;
exemplos do uso de softwares matemáticos no ensino de graduação e pós-graduação, bem como na busca de evidência experimental para conjeturas;
produções literárias diversas, que apresentem assuntos de interesse matemático.</t>
  </si>
  <si>
    <t>https://rmu.sbm.org.br/</t>
  </si>
  <si>
    <t>https://rmu.sbm.org.br/wp-content/uploads/sites/27/2018/03/n31_Artigo01.pdf</t>
  </si>
  <si>
    <t>Scatterplot</t>
  </si>
  <si>
    <t>Mathematical Association of America (MAA)</t>
  </si>
  <si>
    <t>"Scatterplot: The MAA Journal of Data Science serves the mathematics community by providing research and expository content at the intersection of mathematics, data science and educational practice. Suggested topics include pedagogy and teaching practice, development of curricula that combine mathematics and data science at the course or program level, intersections with other disciplines, social justice and ethics, and exposition of mathematical ideas used in data science applications. Teaching approaches that help grow and diversify the population of students in these fields are especially encouraged, as are contributions describing the experience of current students or recent graduates in applications and careers.”</t>
  </si>
  <si>
    <t>https://www.google.com/search?q=%22Scatterplot%22+official+journal</t>
  </si>
  <si>
    <t>School Science and Mathematics</t>
  </si>
  <si>
    <t>SSM</t>
  </si>
  <si>
    <t>School Science and Mathematics Association</t>
  </si>
  <si>
    <t>0.9 (2024)</t>
  </si>
  <si>
    <t>"Founded in 1901, SSM is an international journal that is published monthly, October through May, emphasizing research on issues, concerns, and lessons within and between the disciplines of science and mathematics in the classroom. As a peer-refereed professional journal, it is a trusted resource for science and mathematics educators and is a leader in STEM integration articles." Types: Editorial, Problems, Research Articles, Review Articles, Innovations to Practice.
"We publish research on issues, concerns, and lessons within and between the disciplines of science and mathematics in the classroom."</t>
  </si>
  <si>
    <t>https://www.google.com/search?q=%22School+Science+and+Mathematics%22+official+journal</t>
  </si>
  <si>
    <t>OA: ≈US$ 2.750</t>
  </si>
  <si>
    <t>Homepage oficial não foi confirmada; a URL fornecida é uma busca de localização.</t>
  </si>
  <si>
    <t>Science</t>
  </si>
  <si>
    <t>American Association for the Advancement of Science</t>
  </si>
  <si>
    <t>Pesquisa científica multidisciplinar de alta relevância, cobrindo ciências naturais, biomédicas, sociais e áreas interdisciplinares.</t>
  </si>
  <si>
    <t>https://www.science.org/journal/science</t>
  </si>
  <si>
    <t>Teachers and Teaching: Theory and Practice</t>
  </si>
  <si>
    <t>TT</t>
  </si>
  <si>
    <t>"Teachers and Teaching: theory and practice provides an international focal point for the publication of research on teachers and teaching, in particular on teacher thinking. It offers a means of communication and dissemination of completed research and research in progress, whilst also providing a forum for debate between researchers. This unique journal draws together qualitative and quantitative research from different countries and cultures which focus on the social, political and historical contexts of teaching as work. It includes theoretical reflections on the connections between theory and practice in teachers' work and other research of professional interest."</t>
  </si>
  <si>
    <t>https://www.google.com/search?q=%22Teachers+and+Teaching%3A+Theory+and+Practice%22+official+journal</t>
  </si>
  <si>
    <t>Teachers College Record</t>
  </si>
  <si>
    <t>TCR</t>
  </si>
  <si>
    <t>Teachers College, Columbia.</t>
  </si>
  <si>
    <t>"The Teachers College Record is a journal of research, analysis, and commentary in the field of education. It has been published continuously since 1900.''</t>
  </si>
  <si>
    <t>https://www.google.com/search?q=%22Teachers+College+Record%22+official+journal</t>
  </si>
  <si>
    <t>Teaching and Teacher Education</t>
  </si>
  <si>
    <t>TTE</t>
  </si>
  <si>
    <t>3.9</t>
  </si>
  <si>
    <t>"Teaching and Teacher Education aims to enhance theory, research, and practice in teaching and teacher education through the publication of papers concerned with the analysis of teaching, teaching effectiveness, the factors that determine teachers' thought processes and performances, and the social policies that affect teachers in all aspects and stages of their careers. The journal will recognize that many disciplines - psychology, sociology, anthropology, economics, political science, history, and philosophy - have important contributions to make to the achievement of its goals, and the Editors welcome contributions from them. In the absence of any dominant paradigm, the journal will allow varied approaches to offer empirical research, theoretical and conceptual analyses, and reviews (both qualitative and quantitative syntheses) of high quality. ... Papers should be concerned primarily with teachers, teaching, or teacher education at whatever grade, level, or whatever subject-matter, at any stage of the teacher's career."</t>
  </si>
  <si>
    <t>https://www.google.com/search?q=%22Teaching+and+Teacher+Education%22+official+journal</t>
  </si>
  <si>
    <t>OA: ≈US$ 2.350</t>
  </si>
  <si>
    <t>≈6–7 meses</t>
  </si>
  <si>
    <t>Teaching Children Mathematics
(Discontinued publication in 2019)</t>
  </si>
  <si>
    <t>TCM</t>
  </si>
  <si>
    <t>"Teaching Children Mathematics (TCM) is intended as a resource for elementary school students, teachers, and teacher educators. The focus of the journal is on intuitive, exploratory investigations that use informal reasoning to help students develop a strong conceptual basis that leads to greater mathematical abstraction. The journal's articles have won numerous awards, including honors from the Society of National Association Publications."</t>
  </si>
  <si>
    <t>https://www.google.com/search?q=%22Teaching+Children+Mathematics%0A%28Discontinued+publication+in+2019%29%22+official+journal</t>
  </si>
  <si>
    <t>Teaching for Excellence and Equity in Mathematics</t>
  </si>
  <si>
    <t>TEEM</t>
  </si>
  <si>
    <t>TODOS Mathematics for All.</t>
  </si>
  <si>
    <t>"The journal (TEEM) aims especially to engage mathematics education topics involving excellence and equity simultaneously (rather than either in isolation) in a way that connects research to classroom practice and can directly inform the practice of teachers or professional developers. To this end, articles are welcomed that relate to: (1) all students learning mathematics that is effective and appropriate for them, on and beyond grade level expectations, beyond computational abilities, as problem solvers, (2) a vision or example of what this looks like in the K-12 classroom (or courses for pre-service or in-service teachers), or (3) attention to the roles that language and culture (in a broad sense) have in teaching and learning. The journal defines equity broadly, including (but not limited to) issues of language, gender, ethnicity, and culture. TEEM welcomes addressing issues of language, culture, access, equity, and quality from diverse viewpoints: teachers, teacher-leaders, administrators, professional developers, teacher preparation faculty, etc. The peer-review process includes double-blind review by at least two external referees."</t>
  </si>
  <si>
    <t>https://www.google.com/search?q=%22Teaching+for+Excellence+and+Equity+in+Mathematics%22+official+journal</t>
  </si>
  <si>
    <t>Teaching Mathematics and its Applications</t>
  </si>
  <si>
    <t>TMA</t>
  </si>
  <si>
    <t>Institute of Mathematics and its Applications (UK)</t>
  </si>
  <si>
    <t>"Teaching Mathematics and its Applications provides a forum for the exchange of ideas and experiences which contribute to the improvement of mathematics teaching and learning for students from upper secondary/high school level through to university first degree level. 
A distinctive feature of the journal is its emphasis on the applications of mathematics and mathematical modelling within the context of mathematics education world-wide. The focus of the journal is on the teaching of mathematics and all articles should relate explicitly to the teaching and learning of mathematics and its applications. 
The journal’s readership consists of mathematics teachers, lecturers, students, researchers and those concerned with curriculum development and assessment, indeed anyone concerned about the education of users of mathematics. 
Contributions are invited in two forms: 
Section A consists of research articles based on empirical investigation and/or theoretical argument whose conclusions inform the improvement of mathematics teaching and learning at the relevant level. 
Section B consists of articles based on scholarly argument, informed by knowledge of research, such as innovative approaches to teaching with a justification for considering their wider use."
"Teaching Mathematics and its Applications has broadened its scope to include research on mathematics teacher education and professional development at upper secondary and university levels, recognizing the importance of mathematical knowledge for effective teaching."</t>
  </si>
  <si>
    <t>https://www.google.com/search?q=%22Teaching+Mathematics+and+its+Applications%22+official+journal</t>
  </si>
  <si>
    <t>Texas Mathematics Teacher</t>
  </si>
  <si>
    <t>TMT</t>
  </si>
  <si>
    <t>TCTM</t>
  </si>
  <si>
    <t>Prática e formação docente em matemática, recursos didáticos e desenvolvimento profissional para professores.</t>
  </si>
  <si>
    <t>https://www.google.com/search?q=%22Texas+Mathematics+Teacher%22+official+journal</t>
  </si>
  <si>
    <t>The American Mathematical Monthly</t>
  </si>
  <si>
    <t>AMM</t>
  </si>
  <si>
    <t>The American Mathematical Monthly publishes articles, notes, and other features about mathematics and the profession. Its readers span a broad spectrum of mathematical interests and abilities. Authors are invited to submit articles and notes that bring interesting mathematical ideas to a wide audience of Monthly readers.</t>
  </si>
  <si>
    <t>https://www.tandfonline.com/journals/uamm20</t>
  </si>
  <si>
    <t>https://doi.org/10.1080/00029890.2020.1793635</t>
  </si>
  <si>
    <t>The College Mathematics Journal</t>
  </si>
  <si>
    <t>TCMJ</t>
  </si>
  <si>
    <t>The College Mathematics Journal is designed to enhance classroom learning and stimulate thinking regarding undergraduate mathematics. It publishes research articles, short classroom capsules, problems and solutions, media reviews, and other pieces. All are aimed at the college mathematics curriculum with emphasis on topics taught in the first two years.</t>
  </si>
  <si>
    <t>https://www.tandfonline.com/journals/ucmj20</t>
  </si>
  <si>
    <t>https://www.tandfonline.com/doi/full/10.1080/07468342.2026.2661551</t>
  </si>
  <si>
    <t>The Mathematical Intelligencer</t>
  </si>
  <si>
    <t>TMI</t>
  </si>
  <si>
    <t>Springer Nature Link</t>
  </si>
  <si>
    <t>The Mathematical Intelligencer publishes articles about mathematics, about mathematicians, and about the history and culture of mathematics. Written in an engaging, informal style,* our pages inform and entertain a broad audience of mathematicians and the wider intellectual community.
We welcome expository articles on all kinds of mathematics, and articles that portray the diversity of mathematical communities and mathematical thought, emergent mathematical communities around the world, new interdisciplinary trends, and relations between mathematics and other areas of culture. Humor is welcome, as are puzzles, poetry, fiction, and art.
*Note: The traditional Definition/Theorem/Proof style of research articles is not appropriate here, nor are articles aimed only at specialists.</t>
  </si>
  <si>
    <t>https://link.springer.com/journal/283</t>
  </si>
  <si>
    <t>https://doi.org/10.1007/s00283-014-9525-6</t>
  </si>
  <si>
    <t>The Mathematics Educator</t>
  </si>
  <si>
    <t>MESA in the Department of Mathematics and Science Education at the University of Georgia</t>
  </si>
  <si>
    <t>a student-produced journal published semiannually by the Mathematics Education Student Association (MESA) in the Department of Mathematics and Science Education at the University of Georgia. reports of research (including experiments, case studies, surveys, and historical studies) descriptions of curriclum projects or classroom experiences, literature reviews, theoretical analyses, critiques of general articles, research reports, books, or software commentaries on research methods in mathematics education, commentaries on public policies in mathematics education.</t>
  </si>
  <si>
    <t>https://www.google.com/search?q=%22The+Mathematics+Educator%22+official+journal</t>
  </si>
  <si>
    <t>≈6–8 meses</t>
  </si>
  <si>
    <t>The Mathematics Enthusiast</t>
  </si>
  <si>
    <t>Information Age Publishing</t>
  </si>
  <si>
    <t>Former title: The Montana Mathematics Enthusiast
This journal "is an eclectic internationally circulated peer reviewed journal which focuses on mathematics content, mathematics education research, innovation, interdisciplinary issues and pedagogy... Articles appearing in the journal address issues related to mathematical thinking, teaching and learning at all levels. The focus includes specific mathematics content and advances in that area accessible to readers, as well as political, social and cultural issues related to mathematics education. Journal articles cover a wide spectrum of topics such as mathematics content (including advanced mathematics), educational studies related to mathematics, and reports of innovative pedagogical practices with the hope of stimulating dialogue between pre-service and practicing teachers, university educators and mathematicians. The journal is interested in research based articles as well as historical, philosophical, political, cross-cultural and systems perspectives on mathematics content, its teaching and learning."
Affiliations: ScholarWorks University of Montana</t>
  </si>
  <si>
    <t>https://www.google.com/search?q=%22The+Mathematics+Enthusiast%22+official+journal</t>
  </si>
  <si>
    <t>≈8–12 meses</t>
  </si>
  <si>
    <t>The Oregon Mathematics Teacher</t>
  </si>
  <si>
    <t>TOMT</t>
  </si>
  <si>
    <t>Oregon Council of Teachers of Mathematics</t>
  </si>
  <si>
    <t>"TOMT includes information about activities of OCTM and publishes teacher articles and student activities for grades K through 14 and for teacher-education colleges."</t>
  </si>
  <si>
    <t>https://www.google.com/search?q=%22The+Oregon+Mathematics+Teacher%22+official+journal</t>
  </si>
  <si>
    <t>The Teaching of Mathematics</t>
  </si>
  <si>
    <t>TTM</t>
  </si>
  <si>
    <t>Društvo matematičara Srbije, Beograd (Mathematical Society of Serbia)</t>
  </si>
  <si>
    <t>'THE TEACHING OF MATHEMATICS started in 1998 as a separate volume of Nastava Matematike, a pedagogical journal in Serbian, which has been edited since 1952. The Teaching is exclusively research oriented. All contributed papers containing essentially new ideas and techniques relevant for teaching of mathematics at all levels, recommended by our referees, will be considered for publication. In particular, the papers containing subject analysis of selected teaching themas and new ways of their modelling will be welcomed. The languages of this Journal are the congress languages of the International Mathematical Union.
This journal approves and supports the International Mathematical Union's Best Current Practices for Journals (2010) and Code of Practice (2012) by European Mathematical Society Ethics Committee.
The Teaching of Mathematics journal does not have any article processing charges (APCs) nor article submission charges nor publication fee.''</t>
  </si>
  <si>
    <t>https://www.google.com/search?q=%22The+Teaching+of+Mathematics%22+official+journal</t>
  </si>
  <si>
    <t>Sem APC</t>
  </si>
  <si>
    <t>Theoretical and Mathematical Physics</t>
  </si>
  <si>
    <t>TMP</t>
  </si>
  <si>
    <t>Pesquisa em física teórica e matemática, incluindo teoria quântica de campos, sistemas integráveis, gravitação, cosmologia e métodos matemáticos.</t>
  </si>
  <si>
    <t>https://www.springer.com/journal/11232</t>
  </si>
  <si>
    <t>Theory into Practice</t>
  </si>
  <si>
    <t>TP</t>
  </si>
  <si>
    <t>Routledge and Ohio State University.</t>
  </si>
  <si>
    <t>Each issue typically has a central theme developed by a guest editor. The guest editor submits a proposal to have an issue around a particular theme (typically 8-10 articles per issue). Then, upon approval, the guest editor solicits the articles from authors. "Authors should be made aware that TIP articles focus on concepts and ideas. Although authors are encouraged to include research and case studies to support ideas, an article should not focus on a single research study or case example. Manuscripts are generally 3,000-4,000 words in length."</t>
  </si>
  <si>
    <t>https://www.google.com/search?q=%22Theory+into+Practice%22+official+journal</t>
  </si>
  <si>
    <t>Turkish Journal of Computer and Mathematics Education</t>
  </si>
  <si>
    <t>TURCOMAT</t>
  </si>
  <si>
    <t>Science Research Society</t>
  </si>
  <si>
    <t>'Turkish Journal of Computer and Mathematics Education (TURCOMAT) is an international refereed (peer-reviewed) journal and published three issues per year (April, August and December). The Journal publishes educational researches related to mathematics education (See focus and scope on website). The journal is devoted to action researcher mathematics teachers, teacher educators, researchers, computer education and mathematics teacher candidates, foundations and people who are interested in mathematics education.''</t>
  </si>
  <si>
    <t>https://www.google.com/search?q=%22Turkish+Journal+of+Computer+and+Mathematics+Education%22+official+journal</t>
  </si>
  <si>
    <t>Turkish Journal of Mathematics Education</t>
  </si>
  <si>
    <t>TUJME</t>
  </si>
  <si>
    <t>TURKBILMAT Education Services</t>
  </si>
  <si>
    <t>"The Journal publishes educational researches related to mathematics education. The journal is devoted to action researcher mathematics teachers, teacher educators, researchers, mathematics teacher candidates, foundations, and people who are interested in mathematics education."</t>
  </si>
  <si>
    <t>https://tujme.org/index.php/tujme/index</t>
  </si>
  <si>
    <t>Unnes Journal of Mathematics Education</t>
  </si>
  <si>
    <t>UJME</t>
  </si>
  <si>
    <t>Department of Mathematics, Faculty of Mathematics and Natural Sciences, Universitas Negeri Semarang</t>
  </si>
  <si>
    <t>'Unnes Journal of Mathematics Education (UJME) publishes research issues on mathematics education. The UJME processes manuscripts resulted from a research in mathematics education scope, which includes, but is not limited to the topics of didactic development research (DDR), research and development (RnD) in mathematics education, ethnomathematics in mathematics education, realistic mathematics education, psychology of mathematics education and technology in mathematical instruction. The manuscript must be original research, written in English, and not be simultaneously submitted to another journal or conference.''</t>
  </si>
  <si>
    <t>https://www.google.com/search?q=%22Unnes+Journal+of+Mathematics+Education%22+official+journal</t>
  </si>
  <si>
    <t>Virginia Mathematics Teacher</t>
  </si>
  <si>
    <t>VMT</t>
  </si>
  <si>
    <t>Virginia Council of Teachers of Mathematics (affiliate of NCTM)</t>
  </si>
  <si>
    <t>"We gladly accept articles of interest to our membership on a rolling basis.  All articles should be a blinded, single-spaced Word document 
with 12 pt. Times New Roman font, in APA style.  To submit an article, click the "Submit via Scholastica" button below. To get more information, contact Dr. Agida Manizade at vmt@radford.edu. Virginia residents whose articles appear in the VMT will be granted free membership for one year."</t>
  </si>
  <si>
    <t>https://www.google.com/search?q=%22Virginia+Mathematics+Teacher%22+official+journal</t>
  </si>
  <si>
    <t>World Journal of Education</t>
  </si>
  <si>
    <t>WJE</t>
  </si>
  <si>
    <t>"World Journal of Education is a peer-review journal, published by Sciedu Press. It is devoted to publishing research papers in the fields of education, teaching, learning and other relevant subjects. This includes primary, secondary, tertiary and other higher education disciplines such as but not limited to special education (SpEd), normal and even express streams of the academe. It is published semi-annually in both online and printed versions."</t>
  </si>
  <si>
    <t>https://www.google.com/search?q=%22World+Journal+of+Education%22+official+journal</t>
  </si>
  <si>
    <t>ZDM - Mathematics Education</t>
  </si>
  <si>
    <t>ZDM</t>
  </si>
  <si>
    <t>"ZDM is one of the oldest mathematics education research journals in publication. The journal surveys, discusses, and builds upon current research and theoretical-based perspectives in mathematics education. In addition, it serves as a forum for critical analysis of issues within the field. All the papers published in the journal’s six annual themed issues are strictly by invitation. These papers are subject to an internal peer review by selected members from the editorial board as well as an external review by invited experts. The journal targets readers from around the world in mathematics education research who are interested in current developments in the field."</t>
  </si>
  <si>
    <t>https://www.google.com/search?q=%22ZDM+-+Mathematics+Education%22+official+journal</t>
  </si>
  <si>
    <t>≈81 dias</t>
  </si>
  <si>
    <t>Loop vertical, razão entre altura e raio e o alcance atual da automação de frontend</t>
  </si>
  <si>
    <t>https://www.youtube.com/watch?v=yvrqztc1NeA</t>
  </si>
  <si>
    <t>Uma Equação Diofantina sem Soluções Positivas | 5^(2m) − 1 = n²</t>
  </si>
  <si>
    <t>https://www.youtube.com/watch?v=0Zk2XbYPopo</t>
  </si>
  <si>
    <t>Agentes de Inteligência Artificial: Conceitos, Funcionamento, Aplicações e Limitações</t>
  </si>
  <si>
    <t>https://www.youtube.com/watch?v=oaKXsIK8768</t>
  </si>
  <si>
    <t>Why Does He Spin Faster? Angular Momentum Explained Clearly</t>
  </si>
  <si>
    <t>https://www.youtube.com/watch?v=zBJQdOW0DYg</t>
  </si>
  <si>
    <t>Why the Gradient Is Orthogonal to Level Surfaces</t>
  </si>
  <si>
    <t>https://www.youtube.com/watch?v=E-RCxwW9PBw</t>
  </si>
  <si>
    <t>Por que o gradiente é perpendicular às superfícies de nível?</t>
  </si>
  <si>
    <t>https://www.youtube.com/watch?v=jMSWzqKGbBs</t>
  </si>
  <si>
    <t>Um problema clássico brasileiro de geometria plana que parece fácil, mas não é.</t>
  </si>
  <si>
    <t>https://www.youtube.com/watch?v=uVLGv0mEACs</t>
  </si>
  <si>
    <t>Plane Geometry Problem from a Classic Brazilian Mathematics Book</t>
  </si>
  <si>
    <t>https://www.youtube.com/watch?v=XBjucUgcMCs</t>
  </si>
  <si>
    <t>From Cardano to Coupled Oscillators: Solving Cubic Equations in Physics</t>
  </si>
  <si>
    <t>https://www.youtube.com/watch?v=KrL0sttfNZ8</t>
  </si>
  <si>
    <t>Derivative of the exponential function via the limit definition</t>
  </si>
  <si>
    <t>https://www.youtube.com/watch?v=RBGLS71u6wI</t>
  </si>
  <si>
    <t>Aula "trilha rápida do analista de dados": exemplos de funções (Python, SQL e DAX) muito utilizadas.</t>
  </si>
  <si>
    <t>https://www.youtube.com/watch?v=dLDmXewxwpA</t>
  </si>
  <si>
    <t>O problema do SAT que todos erraram: paradoxo das moedas e roda de Aristóteles</t>
  </si>
  <si>
    <t>IME 2022: números complexos resolvendo um problema de geometria</t>
  </si>
  <si>
    <t>https://www.youtube.com/watch?v=jt6RW7yieIs</t>
  </si>
  <si>
    <t>Pêndulo duplo simulado em Python - sistemas dinâmicos e caos na mecânica clássica</t>
  </si>
  <si>
    <t>https://www.youtube.com/watch?v=oyBss2H3a_g</t>
  </si>
  <si>
    <t>"Quick and dirty": análise de dados com Python - Precificação e elasticidade.</t>
  </si>
  <si>
    <t>https://www.youtube.com/watch?v=Vn45DCpdXNw</t>
  </si>
  <si>
    <t>SymPy: fazendo álgebra simbólica com Python</t>
  </si>
  <si>
    <t>https://www.youtube.com/watch?v=LqBHkFpW6vk</t>
  </si>
  <si>
    <t>Questão Dissertativa do IME de 2026: uma demonstração que engana muita gente. Desafiadora!</t>
  </si>
  <si>
    <t>https://www.youtube.com/watch?v=oY2PUGaeMuw</t>
  </si>
  <si>
    <t>Demonstração da desigualdade matemática (exercício 2.7 do livro The Cauchy-Schwarz Master Class).</t>
  </si>
  <si>
    <t>https://www.youtube.com/watch?v=MXczcfmpxGY</t>
  </si>
  <si>
    <t>Aula 01 — Python do zero para análise de dados: variáveis, lógica e primeiros códigos</t>
  </si>
  <si>
    <t>https://www.youtube.com/watch?v=oclZGqDb9R0</t>
  </si>
  <si>
    <t>Desigualdade de Cauchy–Schwarz: uma demonstração simples para estudantes avançados do ensino médio.</t>
  </si>
  <si>
    <t>https://www.youtube.com/watch?v=5UVnLilScIg</t>
  </si>
  <si>
    <t>Prova matemática: Sejam p e q inteiros tais que p + q + pq é par. Prove que p e q são pares.</t>
  </si>
  <si>
    <t>https://www.youtube.com/watch?v=VmDh5tRMMX4</t>
  </si>
  <si>
    <t>Questão de Olimpíada de Física: partícula material sobre um bloco alongado de comprimento L.</t>
  </si>
  <si>
    <t>https://www.youtube.com/watch?v=scRQ5DAtjjw</t>
  </si>
  <si>
    <t>Resolvendo (polinômios): x³ + px + q é divisível por (x-a)², encontre a relação entre p e q.</t>
  </si>
  <si>
    <t>https://www.youtube.com/watch?v=RDFBAXc1P9E</t>
  </si>
  <si>
    <t>Questão 05, Dia 02 da prova do IME-2025/2026 (questão dissertativa da prova de matemática)</t>
  </si>
  <si>
    <t>https://www.youtube.com/watch?v=2Rhxz9y4Wv0</t>
  </si>
  <si>
    <t>Teste de Wilcoxon: quando usar estatística não paramétrica</t>
  </si>
  <si>
    <t>https://www.youtube.com/watch?v=ET12FMffAmI</t>
  </si>
  <si>
    <t>Questão #160 Dia 2 (azul) do ENEM 2025 (questão de geometria analítica)</t>
  </si>
  <si>
    <t>Teste de complexidade temporal do método select (numpy) vs apply (pandas)</t>
  </si>
  <si>
    <t>https://www.youtube.com/watch?v=dJwS3mv8Ooo</t>
  </si>
  <si>
    <t>Como visualizar dados longitudinais: linhas, heatmaps e painéis</t>
  </si>
  <si>
    <t>https://www.youtube.com/watch?v=Etwy8F1cmzA</t>
  </si>
  <si>
    <t>Como calcular a área de uma folha inscrita em um quadrado | Geometria explicada passo a passo</t>
  </si>
  <si>
    <t>https://www.youtube.com/watch?v=FX4Q6VrbzgM</t>
  </si>
  <si>
    <t>How to find the radius of the incircle of a right triangle</t>
  </si>
  <si>
    <t>https://www.youtube.com/watch?v=pY17bWLx5Xw</t>
  </si>
  <si>
    <t>A Polia de Atwood escondendo o Teorema de Pitágoras</t>
  </si>
  <si>
    <t>https://www.youtube.com/watch?v=Deud6fViSQw</t>
  </si>
  <si>
    <t>Find the Inradius of a Right Triangle: a Clean Geometry Solution</t>
  </si>
  <si>
    <t>https://www.youtube.com/watch?v=8ufPXCY2XJM</t>
  </si>
  <si>
    <t>The Sliding Wedge Problem: Newtonian Mechanics Done Right</t>
  </si>
  <si>
    <t>https://www.youtube.com/watch?v=AO0EU9an06s</t>
  </si>
  <si>
    <t>Bloco em um Plano Inclinado Deslizante (Leis de Newton)</t>
  </si>
  <si>
    <t>https://www.youtube.com/watch?v=NfphOjG623Y</t>
  </si>
  <si>
    <t>https://www.youtube.com/watch?v=-HVx9UttdIc</t>
  </si>
  <si>
    <t>Warp Drive in General Relativity: Faster-than-Light Without Breaking Locally</t>
  </si>
  <si>
    <t>https://www.youtube.com/watch?v=SxDXN2_ATpM</t>
  </si>
  <si>
    <t>Como uma partícula atravessa uma barreira? Simulando tunelamento em Python</t>
  </si>
  <si>
    <t>https://www.youtube.com/watch?v=z7aMYTNa7ms</t>
  </si>
  <si>
    <t>Benderama: banach-tarski machine and quantum Bender. Explanation of the harmonic series divergence.</t>
  </si>
  <si>
    <t>https://www.youtube.com/watch?v=zb1tEaJ2yFc</t>
  </si>
  <si>
    <t>Resolvendo equação polinomial de quarta ordem e demonstrando um teorema de redução de ordem</t>
  </si>
  <si>
    <t>https://www.youtube.com/watch?v=jdkhDn97CMA</t>
  </si>
  <si>
    <t>Canal</t>
  </si>
  <si>
    <t>Estatística e Probabilidade</t>
  </si>
  <si>
    <t>Ciência de Dados e IA</t>
  </si>
  <si>
    <t>Física Clássica</t>
  </si>
  <si>
    <t>Geometria</t>
  </si>
  <si>
    <t>DASHBOARD DE PRODUÇÃO INTELECTUAL</t>
  </si>
  <si>
    <t>Tema</t>
  </si>
  <si>
    <t>Saídas concluídas</t>
  </si>
  <si>
    <t>PRODUÇÃO POR TEMA</t>
  </si>
  <si>
    <t>PRODUÇÃO POR CANAL</t>
  </si>
  <si>
    <t>Média saídas/projeto</t>
  </si>
  <si>
    <t>Projetos com ≥1 saída</t>
  </si>
  <si>
    <t>Projetos sem saída</t>
  </si>
  <si>
    <t>Projetos multicanal (≥3)</t>
  </si>
  <si>
    <t>Temas ativos</t>
  </si>
  <si>
    <t>Canais ativos</t>
  </si>
  <si>
    <t>Periódicos fit ≥4</t>
  </si>
  <si>
    <t>TOP 10 PROJETOS POR SAÍDAS CONCLUÍDAS</t>
  </si>
  <si>
    <t>PERIÓDICOS (pipeline de submissão)</t>
  </si>
  <si>
    <t>Periódicos mapeados</t>
  </si>
  <si>
    <t>Fit 5 (prioridade)</t>
  </si>
  <si>
    <t>Fit ≥4</t>
  </si>
  <si>
    <t>Impact Factor médio</t>
  </si>
  <si>
    <t>Open Access declarado</t>
  </si>
  <si>
    <t>Artigos planejados (Journal)</t>
  </si>
  <si>
    <t>QUALIDADE DOS DADOS (itens a corrigir)</t>
  </si>
  <si>
    <t>Verificação</t>
  </si>
  <si>
    <t>Ocorrências</t>
  </si>
  <si>
    <t>Projetos sem tema atribuído</t>
  </si>
  <si>
    <t>Periódicos sem Impact Factor</t>
  </si>
  <si>
    <t>arXiv/SSRN (link)</t>
  </si>
  <si>
    <t>Journal (link)</t>
  </si>
  <si>
    <t>Research Gate (link)</t>
  </si>
  <si>
    <t>YouTube (link)</t>
  </si>
  <si>
    <t>TikTok (link)</t>
  </si>
  <si>
    <t>LinkedIn (link)</t>
  </si>
  <si>
    <t>Newsletter LinkedIn (link)</t>
  </si>
  <si>
    <t>Substack (link)</t>
  </si>
  <si>
    <t>GitHub (link)</t>
  </si>
  <si>
    <t>Oz.io (link)</t>
  </si>
  <si>
    <t>Oz Site (link)</t>
  </si>
  <si>
    <t>Curso (link)</t>
  </si>
  <si>
    <t>Tarefas de baixa complexidade no desenvolvimento de frontend já podem ser executadas por inteligência artificial generativa. Isso inclui a criação de interfaces, páginas estáticas, animações, componentes simples e integração com serviços de hospedagem. Sistemas com gerenciamento de estado, autenticação, acessibilidade, testes, segurança e manutenção contínua ainda exigem supervisão técnica. Parte das tarefas de backend e full-stack também tende a ser incorporada a esse processo de automação.
Conectei o Codex, da OpenAI, ao meu repositório no GitHub e descrevi uma aplicação em HTML para simular um problema elementar de mecânica. Uma partícula pontual é abandonada do repouso em uma rampa de altura H e percorre, sem atrito, um loop circular vertical de raio R. O problema consiste em determinar o valor mínimo da razão
k = H/R
Para que a partícula complete a trajetória sem perder contato com a pista. No topo do loop, a resultante radial é dada por
N + Mg = Mv²/R
Em que N é a força normal. Como a pista não pode exercer força de tração sobre a partícula, deve-se impor N ≥ 0.
A velocidade mínima no topo ocorre no caso limite N = 0, de modo que
v² = gR.
Pela conservação da energia mecânica entre a posição inicial e o topo do loop, situado a uma altura 2R, tem-se
MgH = Mv²/2 + 2MgR.
Substituindo v² = gR, obtém-se
Hₘᵢₙ = 5R/2,
e, portanto,
kₘᵢₙ = Hₘᵢₙ/R = 5/2.
A massa M se cancela na dedução. O resultado depende apenas da geometria do sistema e das hipóteses de ausência de atrito, de partícula pontual e de contato contínuo com a pista. O Codex deduziu as equações sem que eu as fornecesse. Isso era esperado em um problema clássico desse nível. O aspecto mais relevante foi a execução do restante do fluxo. O agente acessou o repositório, criou os arquivos do projeto, integrou a aplicação ao meu site e publicou o resultado no GitHub Pages [1].
Eu pretendia desenvolver aplicações para o ensino de física, mas este projeto competia com minhas atividades acadêmicas. Com o ChatGPT, esse plano pode começar a ser implementado. Por enquanto, os projetos serão hospedados no meu site. Mas, futuramente, penso em desenvolver um app.
O vídeo em anexo apresenta uma prova de conceito (PoC) desenvolvida em Python. A aplicação em HTML está disponível na Ref. [2].
Referências
[1] https://ozsp12.github.io
[2] https://ozsp12.github.io/physics_anim/rollercoster_loop/</t>
  </si>
  <si>
    <t>Existe algum par de inteiros positivos que satisfaça essa equação? Neste vídeo, demonstramos, por contradição, que tal par não existe.
O argumento começa reescrevendo a potência de 5 como um quadrado. Isso transforma a equação em uma diferença de quadrados, que pode ser fatorada como o produto de dois inteiros positivos iguais a 1.
Como a única fatoração positiva de um é um por um, ambos os fatores devem ser iguais a um. Subtraindo as equações resultantes, concluímos que uma das variáveis deve ser igual a zero, o que contradiz a hipótese de que ela é positiva.
A demonstração não depende da base cinco. Ela estabelece o fato mais geral de que dois quadrados perfeitos positivos não podem diferir por uma unidade. A diferença entre o quadrado de um inteiro e o quadrado de seu antecessor é igual ao dobro desse inteiro menos 1. Essa diferença é igual a 1 quando o menor quadrado é zero.
Este vídeo apresenta uma introdução à teoria elementar dos números, à prova por contradição, à fatoração e às equações diofantinas. Hardy e Wright, assim como Niven, Zuckerman e Montgomery, oferecem introduções gerais à teoria dos números. Mordell apresenta um tratamento mais específico das equações diofantinas.
CAPÍTULOS
00:00 Enunciado do teorema
01:11 Produto de inteiros positivos
02:00 Conclusão e generalização
02:40 Referências em teoria dos números
03:32 Equações diofantinas e leituras complementares
REFERÊNCIAS
1. G. H. Hardy e E. M. Wright, An Introduction to the Theory of Numbers, 6ª ed., Oxford University Press, 2008.
2. Ivan Niven, Herbert S. Zuckerman e Hugh L. Montgomery, An Introduction to the Theory of Numbers, 5ª ed., Wiley, 1991.
3. David M. Burton, Elementary Number Theory, 7ª ed., McGraw-Hill, 2011.
4. Kenneth Ireland e Michael Rosen, A Classical Introduction to Modern Number Theory, 2ª ed., Springer, 1990.
5. Titu Andreescu e Dorin Andrica, Number Theory: Structures, Examples, and Problems, Birkhäuser, 2009.
6. Louis J. Mordell, Diophantine Equations, Academic Press, 1969.</t>
  </si>
  <si>
    <t>Neste vídeo, apresento uma introdução estruturada aos agentes de inteligência artificial: sistemas capazes de interpretar objetivos, planejar ações, utilizar ferramentas externas e executar tarefas em diferentes níveis de autonomia.
O conteúdo distingue agentes de IA, assistentes inteligentes e chatbots, examinando características como memória contextual, planejamento, uso de ferramentas e adaptação ao contexto. Também descreve o ciclo típico de funcionamento de um agente: compreender o objetivo, elaborar um plano, buscar informações, executar ações e avaliar os resultados.
Discutem-se a integração com mecanismos de busca, bases de dados, ambientes de execução, APIs e aplicações externas, bem como os usos práticos em pesquisa, análise de dados, produção de conteúdo, programação, automação e geração de relatórios estruturados. O vídeo também apresenta diferentes categorias de agentes, sistemas coordenados por subagentes especializados e arquiteturas multiagente.
Por fim, são analisadas limitações como erros de interpretação, falhas de execução, riscos de segurança e problemas de confiabilidade, destacando a importância da supervisão humana e do controle dos resultados. O objetivo é oferecer uma visão clara e tecnicamente fundamentada sobre os agentes de IA.
00:00 Introdução aos agentes de IA
01:49 O que é um agente de IA
03:01 Chatbots, assistentes e agentes
04:14 Características fundamentais
05:27 Ciclo de funcionamento
06:40 Integração com ferramentas externas
07:53 Aplicações práticas
09:01 Geração de resultados estruturados
10:08 Classificação dos agentes
11:17 Arquiteturas multiagente
12:31 Limitações e supervisão humana</t>
  </si>
  <si>
    <t>What happens when a person spinning on a rotating chair pulls two dumbbells closer to the body?
In this video, we explore one of the clearest demonstrations of angular momentum conservation. The explanation connects rotational speed, moment of inertia, external torque, rotational kinetic energy, and the distribution of mass around the axis of rotation.
The central idea is simple: when the dumbbells move closer to the rotation axis, the moment of inertia decreases. Since the external torque is negligible, angular momentum remains approximately conserved, so the rotational speed increases. This is an excellent example of how changing the distribution of mass can alter rotational motion without requiring a significant external torque. The video includes:
• A conceptual physics challenge
• A direct and intuitive solution
• Definitions of angular velocity, moment of inertia, torque, and angular momentum
• A detailed comparison between the initial and final states
• A discussion of why rotational kinetic energy is not conserved in this process
• Applications to figure skating, diving, gymnastics, and rigid-body dynamics
• A final review with textbook references for further study
Chapters
00:00 The Rotating-Chair Physics Challenge
00:34 Why Pulling the Dumbbells Increases the Spin
01:19 Angular Velocity, Rotation Axis, and Moment of Inertia
02:20 External Torque and Conservation of Angular Momentum
03:28 Detailed Comparison of the Initial and Final States
04:29 Review of Angular Momentum and Moment of Inertia
06:20 References and Further Reading
References
1. Halliday, D., Resnick, R., &amp; Walker, J. Fundamentals of Physics. 11th ed. Wiley, 2018. Chapters 10–11: Rotational Motion and Angular Momentum.
2. Serway, R. A., &amp; Jewett, J. W. Physics for Scientists and Engineers with Modern Physics. 10th ed. Cengage, 2018. Chapters 10–11: Rotation of Rigid Bodies and Conservation Laws.
3. Tipler, P. A., &amp; Mosca, G. Physics for Scientists and Engineers. 7th ed. W. H. Freeman, 2008. Chapter 10: Rotation and Angular Momentum.
4. Marion, J. B., &amp; Thornton, S. T. Classical Dynamics of Particles and Systems. 5th ed. Cengage, 2013. Chapter 9: Rotational Motion of Rigid Bodies.
5. Goldstein, H., Poole, C., &amp; Safko, J. Classical Mechanics. 3rd ed. Addison-Wesley, 2002. Chapter 5: Rotational Motion.</t>
  </si>
  <si>
    <t>In this video, I present a visual explanation of the relationship between linear algebra and differential calculus: vectors orthogonal to the same nonzero vector lie in the same plane. In R³, given a non-zero vector c, the set of all vectors x such that the inner product between x and c is equal to zero forms a two-dimensional vector subspace. Geometrically, this subspace is a plane perpendicular to the vector c. Thus, if three vectors u, v, and w simultaneously satisfy:
[u , c] = 0,  
[v , c] = 0,  
[w , c] = 0.
where [ , ] denotes the usual inner product. Then all three belong to the same plane, perpendicular to c. Since this plane has dimension 2, three vectors contained in it cannot be linearly independent. Therefore, u, v, and w are necessarily linearly dependent. This idea arises naturally in geometry and differential calculus.
When we have a level surface, that is, a surface defined by the points at which a function g(x, y, z) assumes a constant value, any curve contained in that surface preserves this value along its path. By differentiating this condition using the chain rule, we obtain that the inner product between the gradient of g and the tangent vector to the curve is zero. In other words, the tangent vector to the curve is orthogonal to the gradient of the function. Hence, the gradient points in the normal direction to the level surface.
At the intersection of two level surfaces, the intersection curve has a tangent vector that is simultaneously orthogonal to both gradients. For this reason, this tangent vector is parallel to the cross product of the gradients of the two functions.
References
[1] Apostol, T. M. (1969). Calculus, Volume II: Multi-variable calculus and linear algebra, with applications to differential equations and probability (2nd ed.). John Wiley &amp; Sons.
[2] Axler, S. (2015). Linear algebra done right (3rd ed.). Springer.
[3] do Carmo, M. P. (1976). Differential geometry of curves and surfaces. Prentice-Hall.
[4] Hoffman, K., &amp; Kunze, R. (1971). Linear algebra (2nd ed.). Prentice-Hall.
[5] Lee, J. M. (2013). Introduction to smooth manifolds (2nd ed.). Springer.
[6] Marsden, J. E., &amp; Tromba, A. J. (2003). Vector calculus (5th ed.). W. H. Freeman.
[7] Spivak, M. (1965). Calculus on manifolds: A modern approach to classical theorems of advanced calculus. W. A. Benjamin.
[8] Strang, G. (2016). Introduction to linear algebra (5th ed.). Wellesley-Cambridge Press.</t>
  </si>
  <si>
    <t>Neste vídeo, organizei uma explicação visual sobre a relação entre álgebra linear e cálculo diferencial: vetores ortogonais a um mesmo vetor não nulo pertencem ao mesmo plano.  Em R³, dado um vetor c não nulo, o conjunto de todos os vetores x tais que o produto escalar entre x e c é igual a zero forma um subespaço vetorial de dimensão 2. Geometricamente, esse subespaço é um plano perpendicular ao vetor c. Assim, se três vetores u, v e w satisfazem simultaneamente:  
[u , c] = 0,  [v , c] = 0,  [w , c] = 0.  
Sendo [ , ] o produto escalar usual. Então, os três pertencem ao mesmo plano, perpendicular a c. Como esse plano tem dimensão 2, três vetores nele não podem ser linearmente independentes. Portanto, u, v e w são necessariamente linearmente dependentes. Essa ideia surge naturalmente na geometria e no cálculo diferencial.  
Quando temos uma superfície de nível, isto é, uma superfície definida pelos pontos em que uma função g(x, y, z) assume um valor constante, qualquer curva contida nessa superfície mantém esse valor ao longo de seu trajeto. Ao derivar essa condição pela regra da cadeia, obtemos que o produto escalar entre o gradiente de g e o vetor tangente à curva é nulo. Em outras palavras, o vetor tangente à curva é ortogonal ao gradiente da função. Logo, o gradiente aponta na direção normal à superfície de nível.  
No caso da interseção de duas superfícies de nível, a curva de interseção possui um vetor tangente que é simultaneamente ortogonal a ambos os gradientes. Por isso, esse vetor tangente é paralelo ao produto vetorial dos gradientes das duas funções.
Referências
[1] Apostol, T. M. (1969). Calculus, Volume II: Multi-variable calculus and linear algebra, with applications to differential equations and probability (2nd ed.). John Wiley &amp; Sons.
[2] Axler, S. (2015). Linear algebra done right (3rd ed.). Springer.
[3] do Carmo, M. P. (1976). Differential geometry of curves and surfaces. Prentice-Hall.
[4] Hoffman, K., &amp; Kunze, R. (1971). Linear algebra (2nd ed.). Prentice-Hall.
[5] Lee, J. M. (2013). Introduction to smooth manifolds (2nd ed.). Springer.
[6] Marsden, J. E., &amp; Tromba, A. J. (2003). Vector calculus (5th ed.). W. H. Freeman.
[7] Spivak, M. (1965). Calculus on manifolds: A modern approach to classical theorems of advanced calculus. W. A. Benjamin.
[8] Strang, G. (2016). Introduction to linear algebra (5th ed.). Wellesley-Cambridge Press.</t>
  </si>
  <si>
    <t>Neste vídeo, resolvemos o Problema 737 da renomada coleção *Fundamentos de Matemática Elementar*, de Gelson Iezzi e colaboradores. Este elegante problema de geometria combina tangência entre circunferências, arcos de circunferência, ângulos explementares e raciocínio euclidiano elementar em uma construção matemática surpreendentemente rica. A discussão inclui:
• Uma interpretação cuidadosa da configuração geométrica
• Uma revisão das fórmulas de comprimento de arco
• Conversões entre radianos e graus
• Ângulos explementares, ou conjugados
• Uma derivação completa, passo a passo, do resultado final
Embora o problema seja elementar, ele ilustra de maneira muito bonita como a geometria clássica pode produzir resultados elegantes e satisfatórios por meio de raciocínio cuidadoso e percepção estrutural.
Você pode baixar a apresentação em formato PDF e um artigo pedagógico explicando o problema no link abaixo:
https://github.com/ozsp12/math_elementary/tree/main/plane_geometry_question_737
Referência:
DOLCE, Osvaldo; POMPEO, José Nicolau. *Fundamentos de Matemática Elementar: Geometria Plana*. Vol. 9, 7ª edição. São Paulo: Atual Editora, 1993. Problema 737, p. 296.</t>
  </si>
  <si>
    <t>In this video, we solve Problem 737 from the renowned collection Fundamentals of Elementary Mathematics by Brazilian mathematician Gelson Iezzi and collaborators. This elegant geometry problem combines circle tangency, circumference arcs, explementary angles, and elementary Euclidean reasoning into a surprisingly rich mathematical construction.
The discussion includes:
• A careful interpretation of the geometric configuration
• A review of circumference arc length formulas
• Radian and degree conversions
• Explementary, or conjugate, angles
• A complete step-by-step derivation of the final result
Although the problem is elementary, it beautifully illustrates how classical geometry can yield elegant and satisfying mathematical results through careful reasoning and structural insight. You can download the presentation in pdf format in the link below:
https://github.com/ozsp12/math_elementary/tree/main/plane_geometry_question_737
Reference:
DOLCE, Osvaldo; POMPEO, José Nicolau. Fundamentos de Matemática Elementar: Geometria Plana. Vol. 9, 7th edition. São Paulo: Atual Editora, 1993. Problem 737, page 296.</t>
  </si>
  <si>
    <t>In this video, we establish a connection between algebra and classical mechanics. Starting from a system of coupled harmonic oscillators, we derive the characteristic cubic equation that governs its dynamics and solve it using the Cardano method. We first reduce the general cubic to its depressed form, then express its solutions in trigonometric form. These solutions are interpreted physically as the system's normal modes, with frequencies explicitly determined by the ratio of stiffness to mass.
This presentation emphasizes structure, symmetry, and method: how an abstract algebraic technique developed in the sixteenth century provides exact solutions to a concrete physical problem. Topics covered include: reduction of cubic equations, Cardano’s method, trigonometric solutions, normal modes, and frequency degeneracy in coupled systems.
This video was based on a solved example from Walter Greiner’s book on Hamiltonian Dynamics, chapter 8, example 8.3, on page 117. The figure in the video was generated using Nano Banana 2 (Gemini) and is based on Fig. 8.7 on page 118.
The viewer can download the presentation from this video and the few pages of Greiner's book from the following GitHub repo:
https://github.com/ozsp12/physics_elementary/tree/main/cardano_formula_harmonic_oscillators
References
Greiner, W. Classical Mechanics: Systems of Particles and Hamiltonian Dynamics. 2nd ed. Berlin: Springer, 2009.</t>
  </si>
  <si>
    <t>In this video, we derive the exponential function from first principles using the limit definition of the derivative. Starting with $f(x)=a^x$, we examine the increment of the function, reorganize the expression algebraically, and obtain the derivative step by step in a clear and rigorous way. This derivation is a classic result of differential calculus and helps deepen understanding of exponential functions and their role in mathematics. This video is intended for students and anyone interested in: calculus, limits, derivatives, exponential functions, and mathematical reasoning.
References
[1] Stewart, J. Calculus: Early Transcendentals. 8th ed., Cengage Learning, 2016.
[2] Hass, J. R., Heil, C. E., Weir, M. D., and Bogacki, P. Thomas’ Calculus: Early Transcendentals, SI Units. 15th ed., Pearson, 2023.
[3] Spivak, M. Calculus. 4th ed., Publish or Perish, Inc., 2008.
[4] Apostol, T. M. Calculus, Volume 1: One-Variable Calculus, with an Introduction to Linear Algebra. 2nd ed., John Wiley &amp; Sons, 1991.
[5] Strang, G. Calculus. 2nd ed., Wellesley-Cambridge Press, 2010.
#Calculus #Derivative #ExponentialFunction #Mathematics #Limits #MathEducation</t>
  </si>
  <si>
    <t>Neste vídeo, eu ensino como utilizar algumas funções de Python, SQL e DAX (Power BI), úteis e amplamente utilizadas no dia a dia de um analista de dados. A ideia é proporcionar uma aula para que cidadãos dos dados se familiarizem com a linguagem de programação de alto nível, a manipulação de dados, os bancos de dados e as visualizações.
Link do Notebook e PBIX no GitHub:
https://github.com/ozsp12/ai_data_citizen/tree/main/fast_track
SQL:
SELECT
FROM
WHERE
ORDER BY
SUM(), COUNT(), AVG()
GROUP BY
CREATE, INSERT, DELETE
Python (pandas):
import pandas as pd
pd.read_csv()
df.head()
df.tail()
df.info()
df.describe()
df['coluna']
df[df['coluna'] "maior que" x]
df.groupby()
df.sort_values()
df.isnull().sum()
df.fillna()
df.dropna()
DAX (Power BI):
CALCULATE()
FILTER()
ALL()
SUM()
COUNT()
DIVIDE()
IF()
SWITCH()
VALUES()
RELATED()</t>
  </si>
  <si>
    <t>Neste vídeo, apresento o paradoxo das moedas (a questão do SAT que todo mundo errou) e o da roda de Aristóteles. Escrevi um artigo didático sobre ambos os temas e publiquei-o na Revista Brasileira de Ensino de Física.
O objetivo do artigo é desmistificar paradoxos aparentes que surgem na física e na matemática, mostrando que eles são, na realidade, interpretações equivocadas de conceitos, além de utilizar a linguagem de programação Python para convencer os estudantes a implementar as equações determinísticas de sistemas geométricos e físicos, demonstrando que os padrões de imagem descritos são, de fato, naturais quando a matemática e a computação são usadas corretamente.
Artigo na RBEF:
https://www.scielo.br/j/rbef/a/4JqG3XG435VBQT3FV8ryFhS/?lang=en
Repositório no GitHub:
https://github.com/ozsp12/coinparadox/tree/main</t>
  </si>
  <si>
    <t>Neste vídeo, discuto a questão 05 da prova objetiva do concurso de admissão do IME-2021/2022 [1]. Essa questão foi adaptada da prova final da Olimpíada Matemática Romena de 1984. Encontrei a questão por acaso em um livro de Titu Andreescu. Trata-se de uma questão difícil, o que mostra que, para ter um bom desempenho em concursos militares, é necessário mais do que preparação: é preciso estratégia. Afinal, mesmo um aluno excelente e bem treinado teria dificuldade em resolver essa questão à primeira vista. Aprofundei a discussão com base em alguns conceitos de números complexos estudados no ensino superior.
Referências
[1] IME-2021/2022 (prova objetiva)
https://www.ime.eb.mil.br/images/arquivos/admissao/cfg/provas-anteriores/2021-2022/CFG1fase2021.pdf
[2] Andreescu, Titu &amp; Andrica, Dorin. Complex Numbers from A to . . . Z. 2nd ed., Birkhäuser, 2014. ISBN 978-0817684143.</t>
  </si>
  <si>
    <t>Neste vídeo, eu explico o sistema físico do pêndulo duplo usando métodos numéricos em Python e crio uma simulação do sistema com animação. O pêndulo duplo é um sistema físico muito simples, mas bastante pedagógico para o ensino de sistemas dinâmicos.
Computational Physics GitHub:
https://github.com/ozsp12/computational_physics/tree/main
Double Pendulum Jupyter Notebook:
https://github.com/ozsp12/computational_physics/blob/main/double_pendulum_dynamical_system/double_pendulum_dynamical_system.ipynb</t>
  </si>
  <si>
    <t>Neste vídeo, inicio uma série que vou chamar de “Quick and Dirty”, na qual apresento ferramentas de análise de dados para responder rapidamente a perguntas de negócio, usando modelos matemáticos e estatísticos de forma menos rigorosa. A famosa regra 80–20 entre rigor e valor gerado: 20% de rigor e 80% de valor gerado. Como prometido, além de ensinar Python, vou procurar compartilhar algumas ferramentas matemáticas, estatísticas e de análise de dados que conheço, bem como conceitos teóricos de diversas áreas, como microeconomia, macroeconomia, séries temporais, pesquisa operacional, entre outras.
Jupyter Notebook:
https://github.com/ozsp12/ai_data_citizen/tree/main/quick_dirty_analytics
GitHub  (Introdução à Programação):
https://github.com/ozsp12/programacao_introducao/tree/main</t>
  </si>
  <si>
    <t>Neste vídeo, apresento a biblioteca Sympy para Python e falo sobre um projeto que estou propondo, no qual postarei vídeos sobre física e matemática computacional. Pretendo abordar vários níveis, do fundamental ao de pesquisa. Vou discutir frações, soluções das equações de Einstein e outros tópicos interessantes.
Sympy
https://docs.sympy.org/latest/index.html
GitHub Repo (Elementary Mathematics)
https://github.com/ozsp12/math_elementar/tree/main
GitHub Repo (Computational Physics)
https://github.com/ozsp12/computational_physics</t>
  </si>
  <si>
    <t>Neste vídeo, resolvo a questão 8 do segundo dia do exame do IME 2025/2026. A questão parece desafiadora, mas, na verdade, é bastante simples; ainda assim, ela esconde vários conceitos interessantes, que são discutidos ao longo do vídeo. Como o teorema do ponto fixo de Banach (1922).
Exames do IME
https://inscricoes.ime.eb.br/cfg/
Link para a prova de Matemática do IME
https://inscricoes.ime.eb.br/documentos/Prova_Discursiva_de_Matem%C3%A1tica.pdf
Link para paper pedagógico sobre a resolução (em inglês)
https://papers.ssrn.com/sol3/papers.cfm?abstract_id=6779078
0:00 Introdução e apresentação da questão
0:19 Enunciado do problema
0:30 Por que a questão parece mais difícil do que é
2:31 Definição do seno hiperbólico
3:15 Resolvendo a equação para obter o arco-seno hiperbólico
6:24 Identificação da expressão logarítmica
7:29 Reescrevendo o sistema com uma função auxiliar
9:16 Ideia de ponto fixo
11:17 Interpretação por sequência iterativa
13:19 Consequência: x = y = z
14:35 Prova da unicidade da solução
17:35 Demonstração por contradição
20:34 Comentário final sobre o valor conceitual da questão
22:00 Encerramento</t>
  </si>
  <si>
    <t>Neste vídeo resolvo o exercício 2.7 do livro Cauchy-Schwarz Master-Class. O enunciado do problema é o seguinte: dados x, y, z ≥ 0: xyz ≥ 1 → (1 + x)(1 + y)(1 + z) ≥ 8. E eu acabo discutindo e generalizando o problema. Parte do vídeo é improvisada, pois fui pensando enquanto gravava e acabei fazendo algumas afirmações sem refletir profundamente, que talvez estejam incorretas ou incompletas. Porém, um dos objetivos do meu canal é demonstrar como pesquisadores profissionais pensam e atacam problemas, mesmo que sejam problemas de fixação de conceitos.
Steele, J. M. (2004). The Cauchy-Schwarz Master Class: An Introduction to the Art of Mathematical Inequalities. Cambridge University Press.
DOI: https://doi.org/10.1017/CBO9780511817106.
https://www.cambridge.org/core/books/cauchyschwarz-master-class/A444E291C6E5928ADB2DD9F37C4C6EB8</t>
  </si>
  <si>
    <t>Esta é a primeira aula do curso de Python para cidadãos dos dados (iniciantes). Nesta aula abordo a sintaxe de Python e apresento alguns exemplos para que a audiência vá se acostumando aos poucos com a IDE, e com a linguagem.
Github (Curso de programação):
https://github.com/ozsp12/programacao_introducao
Notebook Jupyter da aula 01:
https://github.com/ozsp12/programacao_introducao/blob/main/aulas_algoritmos_programacao/01_intro_sintaxe_python.ipynb</t>
  </si>
  <si>
    <t>Neste vídeo, demonstro a desigualdade de Cauchy–Schwarz em um contexto de análise real e sob a perspectiva da teoria dos números, sem recorrer a conceitos de espaços métricos e de normas. A demonstração é acessível a estudantes avançados do ensino médio.</t>
  </si>
  <si>
    <t>Neste vídeo, eu demonstro que, sejam p e q inteiros tais que p + q + pq é par. Prove que p e q são pares. Eu também uso o vídeo para discutir a técnica de prova por contradição. Dou um exemplo de uma demonstração incorreta que estudantes iniciantes frequentemente cometem ao usar a hipótese do enunciado para demonstrar o problema.</t>
  </si>
  <si>
    <t>Neste vídeo, apresento a resolução detalhada da 8ª questão da terceira fase da Olimpíada Brasileira de Física de 2001, destinada aos estudantes do primeiro e do segundo ano do Ensino Médio.
O problema considera um bloco de massa M e comprimento L, inicialmente em repouso sobre uma superfície horizontal sem atrito. Sobre ele encontra-se um corpo de massa m, cujas dimensões podem ser desprezadas em comparação com o comprimento do bloco. Entre os dois corpos atuam o atrito estático e o cinético, enquanto uma força horizontal constante F é aplicada ao bloco maior.
A resolução é dividida em dois regimes físicos. No primeiro, determinamos a força máxima que pode ser aplicada sem que ocorra deslizamento relativo entre os corpos. No segundo caso, considerando uma força superior a esse limite, calculamos a aceleração relativa e o tempo necessário para que a partícula percorra o comprimento do bloco e perca o contato com ele.
A análise envolve conceitos fundamentais de mecânica clássica, entre eles:
– Segunda Lei de Newton;
– atrito estático e atrito cinético;
– diagramas de forças;
– movimento relativo;
– escolha de referenciais inerciais e não inerciais;
– condições de vínculo e limites de deslizamento.
A questão original pode ser consultada na prova oficial da Olimpíada Brasileira de Física. OBF 2001, terceira fase, prova para o primeiro e o segundo ano do Ensino Médio, 8ª questão.
https://sec.sbfisica.org.br/olimpiadas/obf2001/download/OBF2001-F3-12A.pdf
Para mais materiais sobre este conteúdo ver repositório no GitHub
https://github.com/ozsp12/physics_elementary/tree/main/obf2001_question_8
As referências abaixo apresentam tratamentos complementares das leis de Newton, das forças de atrito, do movimento relativo e da dinâmica de sistemas de partículas. Os textos de Halliday, Resnick e Walker e de Nussenzveig são particularmente adequados para uma introdução sistemática, enquanto Kleppner e Kolenkow, Marion e Thornton e Taylor oferecem uma abordagem mais aprofundada da mecânica clássica.
Referências para estudo:
[1] HALLIDAY, D.; RESNICK, R.; WALKER, J. Fundamentals of Physics. 10th ed. Hoboken: John Wiley &amp; Sons, 2014.
[2] KLEPPNER, D.; KOLENKOW, R. J. An Introduction to Mechanics. 2nd ed. Cambridge: Cambridge University Press, 2014.
[3] MARION, J. B.; THORNTON, S. T. Classical Dynamics of Particles and Systems. 5th ed. Belmont: Brooks/Cole, 2004.
[4] NUSSENZVEIG, H. M. Curso de Física Básica: Mecânica. v. 1. 5. ed. São Paulo: Blucher, 2013.
[5] TAYLOR, J. R. Classical Mechanics. Sausalito: University Science Books, 2005.
Capítulos
00:00 Enunciado e definição das variáveis
01:35 Dois regimes: sem deslizamento e com deslizamento
02:57 Escolha do referencial de análise
04:13 Diagramas de forças da partícula e do bloco
06:15 Equações de movimento e vínculos geométricos
08:45 Cenário 1: força máxima sem deslizamento
15:01 Cenário 2: aceleração relativa entre os corpos
19:44 Aceleração relativa em função de Fmáx
21:34 Tempo para a partícula percorrer o comprimento L
23:32 Recapitulação e conclusão
#Física #OBF #OlimpíadaBrasileiraDeFísica #Mecânica #LeisDeNewton #Atrito #MovimentoRelativo #ProblemasDeFísica #EnsinoDeFísica #FísicaClássica</t>
  </si>
  <si>
    <t>Resolvendo o seguinte problema:
f(x) = x³ + px + q é divisível por (x-a)²
Encontre a relação entre p e q.</t>
  </si>
  <si>
    <t>Neste vídeo, resolvi a questão 5 do segundo dia da prova de Matemática do IME 2025/2026. Trata-se de uma prova discursiva. Além de resolver a questão, aprofundo-me em conceitos avançados de análise funcional, incluindo a desigualdade de Cauchy–Schwarz e a desigualdade de Jensen. A questão consiste em demonstrar que a média aritmética é um limite superior para a média harmônica, com base em apenas três termos. Em seguida, generalizo o resultado para n termos.
Link para a prova de matemática do IME-2025
https://inscricoes.ime.eb.br/documentos/Prova_Discursiva_de_Matem%C3%A1tica.pdf</t>
  </si>
  <si>
    <t>O vídeo apresenta uma explicação do teste não paramétrico de Wilcoxon, destacando sua utilidade quando a suposição de normalidade não pode ser sustentada. A exposição enfatiza quando o método é apropriado, seus limites práticos e como aplicá-lo de forma tecnicamente consistente. 
O Jupyter Notebook com algumas funções que escrevi para criar imagens, criar dados sintéticos e realizar o teste se encontram no link abaixo:
https://github.com/ozsp12/bioestatistica/blob/main/teste_wilcoxon/teste_de_wilcoxon.ipynb</t>
  </si>
  <si>
    <t>A Questão #160 do exame ENEM 2025, aplicada no 2º dia do caderno azul, apresenta um problema de modelagem matemática relacionado ao comportamento de um fluido em um recipiente preenchido sob vazão constante. O objetivo é descrever, de forma funcional, a evolução da altura da água ao longo do tempo.
No modelo proposto, a variável T representa o tempo decorrido, em minutos, enquanto D representa a distância entre a superfície da água e o tampo da mesa, em centímetros. O enunciado indica que essa relação não é linear, mas segue um padrão definido por uma função trigonométrica. Para esse ajuste, a expressão abaixo é utilizada
D(T) = k + tan[p(T + m)] .
Nessa expressão, as constantes k, p e m controlam, respectivamente, o deslocamento vertical, o estiramento horizontal e a translação da função ao longo do eixo do tempo. A interpretação dessa função, juntamente com o gráfico apresentado, permite identificar o comportamento físico do sistema e responder à questão proposta no exame.
Capítulos
00:00 Introdução e contexto da Questão 160 do Enem 2025
01:42 Enunciado e interpretação inicial do gráfico
03:27 Forma geral e parâmetros da função tangente
04:22 Domínio, imagem e assíntotas verticais
05:40 Dedução do período e do deslocamento horizontal
07:16 Gráfico da função tangente usual
08:51 Estrutura matemática do modelo proposto no Enem
10:53 Estratégia de prova e resolução por alternativas
12:24 Resolução completa: determinação de P, M e K
14:38 Gráficos em Python e variação dos parâmetros
16:53 Animação do recipiente sendo preenchido
17:31 Notebook Jupyter, códigos e experimentos numéricos
21:54 Encerramento
Link do INEP:
https://www.gov.br/inep/pt-br/areas-de-atuacao/avaliacao-e-exames-educacionais/enem/provas-e-gabaritos
Link para o Jupyter Notebook:
https://github.com/ozsp12/math_elementary/tree/main/questao_tangente_enem_2025</t>
  </si>
  <si>
    <t>Este vídeo apresenta uma análise técnica de desempenho entre os métodos apply() do Pandas e np.select() do Numpy, com foco em eficiência computacional e boas práticas em ciência de dados. No vídeo, é demonstrado como cada abordagem processa e classifica em DataFrames, e são avaliados os comportamentos de ambos os métodos em diferentes comprimentos de dados, variando de 10 linhas a 1 milhão de linhas. 
Notebook Jupyter: 
https://github.com/ozsp12/programacao_introducao/blob/main/algoritmos_que_educam/apply_vs_select_methods.ipynb
Post na Newsletter do LinkedIn: 
https://www.linkedin.com/pulse/apply-vs-npselect-pandas-uma-an%C3%A1lise-quantitativa-de-santos-pereira-0u32f/?trackingId=7PoWseq%2BSxi1JMzABWt3FA%3D%3D
Post explicando sobre o notebook:
https://www.linkedin.com/posts/ozsp12_apply-vs-npselect-no-pandas-uma-an%C3%A1lise-activity-7394895580038238208-vA47?utm_source=share&amp;utm_medium=member_desktop&amp;rcm=ACoAAAYVLuwBRoOGLctydlL6oZP7Ffwirgxbs9Q</t>
  </si>
  <si>
    <t>Neste vídeo, há uma apresentação com alguns exemplos de gráficos para visualizar dados em painel (dados longitudinais). 
Arquivo pdf com a aula:
https://github.com/ozsp12/ai_data_citizen/blob/main/dados_em_painel/tipos_graficos_dados_em_painel.pdf
00:00 Introdução – Importância das visualizações
00:40 Tipos de gráficos e estrutura do exemplo
01:09 Boas práticas e considerações de design
01:55 Gráfico de barras por mês do ano
02:57 Gráfico de barras empilhado
03:32 Gráfico de barras por produto
04:03 Gráfico de área
04:25 Gráfico de linha
04:51 Mapa de calor (Heatmap)</t>
  </si>
  <si>
    <t>Neste vídeo, calculamos a área exata de uma região em forma de lente formada por dois quartos de círculo inscritos em um quadrado de lado "a". 
00:00 Definição do Problema  
00:37 Construção dos Círculos  
01:21 Área do Quarto de Círculo A E C D A  
01:38 Área do Triângulo A C D  
01:56 Simetria da Folha A E C F A  
02:16 Relação Entre as Áreas  
02:49 Expressão Final para a Área
#Geometria #Matemática #DemonstraçãoGeométrica #GeometriaAnalítica #GeometriaDoCírculo #ÁreaDaLente #PiMenosDois #EducaçãoMatemática #STEM #RaciocínioMatemático #DesafioGeométrico #MatemáticaRigorosa #ResoluçãoDeProblemas</t>
  </si>
  <si>
    <t>In this video, we derive the formula for the radius r of the circle inscribed in a right triangle with sides a, b, and c. Using geometric properties and algebraic manipulations, we express r entirely in terms of a, b, and c. This is a classic result in Euclidean geometry, frequently found in mathematics olympiads and problem-solving exercises.
0:00 Introduction – The Problem
0:38 Geometric Relationships
1:22 Decomposition of Segments and Tangent Theorem
2:24 Differentiating the Formula
2:57 Decomposition by Area
3:35 Decomposition into Subtriangles
4:08 Solving for the Radius using the Area Equation
4:27 Connecting the Formulas and the Pythagorean Theorem
#Mathematics #Geometry #RightTriangle #InscribedCircle #MathematicalFormula #MathematicsEducation #MathematicsForAll #MathematicalProblems #MathematicsOlympiad #EuclideanGeometry #LearningMathematics #MathematicsOnYouTube #LogicalReasoning</t>
  </si>
  <si>
    <t>Este vídeo explora como uma simples máquina de Atwood pode revelar de forma elegante o teorema de Pitágoras por meio da física e da geometria. Partindo das leis de Newton e do equilíbrio de forças, analisamos as tensões, os ângulos e as relações entre massas no sistema, mostrando como as restrições físicas conduzem naturalmente à famosa relação entre os lados de um triângulo retângulo. Com explicações passo a passo, insights geométricos e uma derivação matemática clara, o vídeo faz a ponte entre a mecânica clássica e a matemática de maneira visualmente intuitiva. É perfeito para estudantes, educadores e para qualquer pessoa interessada nas conexões profundas entre física e geometria.
00:00 Introdução – Pitágoras e a Máquina de Atwood
00:38 Geometria do Sistema
01:23 Forças Atuantes
02:15 Equilíbrio
02:59 Decomposição das Forças
04:02 Regra do Paralelogramo
04:33 Equações
05:00 Relações Entre Massas
05:19 Eliminando os Ângulos
05:33 Usando a Soma de Ângulos
05:42 Cosseno da Soma
06:01 Relação Final das Massas
06:51 Condição do Ângulo Reto
07:06 Triângulo Geométrico
07:33 Da Física à Geometria
08:02 Conclusão</t>
  </si>
  <si>
    <t>Finding the Radius of the Inscribed Circle in a Right Triangle
In this video, we derive the formula for the radius r of the circle inscribed in a right triangle with sides a, b, and c. Using geometric properties and algebraic manipulation, we express r entirely in terms of a, b, and c. The derivation is presented step-by-step, focusing on the reasoning behind each formula to provide a deep understanding rather than just memorizing results. This is a classic result in Euclidean geometry, often appearing in math olympiads and problem-solving practice, which we present clearly and concisely.
00:00 Introduction – The Problem
00:52 Geometric Relations
02:03 Segment Decomposition and Tangent Theorem
03:19 Deriving the Formula
04:11 Area Decomposition
04:54 Area Decomposition into Sub-Triangles
05:55 Solving for the Radius Using the Area Equation
06:48 Connecting the Formulas and the Pythagorean Theorem
#Mathematics #Geometry #RightTriangle #Inradius #MathDerivation #EuclideanGeometry #TriangleProperties #MathEducation #STEM #MathTutorial</t>
  </si>
  <si>
    <t>In this video, we explore the dynamics of a classic problem in classical mechanics: a block sliding on a frictionless wedge that can itself slide freely on a smooth horizontal surface. Step by step, we derive the equations of motion, analyze the geometric constraints, and investigate the interplay between forces and accelerations. We work within the inertial frame, apply Newton’s laws rigorously, and reveal the full set of coupled equations governing the system. The final result provides the accelerations of both the block and the wedge, illustrating the conservation principles and the elegance of analytical mechanics in describing complex motion.
00:00 Presenting the problem (53s)
00:56 Parameters of the problem (70s)
02:07 Observers and reference frames (56s)
03:05 Geometric constraints of the system (79s)
04:26 Horizontal and vertical positions of the block (78s)
05:47 Equations of motion and constraint (91s)
07:19 Equations of motion and constraint (51s)
08:12 Remembering equations (40s)
08:54 Important relations (32s)
09:28 Final equation (32s)
10:02 Final remarks (84s)
#Physics #ClassicalMechanics #NewtonianMechanics #AnalyticalMechanics #EngineeringPhysics #MathematicalPhysics #PhysicsEducation #MechanicsProblems #PhysicsDerivations #ScienceExplained #STEM #PhysicsStudents</t>
  </si>
  <si>
    <t>Neste vídeo, resolvemos um problema clássico da mecânica: um bloco de massa m desliza sem atrito sobre um plano inclinado de massa M, que por sua vez pode se mover livremente sobre uma superfície horizontal sem atrito. O objetivo é determinar:
* A aceleração do bloco em relação ao plano;
* A aceleração do bloco em relação ao solo;
* A aceleração do plano inclinado.
Utilizamos as Leis de Newton em um referencial inercial e aplicamos vínculos cinemáticos entre as posições do bloco e do plano para montar um sistema completo de equações diferenciais. O problema exige análise vetorial cuidadosa e compreensão das interações entre sistemas móveis acoplados.
📚 Referências
* Marion, J. B., &amp; Thornton, S. T. Classical Dynamics of Particles and Systems. 5ª ed.
* Halliday, D., Resnick, R., &amp; Walker, J. Fundamentals of Physics.
* Nussenzveig, H. M. Curso de Física Básica — Volume 1: Mecânica.
* Oscar Bollina, J. Rodrigo Parreira. A problem of relative, constrained motion. The Physics Teacher, 36(6), 334–335. doi: https://doi.org/10.1119/1.880100. arxiv: https://arxiv.org/abs/physics/9808049
🔗 Me siga nas redes sociais:
🌐 Webpage: https://ozsp12.github.io/
✅ GitHub: https://github.com/ozsp12
🧪 ResearchGate: https://www.researchgate.net/profile/Osvaldo-Santos-Pereira
🔬 Google Scholar: https://scholar.google.com/citations?user=HIZp0X8AAAAJ&amp;hl=en
🧾 ORCID: https://orcid.org/0000-0003-2231-517X
💼 LinkedIn: https://www.linkedin.com/in/ozsp12
🧡 Patreon: https://www.patreon.com/ozsp12
✍️ Medium: https://medium.com/@ozsp12
𝕏 X (Twitter): https://x.com/ozsp12
📱 TikTok: https://www.tiktok.com/@ozsp12
▶️ YouTube: https://www.youtube.com/@ozlsp12</t>
  </si>
  <si>
    <t>Disclaimer: This is not a speculative or popular-science presentation, but a pedagogical introduction grounded in the formalism of General Relativity.
This video provides a concise and rigorous overview of the theoretical foundations of the Alcubierre Warp Drive, designed for graduate-level students and researchers in General Relativity. The Alcubierre metric, introduced in 1994, describes a spacetime geometry that allows effective superluminal travel by contracting space in front of a warp bubble and expanding it behind, without violating local causality or the speed-of-light limit within the bubble.
00:00 - Introduction  
00:18 - Alcubierre’s Revolutionary Idea  
00:32 - The Warp Bubble Mechanism  
00:46 - Geometry of the Bubble  
01:07 - Conveyor Belt Effect  
01:29 - Physics Inside the Bubble  
01:48 - Flat Spacetime Interior  
02:07 - The 3+1 Formalism  
02:37 - ADM Formalism and Its Role  
02:52 - Lapse and Shift in the Warp Metric  
03:38 - Lapse Function and Boost  
03:53 - Causality and Hyperbolicity  
04:18 - Energy Condition Violations 
Key concepts:
* Foliation of spacetime into spacelike hypersurfaces
* Definition and interpretation of the lapse function and shift vector
* Structure of the Alcubierre metric
* Global hyperbolicity and causality preservation
* Violation of classical energy conditions (Weak and Dominant)
* Role of exotic matter and implications of the energy-momentum tensor
Reference:
Alcubierre, M. (1994). The warp drive: hyper-fast travel within general relativity. Classical and Quantum Gravity, 11(5), L73. https://doi.org/10.1088/0264-9381/11/5/001
arXiv: https://arxiv.org/abs/gr-qc/0009013
Keywords:
Alcubierre drive, warp bubble, general relativity, ADM formalism, spacetime geometry, Einstein equations, exotic matter, causality, energy conditions.
#GeneralRelativity #TheoreticalPhysics #AlcubierreDrive #Spacetime #WarpDrive #Einstein #Interestellar #physics #foryou #foryoupage 
🔗 Follow me on social media:
🌐 Webpage: https://ozsp12.github.io/
✅ GitHub: https://github.com/ozsp12
🧪 ResearchGate: https://www.researchgate.net/profile/Osvaldo-Santos-Pereira
🔬 Google Scholar: https://scholar.google.com/citations?user=HIZp0X8AAAAJ&amp;hl=en
🧾 ORCID: https://orcid.org/0000-0003-2231-517X
💼 LinkedIn: https://www.linkedin.com/in/ozsp12
🧡 Patreon: https://www.patreon.com/ozsp12
✍️ Medium: https://medium.com/@ozsp12
𝕏 X (Twitter): https://x.com/ozsp12
📱 TikTok: https://www.tiktok.com/@ozsp12
▶️ YouTube: https://www.youtube.com/@ozlsp12</t>
  </si>
  <si>
    <t>Este vídeo apresenta uma exploração visual e conceitual do tunelamento quântico, um dos fenômenos mais contraintuitivos e fundamentais da mecânica quântica. A animação foi gerada com Python e simula um pacote de onda interagindo com uma barreira de potencial em degrau, resolvendo numericamente a equação de Schrödinger dependente do tempo. Ela demonstra como partículas quânticas podem penetrar e se transmitir por regiões classicamente proibidas. Acompanhado por uma narração explicativa, o vídeo explora os fundamentos matemáticos, a interpretação física e as aplicações tecnológicas do tunelamento, oferecendo clareza e rigor para estudantes, educadores e entusiastas da física quântica.
00:00 Introdução  
00:17 Fundamento matemático  
00:49 A barreira de potencial em degrau  
01:25 Visão clássica vs visão quântica  
01:58 Comportamento de tunelamento  
02:35 Fenômeno do tunelamento quântico  
03:14 Comportamento clássico vs quântico  
03:44 Aplicações reais do tunelamento quântico  
04:23 Simulação em Python do tunelamento quântico
🔗 Me siga nas redes sociais:
🌐 Webpage: https://ozsp12.github.io/
✅ GitHub: https://github.com/ozsp12
🧪 ResearchGate: https://www.researchgate.net/profile/Osvaldo-Santos-Pereira
🔬 Google Scholar: https://scholar.google.com/citations?user=HIZp0X8AAAAJ&amp;hl=en
🧾 ORCID: https://orcid.org/0000-0003-2231-517X
💼 LinkedIn: https://www.linkedin.com/in/ozsp12
🧡 Patreon: https://www.patreon.com/ozsp12
✍️ Medium: https://medium.com/@ozsp12
𝕏 X (Twitter): https://x.com/ozsp12
📱 TikTok: https://www.tiktok.com/@ozsp12
▶️ YouTube: https://www.youtube.com/@ozlsp12</t>
  </si>
  <si>
    <t>Neste vídeo, uso o episódio 17 da sexta temporada de Futurama, “Benderama”, para explicar a série harmônica e demonstrar por que ela é divergente. No episódio, o Professor Farnsworth apresenta uma expressão matemática para calcular a massa total acumulada dos Benders ao longo de sucessivos processos de duplicação. Embora a massa individual de cada cópia diminua rapidamente, o número de Benders cresce exponencialmente. Ao simplificar a expressão, obtém-se a série harmônica, cuja soma cresce indefinidamente.
00:00 Introdução: matemática em *Futurama*
00:26 Trecho do episódio “Benderama”
01:39 O paradoxo de Banach–Tarski e a premissa do episódio
04:20 A equação apresentada pelo Professor Farnsworth
06:29 Dedução da massa dos Benders
13:47 Da soma das massas à série harmônica
15:29 Por que a série é divergente
17:09 Número de Benders, massa individual e efeitos subatômicos
20:22 Encerramento
link para apresentação do vídeo e  para o notebook Jupyter com o código que gera os gráficos apresentados no vídeo: https://github.com/ozsp12/math_elementary/tree/main/futurama_banach_tarski
Referências
1. OpenStax, Calculus, Volume 2 (OpenStax, Rice University, Houston, 2016), Secs. 5.2–5.3.
2. S. Abbott, Understanding Analysis, 2nd ed. (Springer, New York, 2015).
3. T. M. Apostol, Mathematical Analysis: A Modern Approach to Advanced Calculus, 2nd ed. (Addison-Wesley, Reading, MA, 1974).
4. W. Rudin, Principles of Mathematical Analysis, 3rd ed. (McGraw-Hill, New York, 1976).
5. G. B. Folland, Real Analysis: Modern Techniques and Their Applications, 2nd ed. (Wiley, New York, 1999).
6. G. Tomkowicz and S. Wagon, The Banach–Tarski Paradox, 2nd ed. (Cambridge University Press, Cambridge, 2016).
7. S. Banach and A. Tarski, “Sur la décomposition des ensembles de points en parties respectivement congruentes,” Fund. Math. 6, 244–277 (1924).
8. K. Buchhorn, “The Banach–Tarski Paradox,” arXiv:2108.05714 (2021).
9. S. Singh, Os Segredos Matemáticos dos Simpsons (Record, Rio de Janeiro, 2016).</t>
  </si>
  <si>
    <t>Neste primeiro vídeo da série sobre raciocínio matemático: resolvo uma equação polinomial do quarto grau para um caso particular e desenvolvo um algoritmo para reduzir o grau desse polinômio pela metade através de uma substituição de variáveis.</t>
  </si>
  <si>
    <t>Programação</t>
  </si>
  <si>
    <t>Análise de dados</t>
  </si>
  <si>
    <t>Análise matemática</t>
  </si>
  <si>
    <t>Física Quântica</t>
  </si>
  <si>
    <t>Álgebra</t>
  </si>
  <si>
    <t>-------</t>
  </si>
  <si>
    <t>Warp Drive</t>
  </si>
  <si>
    <t>Título YouTube/Ideia</t>
  </si>
  <si>
    <t>Falar sobre o artigo referente à ideia</t>
  </si>
  <si>
    <t>https://github.com/ozsp12/water_density_physexp</t>
  </si>
  <si>
    <t>Artigo publicado na RBEF</t>
  </si>
  <si>
    <t>Warp Drive: A Física por Trás da Dobra Espacial</t>
  </si>
  <si>
    <t>Aviso: Esta não é uma apresentação especulativa ou de divulgação científica, mas sim uma introdução pedagógica fundamentada no formalismo da Relatividade Geral.
Capítulos do vídeo (YouTube Chapters):
00:00 - Introdução e a proposta de Alcubierre
00:14 - A bolha de dobra e a manipulação do espaço-tempo
00:40 - O efeito de esteira e o transporte do referencial
00:50 - Física no interior da bolha de dobra
01:10 - Formalismo 3+1 na Relatividade Geral
01:25 - A decomposição ADM
01:39 - Função lapso e vetor de deslocamento: conceitos fundamentais
02:06 - A métrica de Alcubierre e o impulso da bolha
02:26 - Hiperbolicidade global e preservação da causalidade
02:54 - Energia negativa e violação das condições de energia
Este vídeo apresenta uma visão geral concisa e rigorosa dos fundamentos teóricos do Warp Drive de Alcubierre, destinada a estudantes de pós-graduação e pesquisadores em Relatividade Geral. A métrica de Alcubierre, introduzida em 1994, descreve uma geometria do espaço-tempo que permite um deslocamento efetivamente superluminal por meio da contração do espaço à frente de uma bolha de dobra e de sua expansão atrás dela, sem violar localmente a causalidade ou o limite da velocidade da luz no interior da bolha.
Conceitos principais:
Folheação do espaço-tempo em hipersuperfícies espaciais
Definição e interpretação da função lapso e do vetor de deslocamento
Estrutura da métrica de Alcubierre
Hiperbolicidade global e preservação da causalidade
Violação das condições clássicas de energia (Fraca e Dominante)
Papel da matéria exótica e implicações para o tensor energia-momento
Referência:
Alcubierre, M. (1994). The warp drive: hyper-fast travel within general relativity. *Classical and Quantum Gravity*, 11(5), L73. [https://doi.org/10.1088/0264-9381/11/5/001](https://doi.org/10.1088/0264-9381/11/5/001)
arXiv: [https://arxiv.org/abs/gr-qc/0009013](https://arxiv.org/abs/gr-qc/0009013)
Palavras-chave:
Warp drive de Alcubierre, bolha de dobra, relatividade geral, formalismo ADM, geometria do espaço-tempo, equações de Einstein, matéria exótica, causalidade, condições de energia</t>
  </si>
  <si>
    <t>10th-degree polynomial equation</t>
  </si>
  <si>
    <t>algebra</t>
  </si>
  <si>
    <t>https://www.youtube.com/watch?v=mJsv_uLeNgU</t>
  </si>
  <si>
    <t>Saídas concluídas (soma canais)</t>
  </si>
  <si>
    <t>Chave ordenação</t>
  </si>
  <si>
    <t>Rank</t>
  </si>
  <si>
    <t>Fonte: aba Matriz (projetos × 12 canais) e aba Periódicos. Todos os indicadores são fórmulas.</t>
  </si>
  <si>
    <t>Projetos cadastrados</t>
  </si>
  <si>
    <t>Total</t>
  </si>
  <si>
    <t>Projeto</t>
  </si>
  <si>
    <t>Área: matemática</t>
  </si>
  <si>
    <t>Área: física</t>
  </si>
  <si>
    <t>Área: data science</t>
  </si>
  <si>
    <t>Artigos com link (Journal)</t>
  </si>
  <si>
    <t>Saídas marcadas como concluídas sem link</t>
  </si>
  <si>
    <t>Links registrados sem marcação de canal</t>
  </si>
  <si>
    <t>Linhas com Saídas preenchidas sem título de projeto</t>
  </si>
  <si>
    <t>Temas com grafia divergente (ex.: "algebra" vs "Álgebra")</t>
  </si>
  <si>
    <t>Concluídas sem link</t>
  </si>
  <si>
    <t>Links sem marcação</t>
  </si>
  <si>
    <t>Divergência campo Saídas</t>
  </si>
  <si>
    <t>Saídas concluídas (canais)</t>
  </si>
  <si>
    <t>Projetos em que o campo Saídas difere da soma dos canais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</si>
</sst>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4">
    <font>
      <sz val="11"/>
      <name val="Carlito"/>
    </font>
    <font>
      <b/>
      <sz val="11"/>
      <color rgb="FFFFFFFF"/>
      <name val="Calibri"/>
      <family val="2"/>
    </font>
    <font>
      <sz val="11"/>
      <color rgb="FF000000"/>
      <name val="Calibri"/>
      <family val="2"/>
    </font>
    <font>
      <sz val="11"/>
      <name val="Calibri"/>
      <family val="2"/>
      <scheme val="minor"/>
    </font>
    <font>
      <b/>
      <sz val="11"/>
      <name val="Calibri"/>
      <family val="2"/>
      <scheme val="minor"/>
    </font>
    <font>
      <u/>
      <sz val="11"/>
      <color theme="10"/>
      <name val="Carlito"/>
    </font>
    <font>
      <u/>
      <sz val="9"/>
      <color theme="10"/>
      <name val="Carlito"/>
    </font>
    <font>
      <b/>
      <sz val="16"/>
      <color rgb="FF1F3864"/>
      <name val="Carlito"/>
    </font>
    <font>
      <i/>
      <sz val="9"/>
      <color rgb="FF595959"/>
      <name val="Carlito"/>
    </font>
    <font>
      <b/>
      <sz val="11"/>
      <name val="Carlito"/>
    </font>
    <font>
      <b/>
      <sz val="9"/>
      <color rgb="FF595959"/>
      <name val="Carlito"/>
    </font>
    <font>
      <b/>
      <sz val="14"/>
      <color rgb="FF1F3864"/>
      <name val="Carlito"/>
    </font>
    <font>
      <b/>
      <sz val="11"/>
      <color rgb="FFFFFFFF"/>
      <name val="Carlito"/>
    </font>
    <font>
      <b/>
      <sz val="12"/>
      <color rgb="FF1F3864"/>
      <name val="Carlito"/>
    </font>
  </fonts>
  <fills count="6">
    <fill>
      <patternFill patternType="none"/>
    </fill>
    <fill>
      <patternFill patternType="gray125"/>
    </fill>
    <fill>
      <patternFill patternType="solid">
        <fgColor rgb="FFFFFFFF"/>
      </patternFill>
    </fill>
    <fill>
      <patternFill patternType="solid">
        <fgColor rgb="FF17324D"/>
      </patternFill>
    </fill>
    <fill>
      <patternFill patternType="solid">
        <fgColor rgb="FFD9E2F3"/>
        <bgColor indexed="64"/>
      </patternFill>
    </fill>
    <fill>
      <patternFill patternType="solid">
        <fgColor rgb="FF2E5496"/>
        <bgColor indexed="64"/>
      </patternFill>
    </fill>
  </fills>
  <borders count="8">
    <border>
      <left/>
      <right/>
      <top/>
      <bottom/>
      <diagonal/>
    </border>
    <border>
      <left style="thin">
        <color rgb="FFD9D9D9"/>
      </left>
      <right style="thin">
        <color rgb="FFD9D9D9"/>
      </right>
      <top style="thin">
        <color rgb="FFB7B7B7"/>
      </top>
      <bottom/>
      <diagonal/>
    </border>
    <border>
      <left style="thin">
        <color rgb="FFD9D9D9"/>
      </left>
      <right style="thin">
        <color rgb="FFB7B7B7"/>
      </right>
      <top style="thin">
        <color rgb="FFB7B7B7"/>
      </top>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bottom/>
      <diagonal/>
    </border>
    <border>
      <left/>
      <right style="thin">
        <color rgb="FFD9D9D9"/>
      </right>
      <top/>
      <bottom/>
      <diagonal/>
    </border>
    <border>
      <left style="thin">
        <color rgb="FFD9D9D9"/>
      </left>
      <right/>
      <top/>
      <bottom/>
      <diagonal/>
    </border>
    <border>
      <left style="thin">
        <color rgb="FFB4C6E7"/>
      </left>
      <right style="thin">
        <color rgb="FFB4C6E7"/>
      </right>
      <top style="thin">
        <color rgb="FFB4C6E7"/>
      </top>
      <bottom style="thin">
        <color rgb="FFB4C6E7"/>
      </bottom>
      <diagonal/>
    </border>
  </borders>
  <cellStyleXfs count="2">
    <xf numFmtId="0" fontId="0" fillId="0" borderId="0"/>
    <xf numFmtId="0" fontId="5" fillId="0" borderId="0" applyNumberFormat="0" applyFill="0" applyBorder="0" applyAlignment="0" applyProtection="0"/>
  </cellStyleXfs>
  <cellXfs count="33">
    <xf numFmtId="0" fontId="0" fillId="0" borderId="0" xfId="0"/>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2" fillId="2" borderId="3" xfId="0" applyFont="1" applyFill="1" applyBorder="1" applyAlignment="1">
      <alignment horizontal="left" vertical="center"/>
    </xf>
    <xf numFmtId="0" fontId="3" fillId="0" borderId="0" xfId="0" applyFont="1"/>
    <xf numFmtId="0" fontId="3" fillId="0" borderId="3" xfId="0" applyFont="1" applyBorder="1" applyAlignment="1">
      <alignment vertical="top"/>
    </xf>
    <xf numFmtId="0" fontId="4" fillId="4" borderId="5"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3" fillId="0" borderId="3" xfId="0" applyFont="1" applyBorder="1" applyAlignment="1">
      <alignment horizontal="left" vertical="center"/>
    </xf>
    <xf numFmtId="0" fontId="3" fillId="0" borderId="3" xfId="0" applyFont="1" applyBorder="1" applyAlignment="1">
      <alignment horizontal="left" vertical="center" wrapText="1"/>
    </xf>
    <xf numFmtId="0" fontId="3" fillId="0" borderId="3" xfId="0" applyFont="1" applyBorder="1" applyAlignment="1">
      <alignment horizontal="center"/>
    </xf>
    <xf numFmtId="0" fontId="4" fillId="0" borderId="3" xfId="0" applyFont="1" applyBorder="1" applyAlignment="1">
      <alignment horizontal="center" vertical="center"/>
    </xf>
    <xf numFmtId="0" fontId="5" fillId="0" borderId="3" xfId="1" applyBorder="1"/>
    <xf numFmtId="0" fontId="6" fillId="0" borderId="3" xfId="1" applyFont="1" applyBorder="1"/>
    <xf numFmtId="0" fontId="4" fillId="0" borderId="0" xfId="0" applyFont="1"/>
    <xf numFmtId="0" fontId="7" fillId="0" borderId="0" xfId="0" applyFont="1" applyAlignment="1">
      <alignment vertical="center"/>
    </xf>
    <xf numFmtId="0" fontId="0" fillId="0" borderId="0" xfId="0" applyAlignment="1">
      <alignment vertical="center"/>
    </xf>
    <xf numFmtId="0" fontId="8" fillId="0" borderId="0" xfId="0" applyFont="1" applyAlignment="1">
      <alignment vertical="center"/>
    </xf>
    <xf numFmtId="0" fontId="10" fillId="0" borderId="0" xfId="0" applyFont="1" applyAlignment="1">
      <alignment vertical="center"/>
    </xf>
    <xf numFmtId="1" fontId="11" fillId="0" borderId="0" xfId="0" applyNumberFormat="1" applyFont="1" applyAlignment="1">
      <alignment vertical="center"/>
    </xf>
    <xf numFmtId="0" fontId="11" fillId="0" borderId="0" xfId="0" applyNumberFormat="1" applyFont="1" applyAlignment="1">
      <alignment vertical="center"/>
    </xf>
    <xf numFmtId="165" fontId="11" fillId="0" borderId="0" xfId="0" applyNumberFormat="1" applyFont="1" applyAlignment="1">
      <alignment vertical="center"/>
    </xf>
    <xf numFmtId="164" fontId="11" fillId="0" borderId="0" xfId="0" applyNumberFormat="1" applyFont="1" applyAlignment="1">
      <alignment vertical="center"/>
    </xf>
    <xf numFmtId="0" fontId="13" fillId="0" borderId="0" xfId="0" applyFont="1" applyAlignment="1">
      <alignment vertical="center"/>
    </xf>
    <xf numFmtId="0" fontId="12" fillId="5" borderId="7" xfId="0" applyFont="1" applyFill="1" applyBorder="1" applyAlignment="1">
      <alignment vertical="center"/>
    </xf>
    <xf numFmtId="0" fontId="0" fillId="0" borderId="7" xfId="0" applyBorder="1" applyAlignment="1">
      <alignment vertical="center"/>
    </xf>
    <xf numFmtId="1" fontId="0" fillId="0" borderId="7" xfId="0" applyNumberFormat="1" applyBorder="1" applyAlignment="1">
      <alignment vertical="center"/>
    </xf>
    <xf numFmtId="165" fontId="0" fillId="0" borderId="7" xfId="0" applyNumberFormat="1" applyBorder="1" applyAlignment="1">
      <alignment vertical="center"/>
    </xf>
    <xf numFmtId="0" fontId="9" fillId="4" borderId="7" xfId="0" applyFont="1" applyFill="1" applyBorder="1" applyAlignment="1">
      <alignment vertical="center"/>
    </xf>
    <xf numFmtId="1" fontId="9" fillId="4" borderId="7" xfId="0" applyNumberFormat="1" applyFont="1" applyFill="1" applyBorder="1" applyAlignment="1">
      <alignment vertical="center"/>
    </xf>
    <xf numFmtId="165" fontId="9" fillId="4" borderId="7" xfId="0" applyNumberFormat="1" applyFont="1" applyFill="1" applyBorder="1" applyAlignment="1">
      <alignment vertical="center"/>
    </xf>
    <xf numFmtId="2" fontId="0" fillId="0" borderId="7" xfId="0" applyNumberFormat="1" applyBorder="1" applyAlignment="1">
      <alignment vertical="center"/>
    </xf>
  </cellXfs>
  <cellStyles count="2">
    <cellStyle name="Hiperlink" xfId="1" builtinId="8"/>
    <cellStyle name="Normal" xfId="0" builtinId="0"/>
  </cellStyles>
  <dxfs count="2">
    <dxf>
      <font>
        <color rgb="FFBFBFBF"/>
      </font>
      <fill>
        <patternFill patternType="solid">
          <fgColor indexed="64"/>
          <bgColor rgb="FFF2F2F2"/>
        </patternFill>
      </fill>
    </dxf>
    <dxf>
      <font>
        <b/>
        <i val="0"/>
        <color rgb="FF375623"/>
      </font>
      <fill>
        <patternFill patternType="solid">
          <fgColor indexed="64"/>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Saídas concluídas por tema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tx>
            <c:strRef>
              <c:f>Dashboard!$B$11</c:f>
              <c:strCache>
                <c:ptCount val="1"/>
                <c:pt idx="0">
                  <c:v>Saídas concluídas</c:v>
                </c:pt>
              </c:strCache>
            </c:strRef>
          </c:tx>
          <c:spPr>
            <a:solidFill>
              <a:schemeClr val="accent1"/>
            </a:solidFill>
            <a:ln>
              <a:noFill/>
            </a:ln>
            <a:effectLst/>
          </c:spPr>
          <c:invertIfNegative val="0"/>
          <c:cat>
            <c:strRef>
              <c:f>Dashboard!$A$12:$A$23</c:f>
              <c:strCache>
                <c:ptCount val="12"/>
                <c:pt idx="0">
                  <c:v>Álgebra</c:v>
                </c:pt>
                <c:pt idx="1">
                  <c:v>algebra</c:v>
                </c:pt>
                <c:pt idx="2">
                  <c:v>Análise de dados</c:v>
                </c:pt>
                <c:pt idx="3">
                  <c:v>Análise matemática</c:v>
                </c:pt>
                <c:pt idx="4">
                  <c:v>Ciência de Dados e IA</c:v>
                </c:pt>
                <c:pt idx="5">
                  <c:v>Estatística e Probabilidade</c:v>
                </c:pt>
                <c:pt idx="6">
                  <c:v>Física Clássica</c:v>
                </c:pt>
                <c:pt idx="7">
                  <c:v>Física Quântica</c:v>
                </c:pt>
                <c:pt idx="8">
                  <c:v>Geometria</c:v>
                </c:pt>
                <c:pt idx="9">
                  <c:v>Programação</c:v>
                </c:pt>
                <c:pt idx="10">
                  <c:v>Teoria dos Números</c:v>
                </c:pt>
                <c:pt idx="11">
                  <c:v>Warp Drive</c:v>
                </c:pt>
              </c:strCache>
            </c:strRef>
          </c:cat>
          <c:val>
            <c:numRef>
              <c:f>Dashboard!$B$12:$B$23</c:f>
              <c:numCache>
                <c:formatCode>0</c:formatCode>
                <c:ptCount val="12"/>
                <c:pt idx="0">
                  <c:v>4</c:v>
                </c:pt>
                <c:pt idx="1">
                  <c:v>2</c:v>
                </c:pt>
                <c:pt idx="2">
                  <c:v>6</c:v>
                </c:pt>
                <c:pt idx="3">
                  <c:v>16</c:v>
                </c:pt>
                <c:pt idx="4">
                  <c:v>2</c:v>
                </c:pt>
                <c:pt idx="5">
                  <c:v>2</c:v>
                </c:pt>
                <c:pt idx="6">
                  <c:v>26</c:v>
                </c:pt>
                <c:pt idx="7">
                  <c:v>2</c:v>
                </c:pt>
                <c:pt idx="8">
                  <c:v>14</c:v>
                </c:pt>
                <c:pt idx="9">
                  <c:v>6</c:v>
                </c:pt>
                <c:pt idx="10">
                  <c:v>4</c:v>
                </c:pt>
                <c:pt idx="11">
                  <c:v>27</c:v>
                </c:pt>
              </c:numCache>
            </c:numRef>
          </c:val>
          <c:extLst>
            <c:ext xmlns:c16="http://schemas.microsoft.com/office/drawing/2014/chart" uri="{C3380CC4-5D6E-409C-BE32-E72D297353CC}">
              <c16:uniqueId val="{00000000-40BD-486B-AC60-1522EF3A530F}"/>
            </c:ext>
          </c:extLst>
        </c:ser>
        <c:dLbls>
          <c:showLegendKey val="0"/>
          <c:showVal val="0"/>
          <c:showCatName val="0"/>
          <c:showSerName val="0"/>
          <c:showPercent val="0"/>
          <c:showBubbleSize val="0"/>
        </c:dLbls>
        <c:gapWidth val="182"/>
        <c:axId val="135072495"/>
        <c:axId val="127853008"/>
      </c:barChart>
      <c:catAx>
        <c:axId val="135072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7853008"/>
        <c:crosses val="autoZero"/>
        <c:auto val="1"/>
        <c:lblAlgn val="ctr"/>
        <c:lblOffset val="100"/>
        <c:noMultiLvlLbl val="0"/>
      </c:catAx>
      <c:valAx>
        <c:axId val="1278530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507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Saídas concluídas por canal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tx>
            <c:strRef>
              <c:f>Dashboard!$H$11</c:f>
              <c:strCache>
                <c:ptCount val="1"/>
                <c:pt idx="0">
                  <c:v>Saídas concluídas</c:v>
                </c:pt>
              </c:strCache>
            </c:strRef>
          </c:tx>
          <c:spPr>
            <a:solidFill>
              <a:schemeClr val="accent1"/>
            </a:solidFill>
            <a:ln>
              <a:noFill/>
            </a:ln>
            <a:effectLst/>
          </c:spPr>
          <c:invertIfNegative val="0"/>
          <c:cat>
            <c:strRef>
              <c:f>Dashboard!$G$12:$G$23</c:f>
              <c:strCache>
                <c:ptCount val="12"/>
                <c:pt idx="0">
                  <c:v>arXiv/SSRN</c:v>
                </c:pt>
                <c:pt idx="1">
                  <c:v>Journal</c:v>
                </c:pt>
                <c:pt idx="2">
                  <c:v>Research Gate</c:v>
                </c:pt>
                <c:pt idx="3">
                  <c:v>YouTube</c:v>
                </c:pt>
                <c:pt idx="4">
                  <c:v>TikTok</c:v>
                </c:pt>
                <c:pt idx="5">
                  <c:v>LinkedIn</c:v>
                </c:pt>
                <c:pt idx="6">
                  <c:v>Newsletter LinkedIn</c:v>
                </c:pt>
                <c:pt idx="7">
                  <c:v>Substack</c:v>
                </c:pt>
                <c:pt idx="8">
                  <c:v>GitHub</c:v>
                </c:pt>
                <c:pt idx="9">
                  <c:v>Oz.io</c:v>
                </c:pt>
                <c:pt idx="10">
                  <c:v>Oz Site</c:v>
                </c:pt>
                <c:pt idx="11">
                  <c:v>Curso</c:v>
                </c:pt>
              </c:strCache>
            </c:strRef>
          </c:cat>
          <c:val>
            <c:numRef>
              <c:f>Dashboard!$H$12:$H$23</c:f>
              <c:numCache>
                <c:formatCode>0</c:formatCode>
                <c:ptCount val="12"/>
                <c:pt idx="0">
                  <c:v>8</c:v>
                </c:pt>
                <c:pt idx="1">
                  <c:v>8</c:v>
                </c:pt>
                <c:pt idx="2">
                  <c:v>8</c:v>
                </c:pt>
                <c:pt idx="3">
                  <c:v>40</c:v>
                </c:pt>
                <c:pt idx="4">
                  <c:v>40</c:v>
                </c:pt>
                <c:pt idx="5">
                  <c:v>0</c:v>
                </c:pt>
                <c:pt idx="6">
                  <c:v>0</c:v>
                </c:pt>
                <c:pt idx="7">
                  <c:v>0</c:v>
                </c:pt>
                <c:pt idx="8">
                  <c:v>7</c:v>
                </c:pt>
                <c:pt idx="9">
                  <c:v>0</c:v>
                </c:pt>
                <c:pt idx="10">
                  <c:v>0</c:v>
                </c:pt>
                <c:pt idx="11">
                  <c:v>0</c:v>
                </c:pt>
              </c:numCache>
            </c:numRef>
          </c:val>
          <c:extLst>
            <c:ext xmlns:c16="http://schemas.microsoft.com/office/drawing/2014/chart" uri="{C3380CC4-5D6E-409C-BE32-E72D297353CC}">
              <c16:uniqueId val="{00000000-C8A9-44E0-8850-0081CBD5C31B}"/>
            </c:ext>
          </c:extLst>
        </c:ser>
        <c:dLbls>
          <c:showLegendKey val="0"/>
          <c:showVal val="0"/>
          <c:showCatName val="0"/>
          <c:showSerName val="0"/>
          <c:showPercent val="0"/>
          <c:showBubbleSize val="0"/>
        </c:dLbls>
        <c:gapWidth val="182"/>
        <c:axId val="135044655"/>
        <c:axId val="127753648"/>
      </c:barChart>
      <c:catAx>
        <c:axId val="13504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7753648"/>
        <c:crosses val="autoZero"/>
        <c:auto val="1"/>
        <c:lblAlgn val="ctr"/>
        <c:lblOffset val="100"/>
        <c:noMultiLvlLbl val="0"/>
      </c:catAx>
      <c:valAx>
        <c:axId val="1277536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504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48</xdr:row>
      <xdr:rowOff>0</xdr:rowOff>
    </xdr:from>
    <xdr:to>
      <xdr:col>6</xdr:col>
      <xdr:colOff>0</xdr:colOff>
      <xdr:row>63</xdr:row>
      <xdr:rowOff>0</xdr:rowOff>
    </xdr:to>
    <xdr:graphicFrame macro="">
      <xdr:nvGraphicFramePr>
        <xdr:cNvPr id="2" name="Gráfico 1">
          <a:extLst>
            <a:ext uri="{FF2B5EF4-FFF2-40B4-BE49-F238E27FC236}">
              <a16:creationId xmlns:a16="http://schemas.microsoft.com/office/drawing/2014/main" id="{8523436A-3814-AA23-DB64-D8D418F196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48</xdr:row>
      <xdr:rowOff>0</xdr:rowOff>
    </xdr:from>
    <xdr:to>
      <xdr:col>13</xdr:col>
      <xdr:colOff>1</xdr:colOff>
      <xdr:row>63</xdr:row>
      <xdr:rowOff>0</xdr:rowOff>
    </xdr:to>
    <xdr:graphicFrame macro="">
      <xdr:nvGraphicFramePr>
        <xdr:cNvPr id="3" name="Gráfico 2">
          <a:extLst>
            <a:ext uri="{FF2B5EF4-FFF2-40B4-BE49-F238E27FC236}">
              <a16:creationId xmlns:a16="http://schemas.microsoft.com/office/drawing/2014/main" id="{81CD5556-5035-8E15-0471-2761B33E1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20E8C91-00BD-4BF0-9433-C02E820E32D7}">
  <we:reference id="wa200009404" version="1.0.0.8" store="en-US" storeType="OMEX"/>
  <we:alternateReferences>
    <we:reference id="wa200009404" version="1.0.0.8" store="" storeType="OMEX"/>
  </we:alternateReferences>
  <we:properties>
    <we:property name="claude.fileId" value="&quot;e2ee7442-5683-48a0-9652-5b06b7c120e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youtube.com/watch?v=jt6RW7yieIs" TargetMode="External"/><Relationship Id="rId3" Type="http://schemas.openxmlformats.org/officeDocument/2006/relationships/hyperlink" Target="https://www.youtube.com/watch?v=8ufPXCY2XJM" TargetMode="External"/><Relationship Id="rId7" Type="http://schemas.openxmlformats.org/officeDocument/2006/relationships/hyperlink" Target="https://www.youtube.com/watch?v=ET12FMffAmI" TargetMode="External"/><Relationship Id="rId2" Type="http://schemas.openxmlformats.org/officeDocument/2006/relationships/hyperlink" Target="https://www.youtube.com/watch?v=uzmDvQQZoGs" TargetMode="External"/><Relationship Id="rId1" Type="http://schemas.openxmlformats.org/officeDocument/2006/relationships/hyperlink" Target="https://github.com/ozsp12/water_density_physexp" TargetMode="External"/><Relationship Id="rId6" Type="http://schemas.openxmlformats.org/officeDocument/2006/relationships/hyperlink" Target="https://www.youtube.com/watch?v=2Rhxz9y4Wv0" TargetMode="External"/><Relationship Id="rId5" Type="http://schemas.openxmlformats.org/officeDocument/2006/relationships/hyperlink" Target="https://www.youtube.com/watch?v=jdkhDn97CMA" TargetMode="External"/><Relationship Id="rId4" Type="http://schemas.openxmlformats.org/officeDocument/2006/relationships/hyperlink" Target="https://www.youtube.com/watch?v=SxDXN2_ATpM" TargetMode="External"/><Relationship Id="rId9" Type="http://schemas.openxmlformats.org/officeDocument/2006/relationships/hyperlink" Target="https://www.youtube.com/watch?v=dJwS3mv8Oo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0"/>
  <sheetViews>
    <sheetView showGridLines="0" topLeftCell="A30" zoomScaleNormal="100" workbookViewId="0">
      <selection activeCell="B43" sqref="B43"/>
    </sheetView>
  </sheetViews>
  <sheetFormatPr defaultRowHeight="13.5"/>
  <cols>
    <col min="1" max="1" width="41.6875" customWidth="1"/>
    <col min="2" max="8" width="15" customWidth="1"/>
    <col min="9" max="9" width="31.6875" customWidth="1"/>
    <col min="10" max="13" width="15" customWidth="1"/>
  </cols>
  <sheetData>
    <row r="1" spans="1:13" ht="34.049999999999997" customHeight="1">
      <c r="A1" s="16" t="s">
        <v>1003</v>
      </c>
      <c r="B1" s="17"/>
      <c r="C1" s="17"/>
      <c r="D1" s="17"/>
      <c r="E1" s="17"/>
      <c r="F1" s="17"/>
      <c r="G1" s="17"/>
      <c r="H1" s="17"/>
      <c r="I1" s="17"/>
      <c r="J1" s="17"/>
      <c r="K1" s="17"/>
      <c r="L1" s="17"/>
      <c r="M1" s="17"/>
    </row>
    <row r="2" spans="1:13">
      <c r="A2" s="18" t="s">
        <v>1097</v>
      </c>
      <c r="B2" s="17"/>
      <c r="C2" s="17"/>
      <c r="D2" s="17"/>
      <c r="E2" s="17"/>
      <c r="F2" s="17"/>
      <c r="G2" s="17"/>
      <c r="H2" s="17"/>
      <c r="I2" s="17"/>
      <c r="J2" s="17"/>
      <c r="K2" s="17"/>
      <c r="L2" s="17"/>
      <c r="M2" s="17"/>
    </row>
    <row r="3" spans="1:13">
      <c r="A3" s="17"/>
      <c r="B3" s="17"/>
      <c r="C3" s="17"/>
      <c r="D3" s="17"/>
      <c r="E3" s="17"/>
      <c r="F3" s="17"/>
      <c r="G3" s="17"/>
      <c r="H3" s="17"/>
      <c r="I3" s="17"/>
      <c r="J3" s="17"/>
      <c r="K3" s="17"/>
      <c r="L3" s="17"/>
      <c r="M3" s="17"/>
    </row>
    <row r="4" spans="1:13">
      <c r="A4" s="19" t="s">
        <v>1098</v>
      </c>
      <c r="B4" s="19"/>
      <c r="C4" s="19" t="s">
        <v>1112</v>
      </c>
      <c r="D4" s="19"/>
      <c r="E4" s="19" t="s">
        <v>5</v>
      </c>
      <c r="F4" s="19"/>
      <c r="G4" s="19" t="s">
        <v>6</v>
      </c>
      <c r="H4" s="19"/>
      <c r="I4" s="19" t="s">
        <v>1008</v>
      </c>
      <c r="J4" s="19"/>
      <c r="K4" s="19" t="s">
        <v>1011</v>
      </c>
      <c r="L4" s="19"/>
      <c r="M4" s="17"/>
    </row>
    <row r="5" spans="1:13" ht="28.05" customHeight="1">
      <c r="A5" s="20">
        <f>COUNTIF(Matriz!$C$2:$C$60,"&lt;&gt;")</f>
        <v>47</v>
      </c>
      <c r="B5" s="21"/>
      <c r="C5" s="20">
        <f>SUM(Matriz!$AE$2:$AE$60)</f>
        <v>111</v>
      </c>
      <c r="D5" s="21"/>
      <c r="E5" s="20">
        <f>SUM(Matriz!$AF$2:$AF$60)</f>
        <v>59</v>
      </c>
      <c r="F5" s="21"/>
      <c r="G5" s="22">
        <f>IFERROR($C$5/($A$5*12),0)</f>
        <v>0.19680851063829788</v>
      </c>
      <c r="H5" s="21"/>
      <c r="I5" s="23">
        <f>IFERROR($C$5/$A$5,0)</f>
        <v>2.3617021276595747</v>
      </c>
      <c r="J5" s="21"/>
      <c r="K5" s="20">
        <f>COUNTIF(Matriz!$AE$2:$AE$60,"&gt;=3")</f>
        <v>8</v>
      </c>
      <c r="L5" s="21"/>
      <c r="M5" s="17"/>
    </row>
    <row r="6" spans="1:13">
      <c r="A6" s="17"/>
      <c r="B6" s="17"/>
      <c r="C6" s="17"/>
      <c r="D6" s="17"/>
      <c r="E6" s="17"/>
      <c r="F6" s="17"/>
      <c r="G6" s="17"/>
      <c r="H6" s="17"/>
      <c r="I6" s="17"/>
      <c r="J6" s="17"/>
      <c r="K6" s="17"/>
      <c r="L6" s="17"/>
      <c r="M6" s="17"/>
    </row>
    <row r="7" spans="1:13">
      <c r="A7" s="19" t="s">
        <v>1009</v>
      </c>
      <c r="B7" s="19"/>
      <c r="C7" s="19" t="s">
        <v>1010</v>
      </c>
      <c r="D7" s="19"/>
      <c r="E7" s="19" t="s">
        <v>1012</v>
      </c>
      <c r="F7" s="19"/>
      <c r="G7" s="19" t="s">
        <v>1013</v>
      </c>
      <c r="H7" s="19"/>
      <c r="I7" s="19" t="s">
        <v>1017</v>
      </c>
      <c r="J7" s="19"/>
      <c r="K7" s="19" t="s">
        <v>1014</v>
      </c>
      <c r="L7" s="19"/>
      <c r="M7" s="17"/>
    </row>
    <row r="8" spans="1:13" ht="28.05" customHeight="1">
      <c r="A8" s="20">
        <f>COUNTIF(Matriz!$AE$2:$AE$60,"&gt;=1")</f>
        <v>47</v>
      </c>
      <c r="B8" s="21"/>
      <c r="C8" s="20">
        <f>COUNTIF(Matriz!$AE$2:$AE$60,0)</f>
        <v>0</v>
      </c>
      <c r="D8" s="21"/>
      <c r="E8" s="20">
        <f>COUNTIF($C$12:$C$23,"&gt;0")</f>
        <v>12</v>
      </c>
      <c r="F8" s="21"/>
      <c r="G8" s="20">
        <f>COUNTIF($H$12:$H$23,"&gt;0")</f>
        <v>6</v>
      </c>
      <c r="H8" s="21"/>
      <c r="I8" s="20">
        <f>COUNTIF(Periódicos!$A$2:$A$168,"&lt;&gt;")</f>
        <v>167</v>
      </c>
      <c r="J8" s="21"/>
      <c r="K8" s="20">
        <f>COUNTIF(Periódicos!$I$2:$I$168,"&gt;=4")</f>
        <v>113</v>
      </c>
      <c r="L8" s="21"/>
      <c r="M8" s="17"/>
    </row>
    <row r="9" spans="1:13">
      <c r="A9" s="17"/>
      <c r="B9" s="17"/>
      <c r="C9" s="17"/>
      <c r="D9" s="17"/>
      <c r="E9" s="17"/>
      <c r="F9" s="17"/>
      <c r="G9" s="17"/>
      <c r="H9" s="17"/>
      <c r="I9" s="17"/>
      <c r="J9" s="17"/>
      <c r="K9" s="17"/>
      <c r="L9" s="17"/>
      <c r="M9" s="17"/>
    </row>
    <row r="10" spans="1:13" ht="15">
      <c r="A10" s="24" t="s">
        <v>1006</v>
      </c>
      <c r="B10" s="17"/>
      <c r="C10" s="17"/>
      <c r="D10" s="17"/>
      <c r="E10" s="17"/>
      <c r="F10" s="17"/>
      <c r="G10" s="24" t="s">
        <v>1007</v>
      </c>
      <c r="H10" s="17"/>
      <c r="I10" s="17"/>
      <c r="J10" s="17"/>
      <c r="K10" s="17"/>
      <c r="L10" s="17"/>
      <c r="M10" s="17"/>
    </row>
    <row r="11" spans="1:13" ht="13.9">
      <c r="A11" s="25" t="s">
        <v>1004</v>
      </c>
      <c r="B11" s="25" t="s">
        <v>1005</v>
      </c>
      <c r="C11" s="25" t="s">
        <v>2</v>
      </c>
      <c r="D11" s="25" t="s">
        <v>7</v>
      </c>
      <c r="E11" s="25" t="s">
        <v>4</v>
      </c>
      <c r="F11" s="17"/>
      <c r="G11" s="25" t="s">
        <v>998</v>
      </c>
      <c r="H11" s="25" t="s">
        <v>1005</v>
      </c>
      <c r="I11" s="25" t="s">
        <v>7</v>
      </c>
      <c r="J11" s="25" t="s">
        <v>4</v>
      </c>
      <c r="K11" s="17"/>
      <c r="L11" s="17"/>
      <c r="M11" s="17"/>
    </row>
    <row r="12" spans="1:13">
      <c r="A12" s="26" t="s">
        <v>1082</v>
      </c>
      <c r="B12" s="27">
        <f>SUMIF(Matriz!$B$2:$B$60,$A12,Matriz!$AE$2:$AE$60)</f>
        <v>4</v>
      </c>
      <c r="C12" s="27">
        <f>COUNTIFS(Matriz!$B$2:$B$60,$A12,Matriz!$C$2:$C$60,"&lt;&gt;")</f>
        <v>2</v>
      </c>
      <c r="D12" s="27">
        <f>SUMIF(Matriz!$B$2:$B$60,$A12,Matriz!$AF$2:$AF$60)</f>
        <v>2</v>
      </c>
      <c r="E12" s="28">
        <f>IFERROR($B12/($C12*12),0)</f>
        <v>0.16666666666666666</v>
      </c>
      <c r="F12" s="17"/>
      <c r="G12" s="26" t="s">
        <v>8</v>
      </c>
      <c r="H12" s="27">
        <f>SUM(INDEX(Matriz!$F$2:$Q$60,0,MATCH($G12,Matriz!$F$1:$Q$1,0)))</f>
        <v>8</v>
      </c>
      <c r="I12" s="27">
        <f>COUNTIF(INDEX(Matriz!$R$2:$AC$60,0,MATCH($G12&amp;" (link)",Matriz!$R$1:$AC$1,0)),"http*")</f>
        <v>8</v>
      </c>
      <c r="J12" s="28">
        <f>IFERROR($H12/$A$5,0)</f>
        <v>0.1702127659574468</v>
      </c>
      <c r="K12" s="17"/>
      <c r="L12" s="17"/>
      <c r="M12" s="17"/>
    </row>
    <row r="13" spans="1:13">
      <c r="A13" s="26" t="s">
        <v>1092</v>
      </c>
      <c r="B13" s="27">
        <f>SUMIF(Matriz!$B$2:$B$60,$A13,Matriz!$AE$2:$AE$60)</f>
        <v>2</v>
      </c>
      <c r="C13" s="27">
        <f>COUNTIFS(Matriz!$B$2:$B$60,$A13,Matriz!$C$2:$C$60,"&lt;&gt;")</f>
        <v>1</v>
      </c>
      <c r="D13" s="27">
        <f>SUMIF(Matriz!$B$2:$B$60,$A13,Matriz!$AF$2:$AF$60)</f>
        <v>1</v>
      </c>
      <c r="E13" s="28">
        <f t="shared" ref="E13:E23" si="0">IFERROR($B13/($C13*12),0)</f>
        <v>0.16666666666666666</v>
      </c>
      <c r="F13" s="17"/>
      <c r="G13" s="26" t="s">
        <v>9</v>
      </c>
      <c r="H13" s="27">
        <f>SUM(INDEX(Matriz!$F$2:$Q$60,0,MATCH($G13,Matriz!$F$1:$Q$1,0)))</f>
        <v>8</v>
      </c>
      <c r="I13" s="27">
        <f>COUNTIF(INDEX(Matriz!$R$2:$AC$60,0,MATCH($G13&amp;" (link)",Matriz!$R$1:$AC$1,0)),"http*")</f>
        <v>8</v>
      </c>
      <c r="J13" s="28">
        <f t="shared" ref="J13:J23" si="1">IFERROR($H13/$A$5,0)</f>
        <v>0.1702127659574468</v>
      </c>
      <c r="K13" s="17"/>
      <c r="L13" s="17"/>
      <c r="M13" s="17"/>
    </row>
    <row r="14" spans="1:13">
      <c r="A14" s="26" t="s">
        <v>1079</v>
      </c>
      <c r="B14" s="27">
        <f>SUMIF(Matriz!$B$2:$B$60,$A14,Matriz!$AE$2:$AE$60)</f>
        <v>6</v>
      </c>
      <c r="C14" s="27">
        <f>COUNTIFS(Matriz!$B$2:$B$60,$A14,Matriz!$C$2:$C$60,"&lt;&gt;")</f>
        <v>3</v>
      </c>
      <c r="D14" s="27">
        <f>SUMIF(Matriz!$B$2:$B$60,$A14,Matriz!$AF$2:$AF$60)</f>
        <v>3</v>
      </c>
      <c r="E14" s="28">
        <f t="shared" si="0"/>
        <v>0.16666666666666666</v>
      </c>
      <c r="F14" s="17"/>
      <c r="G14" s="26" t="s">
        <v>10</v>
      </c>
      <c r="H14" s="27">
        <f>SUM(INDEX(Matriz!$F$2:$Q$60,0,MATCH($G14,Matriz!$F$1:$Q$1,0)))</f>
        <v>8</v>
      </c>
      <c r="I14" s="27">
        <f>COUNTIF(INDEX(Matriz!$R$2:$AC$60,0,MATCH($G14&amp;" (link)",Matriz!$R$1:$AC$1,0)),"http*")</f>
        <v>0</v>
      </c>
      <c r="J14" s="28">
        <f t="shared" si="1"/>
        <v>0.1702127659574468</v>
      </c>
      <c r="K14" s="17"/>
      <c r="L14" s="17"/>
      <c r="M14" s="17"/>
    </row>
    <row r="15" spans="1:13">
      <c r="A15" s="26" t="s">
        <v>1080</v>
      </c>
      <c r="B15" s="27">
        <f>SUMIF(Matriz!$B$2:$B$60,$A15,Matriz!$AE$2:$AE$60)</f>
        <v>16</v>
      </c>
      <c r="C15" s="27">
        <f>COUNTIFS(Matriz!$B$2:$B$60,$A15,Matriz!$C$2:$C$60,"&lt;&gt;")</f>
        <v>8</v>
      </c>
      <c r="D15" s="27">
        <f>SUMIF(Matriz!$B$2:$B$60,$A15,Matriz!$AF$2:$AF$60)</f>
        <v>8</v>
      </c>
      <c r="E15" s="28">
        <f t="shared" si="0"/>
        <v>0.16666666666666666</v>
      </c>
      <c r="F15" s="17"/>
      <c r="G15" s="26" t="s">
        <v>11</v>
      </c>
      <c r="H15" s="27">
        <f>SUM(INDEX(Matriz!$F$2:$Q$60,0,MATCH($G15,Matriz!$F$1:$Q$1,0)))</f>
        <v>40</v>
      </c>
      <c r="I15" s="27">
        <f>COUNTIF(INDEX(Matriz!$R$2:$AC$60,0,MATCH($G15&amp;" (link)",Matriz!$R$1:$AC$1,0)),"http*")</f>
        <v>40</v>
      </c>
      <c r="J15" s="28">
        <f t="shared" si="1"/>
        <v>0.85106382978723405</v>
      </c>
      <c r="K15" s="17"/>
      <c r="L15" s="17"/>
      <c r="M15" s="17"/>
    </row>
    <row r="16" spans="1:13">
      <c r="A16" s="26" t="s">
        <v>1000</v>
      </c>
      <c r="B16" s="27">
        <f>SUMIF(Matriz!$B$2:$B$60,$A16,Matriz!$AE$2:$AE$60)</f>
        <v>2</v>
      </c>
      <c r="C16" s="27">
        <f>COUNTIFS(Matriz!$B$2:$B$60,$A16,Matriz!$C$2:$C$60,"&lt;&gt;")</f>
        <v>1</v>
      </c>
      <c r="D16" s="27">
        <f>SUMIF(Matriz!$B$2:$B$60,$A16,Matriz!$AF$2:$AF$60)</f>
        <v>1</v>
      </c>
      <c r="E16" s="28">
        <f t="shared" si="0"/>
        <v>0.16666666666666666</v>
      </c>
      <c r="F16" s="17"/>
      <c r="G16" s="26" t="s">
        <v>12</v>
      </c>
      <c r="H16" s="27">
        <f>SUM(INDEX(Matriz!$F$2:$Q$60,0,MATCH($G16,Matriz!$F$1:$Q$1,0)))</f>
        <v>40</v>
      </c>
      <c r="I16" s="27">
        <f>COUNTIF(INDEX(Matriz!$R$2:$AC$60,0,MATCH($G16&amp;" (link)",Matriz!$R$1:$AC$1,0)),"http*")</f>
        <v>2</v>
      </c>
      <c r="J16" s="28">
        <f t="shared" si="1"/>
        <v>0.85106382978723405</v>
      </c>
      <c r="K16" s="17"/>
      <c r="L16" s="17"/>
      <c r="M16" s="17"/>
    </row>
    <row r="17" spans="1:13">
      <c r="A17" s="26" t="s">
        <v>999</v>
      </c>
      <c r="B17" s="27">
        <f>SUMIF(Matriz!$B$2:$B$60,$A17,Matriz!$AE$2:$AE$60)</f>
        <v>2</v>
      </c>
      <c r="C17" s="27">
        <f>COUNTIFS(Matriz!$B$2:$B$60,$A17,Matriz!$C$2:$C$60,"&lt;&gt;")</f>
        <v>1</v>
      </c>
      <c r="D17" s="27">
        <f>SUMIF(Matriz!$B$2:$B$60,$A17,Matriz!$AF$2:$AF$60)</f>
        <v>1</v>
      </c>
      <c r="E17" s="28">
        <f t="shared" si="0"/>
        <v>0.16666666666666666</v>
      </c>
      <c r="F17" s="17"/>
      <c r="G17" s="26" t="s">
        <v>13</v>
      </c>
      <c r="H17" s="27">
        <f>SUM(INDEX(Matriz!$F$2:$Q$60,0,MATCH($G17,Matriz!$F$1:$Q$1,0)))</f>
        <v>0</v>
      </c>
      <c r="I17" s="27">
        <f>COUNTIF(INDEX(Matriz!$R$2:$AC$60,0,MATCH($G17&amp;" (link)",Matriz!$R$1:$AC$1,0)),"http*")</f>
        <v>0</v>
      </c>
      <c r="J17" s="28">
        <f t="shared" si="1"/>
        <v>0</v>
      </c>
      <c r="K17" s="17"/>
      <c r="L17" s="17"/>
      <c r="M17" s="17"/>
    </row>
    <row r="18" spans="1:13">
      <c r="A18" s="26" t="s">
        <v>1001</v>
      </c>
      <c r="B18" s="27">
        <f>SUMIF(Matriz!$B$2:$B$60,$A18,Matriz!$AE$2:$AE$60)</f>
        <v>26</v>
      </c>
      <c r="C18" s="27">
        <f>COUNTIFS(Matriz!$B$2:$B$60,$A18,Matriz!$C$2:$C$60,"&lt;&gt;")</f>
        <v>10</v>
      </c>
      <c r="D18" s="27">
        <f>SUMIF(Matriz!$B$2:$B$60,$A18,Matriz!$AF$2:$AF$60)</f>
        <v>15</v>
      </c>
      <c r="E18" s="28">
        <f t="shared" si="0"/>
        <v>0.21666666666666667</v>
      </c>
      <c r="F18" s="17"/>
      <c r="G18" s="26" t="s">
        <v>14</v>
      </c>
      <c r="H18" s="27">
        <f>SUM(INDEX(Matriz!$F$2:$Q$60,0,MATCH($G18,Matriz!$F$1:$Q$1,0)))</f>
        <v>0</v>
      </c>
      <c r="I18" s="27">
        <f>COUNTIF(INDEX(Matriz!$R$2:$AC$60,0,MATCH($G18&amp;" (link)",Matriz!$R$1:$AC$1,0)),"http*")</f>
        <v>0</v>
      </c>
      <c r="J18" s="28">
        <f t="shared" si="1"/>
        <v>0</v>
      </c>
      <c r="K18" s="17"/>
      <c r="L18" s="17"/>
      <c r="M18" s="17"/>
    </row>
    <row r="19" spans="1:13">
      <c r="A19" s="26" t="s">
        <v>1081</v>
      </c>
      <c r="B19" s="27">
        <f>SUMIF(Matriz!$B$2:$B$60,$A19,Matriz!$AE$2:$AE$60)</f>
        <v>2</v>
      </c>
      <c r="C19" s="27">
        <f>COUNTIFS(Matriz!$B$2:$B$60,$A19,Matriz!$C$2:$C$60,"&lt;&gt;")</f>
        <v>1</v>
      </c>
      <c r="D19" s="27">
        <f>SUMIF(Matriz!$B$2:$B$60,$A19,Matriz!$AF$2:$AF$60)</f>
        <v>1</v>
      </c>
      <c r="E19" s="28">
        <f t="shared" si="0"/>
        <v>0.16666666666666666</v>
      </c>
      <c r="F19" s="17"/>
      <c r="G19" s="26" t="s">
        <v>15</v>
      </c>
      <c r="H19" s="27">
        <f>SUM(INDEX(Matriz!$F$2:$Q$60,0,MATCH($G19,Matriz!$F$1:$Q$1,0)))</f>
        <v>0</v>
      </c>
      <c r="I19" s="27">
        <f>COUNTIF(INDEX(Matriz!$R$2:$AC$60,0,MATCH($G19&amp;" (link)",Matriz!$R$1:$AC$1,0)),"http*")</f>
        <v>0</v>
      </c>
      <c r="J19" s="28">
        <f t="shared" si="1"/>
        <v>0</v>
      </c>
      <c r="K19" s="17"/>
      <c r="L19" s="17"/>
      <c r="M19" s="17"/>
    </row>
    <row r="20" spans="1:13">
      <c r="A20" s="26" t="s">
        <v>1002</v>
      </c>
      <c r="B20" s="27">
        <f>SUMIF(Matriz!$B$2:$B$60,$A20,Matriz!$AE$2:$AE$60)</f>
        <v>14</v>
      </c>
      <c r="C20" s="27">
        <f>COUNTIFS(Matriz!$B$2:$B$60,$A20,Matriz!$C$2:$C$60,"&lt;&gt;")</f>
        <v>7</v>
      </c>
      <c r="D20" s="27">
        <f>SUMIF(Matriz!$B$2:$B$60,$A20,Matriz!$AF$2:$AF$60)</f>
        <v>8</v>
      </c>
      <c r="E20" s="28">
        <f t="shared" si="0"/>
        <v>0.16666666666666666</v>
      </c>
      <c r="F20" s="17"/>
      <c r="G20" s="26" t="s">
        <v>16</v>
      </c>
      <c r="H20" s="27">
        <f>SUM(INDEX(Matriz!$F$2:$Q$60,0,MATCH($G20,Matriz!$F$1:$Q$1,0)))</f>
        <v>7</v>
      </c>
      <c r="I20" s="27">
        <f>COUNTIF(INDEX(Matriz!$R$2:$AC$60,0,MATCH($G20&amp;" (link)",Matriz!$R$1:$AC$1,0)),"http*")</f>
        <v>1</v>
      </c>
      <c r="J20" s="28">
        <f t="shared" si="1"/>
        <v>0.14893617021276595</v>
      </c>
      <c r="K20" s="17"/>
      <c r="L20" s="17"/>
      <c r="M20" s="17"/>
    </row>
    <row r="21" spans="1:13">
      <c r="A21" s="26" t="s">
        <v>1078</v>
      </c>
      <c r="B21" s="27">
        <f>SUMIF(Matriz!$B$2:$B$60,$A21,Matriz!$AE$2:$AE$60)</f>
        <v>6</v>
      </c>
      <c r="C21" s="27">
        <f>COUNTIFS(Matriz!$B$2:$B$60,$A21,Matriz!$C$2:$C$60,"&lt;&gt;")</f>
        <v>3</v>
      </c>
      <c r="D21" s="27">
        <f>SUMIF(Matriz!$B$2:$B$60,$A21,Matriz!$AF$2:$AF$60)</f>
        <v>3</v>
      </c>
      <c r="E21" s="28">
        <f t="shared" si="0"/>
        <v>0.16666666666666666</v>
      </c>
      <c r="F21" s="17"/>
      <c r="G21" s="26" t="s">
        <v>17</v>
      </c>
      <c r="H21" s="27">
        <f>SUM(INDEX(Matriz!$F$2:$Q$60,0,MATCH($G21,Matriz!$F$1:$Q$1,0)))</f>
        <v>0</v>
      </c>
      <c r="I21" s="27">
        <f>COUNTIF(INDEX(Matriz!$R$2:$AC$60,0,MATCH($G21&amp;" (link)",Matriz!$R$1:$AC$1,0)),"http*")</f>
        <v>0</v>
      </c>
      <c r="J21" s="28">
        <f t="shared" si="1"/>
        <v>0</v>
      </c>
      <c r="K21" s="17"/>
      <c r="L21" s="17"/>
      <c r="M21" s="17"/>
    </row>
    <row r="22" spans="1:13">
      <c r="A22" s="26" t="s">
        <v>31</v>
      </c>
      <c r="B22" s="27">
        <f>SUMIF(Matriz!$B$2:$B$60,$A22,Matriz!$AE$2:$AE$60)</f>
        <v>4</v>
      </c>
      <c r="C22" s="27">
        <f>COUNTIFS(Matriz!$B$2:$B$60,$A22,Matriz!$C$2:$C$60,"&lt;&gt;")</f>
        <v>2</v>
      </c>
      <c r="D22" s="27">
        <f>SUMIF(Matriz!$B$2:$B$60,$A22,Matriz!$AF$2:$AF$60)</f>
        <v>2</v>
      </c>
      <c r="E22" s="28">
        <f t="shared" si="0"/>
        <v>0.16666666666666666</v>
      </c>
      <c r="F22" s="17"/>
      <c r="G22" s="26" t="s">
        <v>18</v>
      </c>
      <c r="H22" s="27">
        <f>SUM(INDEX(Matriz!$F$2:$Q$60,0,MATCH($G22,Matriz!$F$1:$Q$1,0)))</f>
        <v>0</v>
      </c>
      <c r="I22" s="27">
        <f>COUNTIF(INDEX(Matriz!$R$2:$AC$60,0,MATCH($G22&amp;" (link)",Matriz!$R$1:$AC$1,0)),"http*")</f>
        <v>0</v>
      </c>
      <c r="J22" s="28">
        <f t="shared" si="1"/>
        <v>0</v>
      </c>
      <c r="K22" s="17"/>
      <c r="L22" s="17"/>
      <c r="M22" s="17"/>
    </row>
    <row r="23" spans="1:13">
      <c r="A23" s="26" t="s">
        <v>1084</v>
      </c>
      <c r="B23" s="27">
        <f>SUMIF(Matriz!$B$2:$B$60,$A23,Matriz!$AE$2:$AE$60)</f>
        <v>27</v>
      </c>
      <c r="C23" s="27">
        <f>COUNTIFS(Matriz!$B$2:$B$60,$A23,Matriz!$C$2:$C$60,"&lt;&gt;")</f>
        <v>8</v>
      </c>
      <c r="D23" s="27">
        <f>SUMIF(Matriz!$B$2:$B$60,$A23,Matriz!$AF$2:$AF$60)</f>
        <v>14</v>
      </c>
      <c r="E23" s="28">
        <f t="shared" si="0"/>
        <v>0.28125</v>
      </c>
      <c r="F23" s="17"/>
      <c r="G23" s="26" t="s">
        <v>19</v>
      </c>
      <c r="H23" s="27">
        <f>SUM(INDEX(Matriz!$F$2:$Q$60,0,MATCH($G23,Matriz!$F$1:$Q$1,0)))</f>
        <v>0</v>
      </c>
      <c r="I23" s="27">
        <f>COUNTIF(INDEX(Matriz!$R$2:$AC$60,0,MATCH($G23&amp;" (link)",Matriz!$R$1:$AC$1,0)),"http*")</f>
        <v>0</v>
      </c>
      <c r="J23" s="28">
        <f t="shared" si="1"/>
        <v>0</v>
      </c>
      <c r="K23" s="17"/>
      <c r="L23" s="17"/>
      <c r="M23" s="17"/>
    </row>
    <row r="24" spans="1:13" ht="13.9">
      <c r="A24" s="29" t="s">
        <v>1099</v>
      </c>
      <c r="B24" s="30">
        <f>SUM($B$12:$B$23)</f>
        <v>111</v>
      </c>
      <c r="C24" s="30">
        <f>SUM($C$12:$C$23)</f>
        <v>47</v>
      </c>
      <c r="D24" s="30">
        <f>SUM($D$12:$D$23)</f>
        <v>59</v>
      </c>
      <c r="E24" s="31">
        <f>IFERROR($B$24/($C$24*12),0)</f>
        <v>0.19680851063829788</v>
      </c>
      <c r="F24" s="17"/>
      <c r="G24" s="29" t="s">
        <v>1099</v>
      </c>
      <c r="H24" s="30">
        <f>SUM($H$12:$H$23)</f>
        <v>111</v>
      </c>
      <c r="I24" s="30">
        <f>SUM($I$12:$I$23)</f>
        <v>59</v>
      </c>
      <c r="J24" s="31">
        <f>IFERROR($H$24/($A$5*12),0)</f>
        <v>0.19680851063829788</v>
      </c>
      <c r="K24" s="17"/>
      <c r="L24" s="17"/>
      <c r="M24" s="17"/>
    </row>
    <row r="25" spans="1:13">
      <c r="A25" s="17"/>
      <c r="B25" s="17"/>
      <c r="C25" s="17"/>
      <c r="D25" s="17"/>
      <c r="E25" s="17"/>
      <c r="F25" s="17"/>
      <c r="G25" s="17"/>
      <c r="H25" s="17"/>
      <c r="I25" s="17"/>
      <c r="J25" s="17"/>
      <c r="K25" s="17"/>
      <c r="L25" s="17"/>
      <c r="M25" s="17"/>
    </row>
    <row r="26" spans="1:13" ht="15">
      <c r="A26" s="24" t="s">
        <v>1015</v>
      </c>
      <c r="B26" s="17"/>
      <c r="C26" s="17"/>
      <c r="D26" s="17"/>
      <c r="E26" s="17"/>
      <c r="F26" s="17"/>
      <c r="G26" s="17"/>
      <c r="H26" s="17"/>
      <c r="I26" s="24" t="s">
        <v>1016</v>
      </c>
      <c r="J26" s="17"/>
      <c r="K26" s="17"/>
      <c r="L26" s="17"/>
      <c r="M26" s="17"/>
    </row>
    <row r="27" spans="1:13" ht="13.9">
      <c r="A27" s="25" t="s">
        <v>1100</v>
      </c>
      <c r="B27" s="25"/>
      <c r="C27" s="25"/>
      <c r="D27" s="25" t="s">
        <v>1004</v>
      </c>
      <c r="E27" s="25" t="s">
        <v>3</v>
      </c>
      <c r="F27" s="25" t="s">
        <v>7</v>
      </c>
      <c r="G27" s="25" t="s">
        <v>4</v>
      </c>
      <c r="H27" s="17"/>
      <c r="I27" s="25" t="s">
        <v>0</v>
      </c>
      <c r="J27" s="25"/>
      <c r="K27" s="25" t="s">
        <v>1</v>
      </c>
      <c r="L27" s="17"/>
      <c r="M27" s="17"/>
    </row>
    <row r="28" spans="1:13">
      <c r="A28" s="26" t="str">
        <f>IFERROR(INDEX(Matriz!$C$2:$C$60,MATCH(ROWS($A$28:$A28),Matriz!$AH$2:$AH$60,0)),"")</f>
        <v>O problema do SAT que todos erraram: paradoxo das moedas e roda de Aristóteles</v>
      </c>
      <c r="B28" s="26"/>
      <c r="C28" s="26"/>
      <c r="D28" s="26" t="str">
        <f>IFERROR(INDEX(Matriz!$B$2:$B$60,MATCH(ROWS($A$28:$A28),Matriz!$AH$2:$AH$60,0)),"")</f>
        <v>Física Clássica</v>
      </c>
      <c r="E28" s="27">
        <f>IFERROR(INDEX(Matriz!$AE$2:$AE$60,MATCH(ROWS($A$28:$A28),Matriz!$AH$2:$AH$60,0)),"")</f>
        <v>6</v>
      </c>
      <c r="F28" s="27">
        <f>IFERROR(INDEX(Matriz!$AF$2:$AF$60,MATCH(ROWS($A$28:$A28),Matriz!$AH$2:$AH$60,0)),"")</f>
        <v>4</v>
      </c>
      <c r="G28" s="28">
        <f>IFERROR($E28/12,0)</f>
        <v>0.5</v>
      </c>
      <c r="H28" s="17"/>
      <c r="I28" s="26" t="s">
        <v>1017</v>
      </c>
      <c r="J28" s="26"/>
      <c r="K28" s="27">
        <f>COUNTIF(Periódicos!$A$2:$A$168,"&lt;&gt;")</f>
        <v>167</v>
      </c>
      <c r="L28" s="17"/>
      <c r="M28" s="17"/>
    </row>
    <row r="29" spans="1:13">
      <c r="A29" s="26" t="str">
        <f>IFERROR(INDEX(Matriz!$C$2:$C$60,MATCH(ROWS($A$28:$A29),Matriz!$AH$2:$AH$60,0)),"")</f>
        <v>Experimento de medição da densidade da água</v>
      </c>
      <c r="B29" s="26"/>
      <c r="C29" s="26"/>
      <c r="D29" s="26" t="str">
        <f>IFERROR(INDEX(Matriz!$B$2:$B$60,MATCH(ROWS($A$28:$A29),Matriz!$AH$2:$AH$60,0)),"")</f>
        <v>Física Clássica</v>
      </c>
      <c r="E29" s="27">
        <f>IFERROR(INDEX(Matriz!$AE$2:$AE$60,MATCH(ROWS($A$28:$A29),Matriz!$AH$2:$AH$60,0)),"")</f>
        <v>4</v>
      </c>
      <c r="F29" s="27">
        <f>IFERROR(INDEX(Matriz!$AF$2:$AF$60,MATCH(ROWS($A$28:$A29),Matriz!$AH$2:$AH$60,0)),"")</f>
        <v>3</v>
      </c>
      <c r="G29" s="28">
        <f t="shared" ref="G29:G37" si="2">IFERROR($E29/12,0)</f>
        <v>0.33333333333333331</v>
      </c>
      <c r="H29" s="17"/>
      <c r="I29" s="26" t="s">
        <v>1018</v>
      </c>
      <c r="J29" s="26"/>
      <c r="K29" s="27">
        <f>COUNTIF(Periódicos!$I$2:$I$168,5)</f>
        <v>27</v>
      </c>
      <c r="L29" s="17"/>
      <c r="M29" s="17"/>
    </row>
    <row r="30" spans="1:13">
      <c r="A30" s="26" t="str">
        <f>IFERROR(INDEX(Matriz!$C$2:$C$60,MATCH(ROWS($A$28:$A30),Matriz!$AH$2:$AH$60,0)),"")</f>
        <v>Fluid dynamics in the warp drive spacetime geometry</v>
      </c>
      <c r="B30" s="26"/>
      <c r="C30" s="26"/>
      <c r="D30" s="26" t="str">
        <f>IFERROR(INDEX(Matriz!$B$2:$B$60,MATCH(ROWS($A$28:$A30),Matriz!$AH$2:$AH$60,0)),"")</f>
        <v>Warp Drive</v>
      </c>
      <c r="E30" s="27">
        <f>IFERROR(INDEX(Matriz!$AE$2:$AE$60,MATCH(ROWS($A$28:$A30),Matriz!$AH$2:$AH$60,0)),"")</f>
        <v>4</v>
      </c>
      <c r="F30" s="27">
        <f>IFERROR(INDEX(Matriz!$AF$2:$AF$60,MATCH(ROWS($A$28:$A30),Matriz!$AH$2:$AH$60,0)),"")</f>
        <v>2</v>
      </c>
      <c r="G30" s="28">
        <f t="shared" si="2"/>
        <v>0.33333333333333331</v>
      </c>
      <c r="H30" s="17"/>
      <c r="I30" s="26" t="s">
        <v>1019</v>
      </c>
      <c r="J30" s="26"/>
      <c r="K30" s="27">
        <f>COUNTIF(Periódicos!$I$2:$I$168,"&gt;=4")</f>
        <v>113</v>
      </c>
      <c r="L30" s="17"/>
      <c r="M30" s="17"/>
    </row>
    <row r="31" spans="1:13">
      <c r="A31" s="26" t="str">
        <f>IFERROR(INDEX(Matriz!$C$2:$C$60,MATCH(ROWS($A$28:$A31),Matriz!$AH$2:$AH$60,0)),"")</f>
        <v>Charged dust solutions for the warp drive spacetime</v>
      </c>
      <c r="B31" s="26"/>
      <c r="C31" s="26"/>
      <c r="D31" s="26" t="str">
        <f>IFERROR(INDEX(Matriz!$B$2:$B$60,MATCH(ROWS($A$28:$A31),Matriz!$AH$2:$AH$60,0)),"")</f>
        <v>Warp Drive</v>
      </c>
      <c r="E31" s="27">
        <f>IFERROR(INDEX(Matriz!$AE$2:$AE$60,MATCH(ROWS($A$28:$A31),Matriz!$AH$2:$AH$60,0)),"")</f>
        <v>4</v>
      </c>
      <c r="F31" s="27">
        <f>IFERROR(INDEX(Matriz!$AF$2:$AF$60,MATCH(ROWS($A$28:$A31),Matriz!$AH$2:$AH$60,0)),"")</f>
        <v>2</v>
      </c>
      <c r="G31" s="28">
        <f t="shared" si="2"/>
        <v>0.33333333333333331</v>
      </c>
      <c r="H31" s="17"/>
      <c r="I31" s="26" t="s">
        <v>1020</v>
      </c>
      <c r="J31" s="26"/>
      <c r="K31" s="32">
        <f>IFERROR(AVERAGE(Periódicos!$D$2:$D$168),0)</f>
        <v>6.8288611111111113</v>
      </c>
      <c r="L31" s="17"/>
      <c r="M31" s="17"/>
    </row>
    <row r="32" spans="1:13">
      <c r="A32" s="26" t="str">
        <f>IFERROR(INDEX(Matriz!$C$2:$C$60,MATCH(ROWS($A$28:$A32),Matriz!$AH$2:$AH$60,0)),"")</f>
        <v>Perfect fluid warp drive solutions with the cosmological constant</v>
      </c>
      <c r="B32" s="26"/>
      <c r="C32" s="26"/>
      <c r="D32" s="26" t="str">
        <f>IFERROR(INDEX(Matriz!$B$2:$B$60,MATCH(ROWS($A$28:$A32),Matriz!$AH$2:$AH$60,0)),"")</f>
        <v>Warp Drive</v>
      </c>
      <c r="E32" s="27">
        <f>IFERROR(INDEX(Matriz!$AE$2:$AE$60,MATCH(ROWS($A$28:$A32),Matriz!$AH$2:$AH$60,0)),"")</f>
        <v>4</v>
      </c>
      <c r="F32" s="27">
        <f>IFERROR(INDEX(Matriz!$AF$2:$AF$60,MATCH(ROWS($A$28:$A32),Matriz!$AH$2:$AH$60,0)),"")</f>
        <v>2</v>
      </c>
      <c r="G32" s="28">
        <f t="shared" si="2"/>
        <v>0.33333333333333331</v>
      </c>
      <c r="H32" s="17"/>
      <c r="I32" s="26" t="s">
        <v>1101</v>
      </c>
      <c r="J32" s="26"/>
      <c r="K32" s="27">
        <f>COUNTIF(Periódicos!$E$2:$E$168,"matemática")</f>
        <v>140</v>
      </c>
      <c r="L32" s="17"/>
      <c r="M32" s="17"/>
    </row>
    <row r="33" spans="1:13">
      <c r="A33" s="26" t="str">
        <f>IFERROR(INDEX(Matriz!$C$2:$C$60,MATCH(ROWS($A$28:$A33),Matriz!$AH$2:$AH$60,0)),"")</f>
        <v>Warp drive dynamic solutions considering different fluid sources</v>
      </c>
      <c r="B33" s="26"/>
      <c r="C33" s="26"/>
      <c r="D33" s="26" t="str">
        <f>IFERROR(INDEX(Matriz!$B$2:$B$60,MATCH(ROWS($A$28:$A33),Matriz!$AH$2:$AH$60,0)),"")</f>
        <v>Warp Drive</v>
      </c>
      <c r="E33" s="27">
        <f>IFERROR(INDEX(Matriz!$AE$2:$AE$60,MATCH(ROWS($A$28:$A33),Matriz!$AH$2:$AH$60,0)),"")</f>
        <v>4</v>
      </c>
      <c r="F33" s="27">
        <f>IFERROR(INDEX(Matriz!$AF$2:$AF$60,MATCH(ROWS($A$28:$A33),Matriz!$AH$2:$AH$60,0)),"")</f>
        <v>2</v>
      </c>
      <c r="G33" s="28">
        <f t="shared" si="2"/>
        <v>0.33333333333333331</v>
      </c>
      <c r="H33" s="17"/>
      <c r="I33" s="26" t="s">
        <v>1102</v>
      </c>
      <c r="J33" s="26"/>
      <c r="K33" s="27">
        <f>COUNTIF(Periódicos!$E$2:$E$168,"física")</f>
        <v>26</v>
      </c>
      <c r="L33" s="17"/>
      <c r="M33" s="17"/>
    </row>
    <row r="34" spans="1:13">
      <c r="A34" s="26" t="str">
        <f>IFERROR(INDEX(Matriz!$C$2:$C$60,MATCH(ROWS($A$28:$A34),Matriz!$AH$2:$AH$60,0)),"")</f>
        <v>Matching the Alcubierre and Minkowski spacetimes.</v>
      </c>
      <c r="B34" s="26"/>
      <c r="C34" s="26"/>
      <c r="D34" s="26" t="str">
        <f>IFERROR(INDEX(Matriz!$B$2:$B$60,MATCH(ROWS($A$28:$A34),Matriz!$AH$2:$AH$60,0)),"")</f>
        <v>Warp Drive</v>
      </c>
      <c r="E34" s="27">
        <f>IFERROR(INDEX(Matriz!$AE$2:$AE$60,MATCH(ROWS($A$28:$A34),Matriz!$AH$2:$AH$60,0)),"")</f>
        <v>4</v>
      </c>
      <c r="F34" s="27">
        <f>IFERROR(INDEX(Matriz!$AF$2:$AF$60,MATCH(ROWS($A$28:$A34),Matriz!$AH$2:$AH$60,0)),"")</f>
        <v>2</v>
      </c>
      <c r="G34" s="28">
        <f t="shared" si="2"/>
        <v>0.33333333333333331</v>
      </c>
      <c r="H34" s="17"/>
      <c r="I34" s="26" t="s">
        <v>1103</v>
      </c>
      <c r="J34" s="26"/>
      <c r="K34" s="27">
        <f>COUNTIF(Periódicos!$E$2:$E$168,"data science")</f>
        <v>1</v>
      </c>
      <c r="L34" s="17"/>
      <c r="M34" s="17"/>
    </row>
    <row r="35" spans="1:13">
      <c r="A35" s="26" t="str">
        <f>IFERROR(INDEX(Matriz!$C$2:$C$60,MATCH(ROWS($A$28:$A35),Matriz!$AH$2:$AH$60,0)),"")</f>
        <v>Dust content content solutions for the Alcubierre warp drive spacetime.</v>
      </c>
      <c r="B35" s="26"/>
      <c r="C35" s="26"/>
      <c r="D35" s="26" t="str">
        <f>IFERROR(INDEX(Matriz!$B$2:$B$60,MATCH(ROWS($A$28:$A35),Matriz!$AH$2:$AH$60,0)),"")</f>
        <v>Warp Drive</v>
      </c>
      <c r="E35" s="27">
        <f>IFERROR(INDEX(Matriz!$AE$2:$AE$60,MATCH(ROWS($A$28:$A35),Matriz!$AH$2:$AH$60,0)),"")</f>
        <v>3</v>
      </c>
      <c r="F35" s="27">
        <f>IFERROR(INDEX(Matriz!$AF$2:$AF$60,MATCH(ROWS($A$28:$A35),Matriz!$AH$2:$AH$60,0)),"")</f>
        <v>2</v>
      </c>
      <c r="G35" s="28">
        <f t="shared" si="2"/>
        <v>0.25</v>
      </c>
      <c r="H35" s="17"/>
      <c r="I35" s="26" t="s">
        <v>1021</v>
      </c>
      <c r="J35" s="26"/>
      <c r="K35" s="27">
        <f>COUNTIF(Periódicos!$K$2:$K$168,"Open Access*")</f>
        <v>40</v>
      </c>
      <c r="L35" s="17"/>
      <c r="M35" s="17"/>
    </row>
    <row r="36" spans="1:13">
      <c r="A36" s="26" t="str">
        <f>IFERROR(INDEX(Matriz!$C$2:$C$60,MATCH(ROWS($A$28:$A36),Matriz!$AH$2:$AH$60,0)),"")</f>
        <v>Resolvendo equação polinomial de quarta ordem e demonstrando um teorema de redução de ordem</v>
      </c>
      <c r="B36" s="26"/>
      <c r="C36" s="26"/>
      <c r="D36" s="26" t="str">
        <f>IFERROR(INDEX(Matriz!$B$2:$B$60,MATCH(ROWS($A$28:$A36),Matriz!$AH$2:$AH$60,0)),"")</f>
        <v>Álgebra</v>
      </c>
      <c r="E36" s="27">
        <f>IFERROR(INDEX(Matriz!$AE$2:$AE$60,MATCH(ROWS($A$28:$A36),Matriz!$AH$2:$AH$60,0)),"")</f>
        <v>2</v>
      </c>
      <c r="F36" s="27">
        <f>IFERROR(INDEX(Matriz!$AF$2:$AF$60,MATCH(ROWS($A$28:$A36),Matriz!$AH$2:$AH$60,0)),"")</f>
        <v>1</v>
      </c>
      <c r="G36" s="28">
        <f t="shared" si="2"/>
        <v>0.16666666666666666</v>
      </c>
      <c r="H36" s="17"/>
      <c r="I36" s="26" t="s">
        <v>1022</v>
      </c>
      <c r="J36" s="26"/>
      <c r="K36" s="27">
        <f>$H$13</f>
        <v>8</v>
      </c>
      <c r="L36" s="17"/>
      <c r="M36" s="17"/>
    </row>
    <row r="37" spans="1:13">
      <c r="A37" s="26" t="str">
        <f>IFERROR(INDEX(Matriz!$C$2:$C$60,MATCH(ROWS($A$28:$A37),Matriz!$AH$2:$AH$60,0)),"")</f>
        <v>Resolvendo (polinômios): x³ + px + q é divisível por (x-a)², encontre a relação entre p e q.</v>
      </c>
      <c r="B37" s="26"/>
      <c r="C37" s="26"/>
      <c r="D37" s="26" t="str">
        <f>IFERROR(INDEX(Matriz!$B$2:$B$60,MATCH(ROWS($A$28:$A37),Matriz!$AH$2:$AH$60,0)),"")</f>
        <v>Álgebra</v>
      </c>
      <c r="E37" s="27">
        <f>IFERROR(INDEX(Matriz!$AE$2:$AE$60,MATCH(ROWS($A$28:$A37),Matriz!$AH$2:$AH$60,0)),"")</f>
        <v>2</v>
      </c>
      <c r="F37" s="27">
        <f>IFERROR(INDEX(Matriz!$AF$2:$AF$60,MATCH(ROWS($A$28:$A37),Matriz!$AH$2:$AH$60,0)),"")</f>
        <v>1</v>
      </c>
      <c r="G37" s="28">
        <f t="shared" si="2"/>
        <v>0.16666666666666666</v>
      </c>
      <c r="H37" s="17"/>
      <c r="I37" s="26" t="s">
        <v>1104</v>
      </c>
      <c r="J37" s="26"/>
      <c r="K37" s="27">
        <f>$I$13</f>
        <v>8</v>
      </c>
      <c r="L37" s="17"/>
      <c r="M37" s="17"/>
    </row>
    <row r="38" spans="1:13">
      <c r="A38" s="17"/>
      <c r="B38" s="17"/>
      <c r="C38" s="17"/>
      <c r="D38" s="17"/>
      <c r="E38" s="17"/>
      <c r="F38" s="17"/>
      <c r="G38" s="17"/>
      <c r="H38" s="17"/>
      <c r="I38" s="17"/>
      <c r="J38" s="17"/>
      <c r="K38" s="17"/>
      <c r="L38" s="17"/>
      <c r="M38" s="17"/>
    </row>
    <row r="39" spans="1:13" ht="15">
      <c r="A39" s="24" t="s">
        <v>1023</v>
      </c>
      <c r="B39" s="17"/>
      <c r="C39" s="17"/>
      <c r="D39" s="17"/>
      <c r="E39" s="17"/>
      <c r="F39" s="17"/>
      <c r="G39" s="17"/>
      <c r="H39" s="17"/>
      <c r="I39" s="17"/>
      <c r="J39" s="17"/>
      <c r="K39" s="17"/>
      <c r="L39" s="17"/>
      <c r="M39" s="17"/>
    </row>
    <row r="40" spans="1:13" ht="13.9">
      <c r="A40" s="25" t="s">
        <v>1024</v>
      </c>
      <c r="B40" s="25"/>
      <c r="C40" s="25"/>
      <c r="D40" s="25"/>
      <c r="E40" s="25" t="s">
        <v>1025</v>
      </c>
      <c r="F40" s="17"/>
      <c r="G40" s="17"/>
      <c r="H40" s="17"/>
      <c r="I40" s="17"/>
      <c r="J40" s="17"/>
      <c r="K40" s="17"/>
      <c r="L40" s="17"/>
      <c r="M40" s="17"/>
    </row>
    <row r="41" spans="1:13">
      <c r="A41" s="26" t="s">
        <v>1105</v>
      </c>
      <c r="B41" s="26"/>
      <c r="C41" s="26"/>
      <c r="D41" s="26"/>
      <c r="E41" s="27">
        <f>SUM(Matriz!$AI$2:$AI$60)</f>
        <v>52</v>
      </c>
      <c r="F41" s="17"/>
      <c r="G41" s="17"/>
      <c r="H41" s="17"/>
      <c r="I41" s="17"/>
      <c r="J41" s="17"/>
      <c r="K41" s="17"/>
      <c r="L41" s="17"/>
      <c r="M41" s="17"/>
    </row>
    <row r="42" spans="1:13">
      <c r="A42" s="26" t="s">
        <v>1106</v>
      </c>
      <c r="B42" s="26"/>
      <c r="C42" s="26"/>
      <c r="D42" s="26"/>
      <c r="E42" s="27">
        <f>SUM(Matriz!$AJ$2:$AJ$60)</f>
        <v>0</v>
      </c>
      <c r="F42" s="17"/>
      <c r="G42" s="17"/>
      <c r="H42" s="17"/>
      <c r="I42" s="17"/>
      <c r="J42" s="17"/>
      <c r="K42" s="17"/>
      <c r="L42" s="17"/>
      <c r="M42" s="17"/>
    </row>
    <row r="43" spans="1:13">
      <c r="A43" s="26" t="s">
        <v>1026</v>
      </c>
      <c r="B43" s="26"/>
      <c r="C43" s="26"/>
      <c r="D43" s="26"/>
      <c r="E43" s="27">
        <f>COUNTIFS(Matriz!$C$2:$C$60,"&lt;&gt;",Matriz!$B$2:$B$60,"")</f>
        <v>0</v>
      </c>
      <c r="F43" s="17"/>
      <c r="G43" s="17"/>
      <c r="H43" s="17"/>
      <c r="I43" s="17"/>
      <c r="J43" s="17"/>
      <c r="K43" s="17"/>
      <c r="L43" s="17"/>
      <c r="M43" s="17"/>
    </row>
    <row r="44" spans="1:13">
      <c r="A44" s="26" t="s">
        <v>1113</v>
      </c>
      <c r="B44" s="26"/>
      <c r="C44" s="26"/>
      <c r="D44" s="26"/>
      <c r="E44" s="27">
        <f>SUM(Matriz!$AK$2:$AK$60)</f>
        <v>40</v>
      </c>
      <c r="F44" s="17"/>
      <c r="G44" s="17"/>
      <c r="H44" s="17"/>
      <c r="I44" s="17"/>
      <c r="J44" s="17"/>
      <c r="K44" s="17"/>
      <c r="L44" s="17"/>
      <c r="M44" s="17"/>
    </row>
    <row r="45" spans="1:13">
      <c r="A45" s="26" t="s">
        <v>1107</v>
      </c>
      <c r="B45" s="26"/>
      <c r="C45" s="26"/>
      <c r="D45" s="26"/>
      <c r="E45" s="27">
        <f>COUNTIFS(Matriz!$C$2:$C$60,"",Matriz!$E$2:$E$60,"&gt;0")</f>
        <v>12</v>
      </c>
      <c r="F45" s="17"/>
      <c r="G45" s="17"/>
      <c r="H45" s="17"/>
      <c r="I45" s="17"/>
      <c r="J45" s="17"/>
      <c r="K45" s="17"/>
      <c r="L45" s="17"/>
      <c r="M45" s="17"/>
    </row>
    <row r="46" spans="1:13">
      <c r="A46" s="26" t="s">
        <v>1108</v>
      </c>
      <c r="B46" s="26"/>
      <c r="C46" s="26"/>
      <c r="D46" s="26"/>
      <c r="E46" s="27">
        <f>$C$13</f>
        <v>1</v>
      </c>
      <c r="F46" s="17"/>
      <c r="G46" s="17"/>
      <c r="H46" s="17"/>
      <c r="I46" s="17"/>
      <c r="J46" s="17"/>
      <c r="K46" s="17"/>
      <c r="L46" s="17"/>
      <c r="M46" s="17"/>
    </row>
    <row r="47" spans="1:13">
      <c r="A47" s="26" t="s">
        <v>1027</v>
      </c>
      <c r="B47" s="26"/>
      <c r="C47" s="26"/>
      <c r="D47" s="26"/>
      <c r="E47" s="27">
        <f>COUNTIFS(Periódicos!$A$2:$A$168,"&lt;&gt;",Periódicos!$D$2:$D$168,"")</f>
        <v>0</v>
      </c>
      <c r="F47" s="17"/>
      <c r="G47" s="17"/>
      <c r="H47" s="17"/>
      <c r="I47" s="17"/>
      <c r="J47" s="17"/>
      <c r="K47" s="17"/>
      <c r="L47" s="17"/>
      <c r="M47" s="17"/>
    </row>
    <row r="48" spans="1:13">
      <c r="A48" s="17"/>
      <c r="B48" s="17"/>
      <c r="C48" s="17"/>
      <c r="D48" s="17"/>
      <c r="E48" s="17"/>
      <c r="F48" s="17"/>
      <c r="G48" s="17"/>
      <c r="H48" s="17"/>
      <c r="I48" s="17"/>
      <c r="J48" s="17"/>
      <c r="K48" s="17"/>
      <c r="L48" s="17"/>
      <c r="M48" s="17"/>
    </row>
    <row r="49" spans="1:13">
      <c r="A49" s="17"/>
      <c r="B49" s="17"/>
      <c r="C49" s="17"/>
      <c r="D49" s="17"/>
      <c r="E49" s="17"/>
      <c r="F49" s="17"/>
      <c r="G49" s="17"/>
      <c r="H49" s="17"/>
      <c r="I49" s="17"/>
      <c r="J49" s="17"/>
      <c r="K49" s="17"/>
      <c r="L49" s="17"/>
      <c r="M49" s="17"/>
    </row>
    <row r="50" spans="1:13">
      <c r="A50" s="17"/>
      <c r="B50" s="17"/>
      <c r="C50" s="17"/>
      <c r="D50" s="17"/>
      <c r="E50" s="17"/>
      <c r="F50" s="17"/>
      <c r="G50" s="17"/>
      <c r="H50" s="17"/>
      <c r="I50" s="17"/>
      <c r="J50" s="17"/>
      <c r="K50" s="17"/>
      <c r="L50" s="17"/>
      <c r="M50" s="17"/>
    </row>
    <row r="51" spans="1:13">
      <c r="A51" s="17"/>
      <c r="B51" s="17"/>
      <c r="C51" s="17"/>
      <c r="D51" s="17"/>
      <c r="E51" s="17"/>
      <c r="F51" s="17"/>
      <c r="G51" s="17"/>
      <c r="H51" s="17"/>
      <c r="I51" s="17"/>
      <c r="J51" s="17"/>
      <c r="K51" s="17"/>
      <c r="L51" s="17"/>
      <c r="M51" s="17"/>
    </row>
    <row r="52" spans="1:13">
      <c r="A52" s="17"/>
      <c r="B52" s="17"/>
      <c r="C52" s="17"/>
      <c r="D52" s="17"/>
      <c r="E52" s="17"/>
      <c r="F52" s="17"/>
      <c r="G52" s="17"/>
      <c r="H52" s="17"/>
      <c r="I52" s="17"/>
      <c r="J52" s="17"/>
      <c r="K52" s="17"/>
      <c r="L52" s="17"/>
      <c r="M52" s="17"/>
    </row>
    <row r="53" spans="1:13">
      <c r="A53" s="17"/>
      <c r="B53" s="17"/>
      <c r="C53" s="17"/>
      <c r="D53" s="17"/>
      <c r="E53" s="17"/>
      <c r="F53" s="17"/>
      <c r="G53" s="17"/>
      <c r="H53" s="17"/>
      <c r="I53" s="17"/>
      <c r="J53" s="17"/>
      <c r="K53" s="17"/>
      <c r="L53" s="17"/>
      <c r="M53" s="17"/>
    </row>
    <row r="54" spans="1:13">
      <c r="A54" s="17"/>
      <c r="B54" s="17"/>
      <c r="C54" s="17"/>
      <c r="D54" s="17"/>
      <c r="E54" s="17"/>
      <c r="F54" s="17"/>
      <c r="G54" s="17"/>
      <c r="H54" s="17"/>
      <c r="I54" s="17"/>
      <c r="J54" s="17"/>
      <c r="K54" s="17"/>
      <c r="L54" s="17"/>
      <c r="M54" s="17"/>
    </row>
    <row r="55" spans="1:13">
      <c r="A55" s="17"/>
      <c r="B55" s="17"/>
      <c r="C55" s="17"/>
      <c r="D55" s="17"/>
      <c r="E55" s="17"/>
      <c r="F55" s="17"/>
      <c r="G55" s="17"/>
      <c r="H55" s="17"/>
      <c r="I55" s="17"/>
      <c r="J55" s="17"/>
      <c r="K55" s="17"/>
      <c r="L55" s="17"/>
      <c r="M55" s="17"/>
    </row>
    <row r="56" spans="1:13">
      <c r="A56" s="17"/>
      <c r="B56" s="17"/>
      <c r="C56" s="17"/>
      <c r="D56" s="17"/>
      <c r="E56" s="17"/>
      <c r="F56" s="17"/>
      <c r="G56" s="17"/>
      <c r="H56" s="17"/>
      <c r="I56" s="17"/>
      <c r="J56" s="17"/>
      <c r="K56" s="17"/>
      <c r="L56" s="17"/>
      <c r="M56" s="17"/>
    </row>
    <row r="57" spans="1:13">
      <c r="A57" s="17"/>
      <c r="B57" s="17"/>
      <c r="C57" s="17"/>
      <c r="D57" s="17"/>
      <c r="E57" s="17"/>
      <c r="F57" s="17"/>
      <c r="G57" s="17"/>
      <c r="H57" s="17"/>
      <c r="I57" s="17"/>
      <c r="J57" s="17"/>
      <c r="K57" s="17"/>
      <c r="L57" s="17"/>
      <c r="M57" s="17"/>
    </row>
    <row r="58" spans="1:13">
      <c r="A58" s="17"/>
      <c r="B58" s="17"/>
      <c r="C58" s="17"/>
      <c r="D58" s="17"/>
      <c r="E58" s="17"/>
      <c r="F58" s="17"/>
      <c r="G58" s="17"/>
      <c r="H58" s="17"/>
      <c r="I58" s="17"/>
      <c r="J58" s="17"/>
      <c r="K58" s="17"/>
      <c r="L58" s="17"/>
      <c r="M58" s="17"/>
    </row>
    <row r="59" spans="1:13">
      <c r="A59" s="17"/>
      <c r="B59" s="17"/>
      <c r="C59" s="17"/>
      <c r="D59" s="17"/>
      <c r="E59" s="17"/>
      <c r="F59" s="17"/>
      <c r="G59" s="17"/>
      <c r="H59" s="17"/>
      <c r="I59" s="17"/>
      <c r="J59" s="17"/>
      <c r="K59" s="17"/>
      <c r="L59" s="17"/>
      <c r="M59" s="17"/>
    </row>
    <row r="60" spans="1:13">
      <c r="A60" s="17"/>
      <c r="B60" s="17"/>
      <c r="C60" s="17"/>
      <c r="D60" s="17"/>
      <c r="E60" s="17"/>
      <c r="F60" s="17"/>
      <c r="G60" s="17"/>
      <c r="H60" s="17"/>
      <c r="I60" s="17"/>
      <c r="J60" s="17"/>
      <c r="K60" s="17"/>
      <c r="L60" s="17"/>
      <c r="M60" s="1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DC578-2EEA-48CF-9EFD-E294C2F4F9E2}">
  <dimension ref="A1:AK60"/>
  <sheetViews>
    <sheetView showGridLines="0" tabSelected="1" topLeftCell="L13" zoomScale="130" zoomScaleNormal="130" workbookViewId="0">
      <selection activeCell="U35" sqref="U35"/>
    </sheetView>
  </sheetViews>
  <sheetFormatPr defaultRowHeight="14.25"/>
  <cols>
    <col min="1" max="1" width="4" style="4" customWidth="1"/>
    <col min="2" max="2" width="23.625" style="4" bestFit="1" customWidth="1"/>
    <col min="3" max="3" width="80.9375" style="4" bestFit="1" customWidth="1"/>
    <col min="4" max="4" width="80.9375" style="4" customWidth="1"/>
    <col min="5" max="5" width="11.6875" style="4" customWidth="1"/>
    <col min="6" max="17" width="8.6875" style="4" customWidth="1"/>
    <col min="18" max="29" width="15" style="4" customWidth="1"/>
    <col min="30" max="16384" width="9" style="4"/>
  </cols>
  <sheetData>
    <row r="1" spans="1:37" ht="28.5">
      <c r="A1" s="6" t="s">
        <v>20</v>
      </c>
      <c r="B1" s="7" t="s">
        <v>1004</v>
      </c>
      <c r="C1" s="7" t="s">
        <v>1085</v>
      </c>
      <c r="D1" s="7" t="s">
        <v>21</v>
      </c>
      <c r="E1" s="7" t="s">
        <v>3</v>
      </c>
      <c r="F1" s="7" t="s">
        <v>8</v>
      </c>
      <c r="G1" s="7" t="s">
        <v>9</v>
      </c>
      <c r="H1" s="7" t="s">
        <v>10</v>
      </c>
      <c r="I1" s="7" t="s">
        <v>11</v>
      </c>
      <c r="J1" s="7" t="s">
        <v>12</v>
      </c>
      <c r="K1" s="7" t="s">
        <v>13</v>
      </c>
      <c r="L1" s="7" t="s">
        <v>14</v>
      </c>
      <c r="M1" s="7" t="s">
        <v>15</v>
      </c>
      <c r="N1" s="7" t="s">
        <v>16</v>
      </c>
      <c r="O1" s="7" t="s">
        <v>17</v>
      </c>
      <c r="P1" s="7" t="s">
        <v>18</v>
      </c>
      <c r="Q1" s="7" t="s">
        <v>19</v>
      </c>
      <c r="R1" s="7" t="s">
        <v>1028</v>
      </c>
      <c r="S1" s="7" t="s">
        <v>1029</v>
      </c>
      <c r="T1" s="7" t="s">
        <v>1030</v>
      </c>
      <c r="U1" s="7" t="s">
        <v>1031</v>
      </c>
      <c r="V1" s="7" t="s">
        <v>1032</v>
      </c>
      <c r="W1" s="7" t="s">
        <v>1033</v>
      </c>
      <c r="X1" s="7" t="s">
        <v>1034</v>
      </c>
      <c r="Y1" s="7" t="s">
        <v>1035</v>
      </c>
      <c r="Z1" s="7" t="s">
        <v>1036</v>
      </c>
      <c r="AA1" s="7" t="s">
        <v>1037</v>
      </c>
      <c r="AB1" s="7" t="s">
        <v>1038</v>
      </c>
      <c r="AC1" s="8" t="s">
        <v>1039</v>
      </c>
      <c r="AE1" s="15" t="s">
        <v>1094</v>
      </c>
      <c r="AF1" s="15" t="s">
        <v>5</v>
      </c>
      <c r="AG1" s="15" t="s">
        <v>1095</v>
      </c>
      <c r="AH1" s="15" t="s">
        <v>1096</v>
      </c>
      <c r="AI1" s="15" t="s">
        <v>1109</v>
      </c>
      <c r="AJ1" s="15" t="s">
        <v>1110</v>
      </c>
      <c r="AK1" s="15" t="s">
        <v>1111</v>
      </c>
    </row>
    <row r="2" spans="1:37" ht="14.35" customHeight="1">
      <c r="A2" s="9">
        <v>1</v>
      </c>
      <c r="B2" s="9" t="s">
        <v>1082</v>
      </c>
      <c r="C2" s="10" t="s">
        <v>996</v>
      </c>
      <c r="D2" s="9" t="s">
        <v>1077</v>
      </c>
      <c r="E2" s="12">
        <v>1</v>
      </c>
      <c r="F2" s="11">
        <v>0</v>
      </c>
      <c r="G2" s="11">
        <v>0</v>
      </c>
      <c r="H2" s="11">
        <v>0</v>
      </c>
      <c r="I2" s="11">
        <v>1</v>
      </c>
      <c r="J2" s="11">
        <v>1</v>
      </c>
      <c r="K2" s="11">
        <v>0</v>
      </c>
      <c r="L2" s="11">
        <v>0</v>
      </c>
      <c r="M2" s="11">
        <v>0</v>
      </c>
      <c r="N2" s="11">
        <v>0</v>
      </c>
      <c r="O2" s="11">
        <v>0</v>
      </c>
      <c r="P2" s="11">
        <v>0</v>
      </c>
      <c r="Q2" s="11">
        <v>0</v>
      </c>
      <c r="R2" s="14" t="s">
        <v>1083</v>
      </c>
      <c r="S2" s="14" t="s">
        <v>1083</v>
      </c>
      <c r="T2" s="14" t="s">
        <v>1083</v>
      </c>
      <c r="U2" s="13" t="s">
        <v>997</v>
      </c>
      <c r="V2" s="14" t="s">
        <v>1083</v>
      </c>
      <c r="W2" s="14" t="s">
        <v>1083</v>
      </c>
      <c r="X2" s="14" t="s">
        <v>1083</v>
      </c>
      <c r="Y2" s="14" t="s">
        <v>1083</v>
      </c>
      <c r="Z2" s="14" t="s">
        <v>1083</v>
      </c>
      <c r="AA2" s="14" t="s">
        <v>1083</v>
      </c>
      <c r="AB2" s="14" t="s">
        <v>1083</v>
      </c>
      <c r="AC2" s="14" t="s">
        <v>1083</v>
      </c>
      <c r="AE2" s="4">
        <f>IF($C2="","",SUM($F2:$Q2))</f>
        <v>2</v>
      </c>
      <c r="AF2" s="4">
        <f>IF($C2="","",COUNTIF($R2:$AC2,"http*"))</f>
        <v>1</v>
      </c>
      <c r="AG2" s="4">
        <f>IF($C2="","",$AE2*1000+(1000-$A2))</f>
        <v>2999</v>
      </c>
      <c r="AH2" s="4">
        <f>IF($C2="","",RANK($AG2,$AG$2:$AG$60))</f>
        <v>9</v>
      </c>
      <c r="AI2" s="4">
        <f>IF($C2="","",MAX(0,$AE2-$AF2))</f>
        <v>1</v>
      </c>
      <c r="AJ2" s="4">
        <f>IF($C2="","",MAX(0,$AF2-$AE2))</f>
        <v>0</v>
      </c>
      <c r="AK2" s="4">
        <f>IF($C2="","",IF($E2&lt;&gt;$AE2,1,0))</f>
        <v>1</v>
      </c>
    </row>
    <row r="3" spans="1:37" ht="14.35" customHeight="1">
      <c r="A3" s="9">
        <v>2</v>
      </c>
      <c r="B3" s="9" t="s">
        <v>1082</v>
      </c>
      <c r="C3" s="10" t="s">
        <v>966</v>
      </c>
      <c r="D3" s="10" t="s">
        <v>1062</v>
      </c>
      <c r="E3" s="12">
        <v>1</v>
      </c>
      <c r="F3" s="11">
        <v>0</v>
      </c>
      <c r="G3" s="11">
        <v>0</v>
      </c>
      <c r="H3" s="11">
        <v>0</v>
      </c>
      <c r="I3" s="11">
        <v>1</v>
      </c>
      <c r="J3" s="11">
        <v>1</v>
      </c>
      <c r="K3" s="11">
        <v>0</v>
      </c>
      <c r="L3" s="11">
        <v>0</v>
      </c>
      <c r="M3" s="11">
        <v>0</v>
      </c>
      <c r="N3" s="11">
        <v>0</v>
      </c>
      <c r="O3" s="11">
        <v>0</v>
      </c>
      <c r="P3" s="11">
        <v>0</v>
      </c>
      <c r="Q3" s="11">
        <v>0</v>
      </c>
      <c r="R3" s="14" t="s">
        <v>1083</v>
      </c>
      <c r="S3" s="14" t="s">
        <v>1083</v>
      </c>
      <c r="T3" s="14" t="s">
        <v>1083</v>
      </c>
      <c r="U3" s="14" t="s">
        <v>967</v>
      </c>
      <c r="V3" s="14" t="s">
        <v>1083</v>
      </c>
      <c r="W3" s="14" t="s">
        <v>1083</v>
      </c>
      <c r="X3" s="14" t="s">
        <v>1083</v>
      </c>
      <c r="Y3" s="14" t="s">
        <v>1083</v>
      </c>
      <c r="Z3" s="14" t="s">
        <v>1083</v>
      </c>
      <c r="AA3" s="14" t="s">
        <v>1083</v>
      </c>
      <c r="AB3" s="14" t="s">
        <v>1083</v>
      </c>
      <c r="AC3" s="14" t="s">
        <v>1083</v>
      </c>
      <c r="AE3" s="4">
        <f t="shared" ref="AE3:AE60" si="0">IF($C3="","",SUM($F3:$Q3))</f>
        <v>2</v>
      </c>
      <c r="AF3" s="4">
        <f t="shared" ref="AF3:AF60" si="1">IF($C3="","",COUNTIF($R3:$AC3,"http*"))</f>
        <v>1</v>
      </c>
      <c r="AG3" s="4">
        <f t="shared" ref="AG3:AG60" si="2">IF($C3="","",$AE3*1000+(1000-$A3))</f>
        <v>2998</v>
      </c>
      <c r="AH3" s="4">
        <f t="shared" ref="AH3:AH60" si="3">IF($C3="","",RANK($AG3,$AG$2:$AG$60))</f>
        <v>10</v>
      </c>
      <c r="AI3" s="4">
        <f t="shared" ref="AI3:AI60" si="4">IF($C3="","",MAX(0,$AE3-$AF3))</f>
        <v>1</v>
      </c>
      <c r="AJ3" s="4">
        <f t="shared" ref="AJ3:AJ60" si="5">IF($C3="","",MAX(0,$AF3-$AE3))</f>
        <v>0</v>
      </c>
      <c r="AK3" s="4">
        <f t="shared" ref="AK3:AK60" si="6">IF($C3="","",IF($E3&lt;&gt;$AE3,1,0))</f>
        <v>1</v>
      </c>
    </row>
    <row r="4" spans="1:37" ht="14.35" customHeight="1">
      <c r="A4" s="9">
        <v>3</v>
      </c>
      <c r="B4" s="9" t="s">
        <v>1079</v>
      </c>
      <c r="C4" s="10" t="s">
        <v>975</v>
      </c>
      <c r="D4" s="10" t="s">
        <v>1067</v>
      </c>
      <c r="E4" s="12">
        <v>1</v>
      </c>
      <c r="F4" s="11">
        <v>0</v>
      </c>
      <c r="G4" s="11">
        <v>0</v>
      </c>
      <c r="H4" s="11">
        <v>0</v>
      </c>
      <c r="I4" s="11">
        <v>1</v>
      </c>
      <c r="J4" s="11">
        <v>1</v>
      </c>
      <c r="K4" s="11">
        <v>0</v>
      </c>
      <c r="L4" s="11">
        <v>0</v>
      </c>
      <c r="M4" s="11">
        <v>0</v>
      </c>
      <c r="N4" s="11">
        <v>0</v>
      </c>
      <c r="O4" s="11">
        <v>0</v>
      </c>
      <c r="P4" s="11">
        <v>0</v>
      </c>
      <c r="Q4" s="11">
        <v>0</v>
      </c>
      <c r="R4" s="14" t="s">
        <v>1083</v>
      </c>
      <c r="S4" s="14" t="s">
        <v>1083</v>
      </c>
      <c r="T4" s="14" t="s">
        <v>1083</v>
      </c>
      <c r="U4" s="14" t="s">
        <v>976</v>
      </c>
      <c r="V4" s="14" t="s">
        <v>1083</v>
      </c>
      <c r="W4" s="14" t="s">
        <v>1083</v>
      </c>
      <c r="X4" s="14" t="s">
        <v>1083</v>
      </c>
      <c r="Y4" s="14" t="s">
        <v>1083</v>
      </c>
      <c r="Z4" s="14" t="s">
        <v>1083</v>
      </c>
      <c r="AA4" s="14" t="s">
        <v>1083</v>
      </c>
      <c r="AB4" s="14" t="s">
        <v>1083</v>
      </c>
      <c r="AC4" s="14" t="s">
        <v>1083</v>
      </c>
      <c r="AE4" s="4">
        <f t="shared" si="0"/>
        <v>2</v>
      </c>
      <c r="AF4" s="4">
        <f t="shared" si="1"/>
        <v>1</v>
      </c>
      <c r="AG4" s="4">
        <f t="shared" si="2"/>
        <v>2997</v>
      </c>
      <c r="AH4" s="4">
        <f t="shared" si="3"/>
        <v>11</v>
      </c>
      <c r="AI4" s="4">
        <f t="shared" si="4"/>
        <v>1</v>
      </c>
      <c r="AJ4" s="4">
        <f t="shared" si="5"/>
        <v>0</v>
      </c>
      <c r="AK4" s="4">
        <f t="shared" si="6"/>
        <v>1</v>
      </c>
    </row>
    <row r="5" spans="1:37" ht="14.35" customHeight="1">
      <c r="A5" s="9">
        <v>4</v>
      </c>
      <c r="B5" s="9" t="s">
        <v>1079</v>
      </c>
      <c r="C5" s="10" t="s">
        <v>950</v>
      </c>
      <c r="D5" s="10" t="s">
        <v>1054</v>
      </c>
      <c r="E5" s="12">
        <v>1</v>
      </c>
      <c r="F5" s="11">
        <v>0</v>
      </c>
      <c r="G5" s="11">
        <v>0</v>
      </c>
      <c r="H5" s="11">
        <v>0</v>
      </c>
      <c r="I5" s="11">
        <v>1</v>
      </c>
      <c r="J5" s="11">
        <v>1</v>
      </c>
      <c r="K5" s="11">
        <v>0</v>
      </c>
      <c r="L5" s="11">
        <v>0</v>
      </c>
      <c r="M5" s="11">
        <v>0</v>
      </c>
      <c r="N5" s="11">
        <v>0</v>
      </c>
      <c r="O5" s="11">
        <v>0</v>
      </c>
      <c r="P5" s="11">
        <v>0</v>
      </c>
      <c r="Q5" s="11">
        <v>0</v>
      </c>
      <c r="R5" s="14" t="s">
        <v>1083</v>
      </c>
      <c r="S5" s="14" t="s">
        <v>1083</v>
      </c>
      <c r="T5" s="14" t="s">
        <v>1083</v>
      </c>
      <c r="U5" s="14" t="s">
        <v>951</v>
      </c>
      <c r="V5" s="14" t="s">
        <v>1083</v>
      </c>
      <c r="W5" s="14" t="s">
        <v>1083</v>
      </c>
      <c r="X5" s="14" t="s">
        <v>1083</v>
      </c>
      <c r="Y5" s="14" t="s">
        <v>1083</v>
      </c>
      <c r="Z5" s="14" t="s">
        <v>1083</v>
      </c>
      <c r="AA5" s="14" t="s">
        <v>1083</v>
      </c>
      <c r="AB5" s="14" t="s">
        <v>1083</v>
      </c>
      <c r="AC5" s="14" t="s">
        <v>1083</v>
      </c>
      <c r="AE5" s="4">
        <f t="shared" si="0"/>
        <v>2</v>
      </c>
      <c r="AF5" s="4">
        <f t="shared" si="1"/>
        <v>1</v>
      </c>
      <c r="AG5" s="4">
        <f t="shared" si="2"/>
        <v>2996</v>
      </c>
      <c r="AH5" s="4">
        <f t="shared" si="3"/>
        <v>12</v>
      </c>
      <c r="AI5" s="4">
        <f t="shared" si="4"/>
        <v>1</v>
      </c>
      <c r="AJ5" s="4">
        <f t="shared" si="5"/>
        <v>0</v>
      </c>
      <c r="AK5" s="4">
        <f t="shared" si="6"/>
        <v>1</v>
      </c>
    </row>
    <row r="6" spans="1:37" ht="14.35" customHeight="1">
      <c r="A6" s="9">
        <v>5</v>
      </c>
      <c r="B6" s="9" t="s">
        <v>1079</v>
      </c>
      <c r="C6" s="10" t="s">
        <v>943</v>
      </c>
      <c r="D6" s="10" t="s">
        <v>1050</v>
      </c>
      <c r="E6" s="12">
        <v>1</v>
      </c>
      <c r="F6" s="11">
        <v>0</v>
      </c>
      <c r="G6" s="11">
        <v>0</v>
      </c>
      <c r="H6" s="11">
        <v>0</v>
      </c>
      <c r="I6" s="11">
        <v>1</v>
      </c>
      <c r="J6" s="11">
        <v>1</v>
      </c>
      <c r="K6" s="11">
        <v>0</v>
      </c>
      <c r="L6" s="11">
        <v>0</v>
      </c>
      <c r="M6" s="11">
        <v>0</v>
      </c>
      <c r="N6" s="11">
        <v>0</v>
      </c>
      <c r="O6" s="11">
        <v>0</v>
      </c>
      <c r="P6" s="11">
        <v>0</v>
      </c>
      <c r="Q6" s="11">
        <v>0</v>
      </c>
      <c r="R6" s="14" t="s">
        <v>1083</v>
      </c>
      <c r="S6" s="14" t="s">
        <v>1083</v>
      </c>
      <c r="T6" s="14" t="s">
        <v>1083</v>
      </c>
      <c r="U6" s="14" t="s">
        <v>944</v>
      </c>
      <c r="V6" s="14" t="s">
        <v>1083</v>
      </c>
      <c r="W6" s="14" t="s">
        <v>1083</v>
      </c>
      <c r="X6" s="14" t="s">
        <v>1083</v>
      </c>
      <c r="Y6" s="14" t="s">
        <v>1083</v>
      </c>
      <c r="Z6" s="14" t="s">
        <v>1083</v>
      </c>
      <c r="AA6" s="14" t="s">
        <v>1083</v>
      </c>
      <c r="AB6" s="14" t="s">
        <v>1083</v>
      </c>
      <c r="AC6" s="14" t="s">
        <v>1083</v>
      </c>
      <c r="AE6" s="4">
        <f t="shared" si="0"/>
        <v>2</v>
      </c>
      <c r="AF6" s="4">
        <f t="shared" si="1"/>
        <v>1</v>
      </c>
      <c r="AG6" s="4">
        <f t="shared" si="2"/>
        <v>2995</v>
      </c>
      <c r="AH6" s="4">
        <f t="shared" si="3"/>
        <v>13</v>
      </c>
      <c r="AI6" s="4">
        <f t="shared" si="4"/>
        <v>1</v>
      </c>
      <c r="AJ6" s="4">
        <f t="shared" si="5"/>
        <v>0</v>
      </c>
      <c r="AK6" s="4">
        <f t="shared" si="6"/>
        <v>1</v>
      </c>
    </row>
    <row r="7" spans="1:37" ht="14.35" customHeight="1">
      <c r="A7" s="9">
        <v>6</v>
      </c>
      <c r="B7" s="9" t="s">
        <v>1080</v>
      </c>
      <c r="C7" s="10" t="s">
        <v>941</v>
      </c>
      <c r="D7" s="10" t="s">
        <v>1049</v>
      </c>
      <c r="E7" s="12">
        <v>1</v>
      </c>
      <c r="F7" s="11">
        <v>0</v>
      </c>
      <c r="G7" s="11">
        <v>0</v>
      </c>
      <c r="H7" s="11">
        <v>0</v>
      </c>
      <c r="I7" s="11">
        <v>1</v>
      </c>
      <c r="J7" s="11">
        <v>1</v>
      </c>
      <c r="K7" s="11">
        <v>0</v>
      </c>
      <c r="L7" s="11">
        <v>0</v>
      </c>
      <c r="M7" s="11">
        <v>0</v>
      </c>
      <c r="N7" s="11">
        <v>0</v>
      </c>
      <c r="O7" s="11">
        <v>0</v>
      </c>
      <c r="P7" s="11">
        <v>0</v>
      </c>
      <c r="Q7" s="11">
        <v>0</v>
      </c>
      <c r="R7" s="14" t="s">
        <v>1083</v>
      </c>
      <c r="S7" s="14" t="s">
        <v>1083</v>
      </c>
      <c r="T7" s="14" t="s">
        <v>1083</v>
      </c>
      <c r="U7" s="14" t="s">
        <v>942</v>
      </c>
      <c r="V7" s="14" t="s">
        <v>1083</v>
      </c>
      <c r="W7" s="14" t="s">
        <v>1083</v>
      </c>
      <c r="X7" s="14" t="s">
        <v>1083</v>
      </c>
      <c r="Y7" s="14" t="s">
        <v>1083</v>
      </c>
      <c r="Z7" s="14" t="s">
        <v>1083</v>
      </c>
      <c r="AA7" s="14" t="s">
        <v>1083</v>
      </c>
      <c r="AB7" s="14" t="s">
        <v>1083</v>
      </c>
      <c r="AC7" s="14" t="s">
        <v>1083</v>
      </c>
      <c r="AE7" s="4">
        <f t="shared" si="0"/>
        <v>2</v>
      </c>
      <c r="AF7" s="4">
        <f t="shared" si="1"/>
        <v>1</v>
      </c>
      <c r="AG7" s="4">
        <f t="shared" si="2"/>
        <v>2994</v>
      </c>
      <c r="AH7" s="4">
        <f t="shared" si="3"/>
        <v>14</v>
      </c>
      <c r="AI7" s="4">
        <f t="shared" si="4"/>
        <v>1</v>
      </c>
      <c r="AJ7" s="4">
        <f t="shared" si="5"/>
        <v>0</v>
      </c>
      <c r="AK7" s="4">
        <f t="shared" si="6"/>
        <v>1</v>
      </c>
    </row>
    <row r="8" spans="1:37" ht="14.35" customHeight="1">
      <c r="A8" s="9">
        <v>7</v>
      </c>
      <c r="B8" s="9" t="s">
        <v>1080</v>
      </c>
      <c r="C8" s="10" t="s">
        <v>931</v>
      </c>
      <c r="D8" s="10" t="s">
        <v>1044</v>
      </c>
      <c r="E8" s="12">
        <v>1</v>
      </c>
      <c r="F8" s="11">
        <v>0</v>
      </c>
      <c r="G8" s="11">
        <v>0</v>
      </c>
      <c r="H8" s="11">
        <v>0</v>
      </c>
      <c r="I8" s="11">
        <v>1</v>
      </c>
      <c r="J8" s="11">
        <v>1</v>
      </c>
      <c r="K8" s="11">
        <v>0</v>
      </c>
      <c r="L8" s="11">
        <v>0</v>
      </c>
      <c r="M8" s="11">
        <v>0</v>
      </c>
      <c r="N8" s="11">
        <v>0</v>
      </c>
      <c r="O8" s="11">
        <v>0</v>
      </c>
      <c r="P8" s="11">
        <v>0</v>
      </c>
      <c r="Q8" s="11">
        <v>0</v>
      </c>
      <c r="R8" s="14" t="s">
        <v>1083</v>
      </c>
      <c r="S8" s="14" t="s">
        <v>1083</v>
      </c>
      <c r="T8" s="14" t="s">
        <v>1083</v>
      </c>
      <c r="U8" s="14" t="s">
        <v>932</v>
      </c>
      <c r="V8" s="14" t="s">
        <v>1083</v>
      </c>
      <c r="W8" s="14" t="s">
        <v>1083</v>
      </c>
      <c r="X8" s="14" t="s">
        <v>1083</v>
      </c>
      <c r="Y8" s="14" t="s">
        <v>1083</v>
      </c>
      <c r="Z8" s="14" t="s">
        <v>1083</v>
      </c>
      <c r="AA8" s="14" t="s">
        <v>1083</v>
      </c>
      <c r="AB8" s="14" t="s">
        <v>1083</v>
      </c>
      <c r="AC8" s="14" t="s">
        <v>1083</v>
      </c>
      <c r="AE8" s="4">
        <f t="shared" si="0"/>
        <v>2</v>
      </c>
      <c r="AF8" s="4">
        <f t="shared" si="1"/>
        <v>1</v>
      </c>
      <c r="AG8" s="4">
        <f t="shared" si="2"/>
        <v>2993</v>
      </c>
      <c r="AH8" s="4">
        <f t="shared" si="3"/>
        <v>15</v>
      </c>
      <c r="AI8" s="4">
        <f t="shared" si="4"/>
        <v>1</v>
      </c>
      <c r="AJ8" s="4">
        <f t="shared" si="5"/>
        <v>0</v>
      </c>
      <c r="AK8" s="4">
        <f t="shared" si="6"/>
        <v>1</v>
      </c>
    </row>
    <row r="9" spans="1:37" ht="14.35" customHeight="1">
      <c r="A9" s="9">
        <v>8</v>
      </c>
      <c r="B9" s="9" t="s">
        <v>1080</v>
      </c>
      <c r="C9" s="10" t="s">
        <v>933</v>
      </c>
      <c r="D9" s="10" t="s">
        <v>1045</v>
      </c>
      <c r="E9" s="12">
        <v>1</v>
      </c>
      <c r="F9" s="11">
        <v>0</v>
      </c>
      <c r="G9" s="11">
        <v>0</v>
      </c>
      <c r="H9" s="11">
        <v>0</v>
      </c>
      <c r="I9" s="11">
        <v>1</v>
      </c>
      <c r="J9" s="11">
        <v>1</v>
      </c>
      <c r="K9" s="11">
        <v>0</v>
      </c>
      <c r="L9" s="11">
        <v>0</v>
      </c>
      <c r="M9" s="11">
        <v>0</v>
      </c>
      <c r="N9" s="11">
        <v>0</v>
      </c>
      <c r="O9" s="11">
        <v>0</v>
      </c>
      <c r="P9" s="11">
        <v>0</v>
      </c>
      <c r="Q9" s="11">
        <v>0</v>
      </c>
      <c r="R9" s="14" t="s">
        <v>1083</v>
      </c>
      <c r="S9" s="14" t="s">
        <v>1083</v>
      </c>
      <c r="T9" s="14" t="s">
        <v>1083</v>
      </c>
      <c r="U9" s="14" t="s">
        <v>934</v>
      </c>
      <c r="V9" s="14" t="s">
        <v>1083</v>
      </c>
      <c r="W9" s="14" t="s">
        <v>1083</v>
      </c>
      <c r="X9" s="14" t="s">
        <v>1083</v>
      </c>
      <c r="Y9" s="14" t="s">
        <v>1083</v>
      </c>
      <c r="Z9" s="14" t="s">
        <v>1083</v>
      </c>
      <c r="AA9" s="14" t="s">
        <v>1083</v>
      </c>
      <c r="AB9" s="14" t="s">
        <v>1083</v>
      </c>
      <c r="AC9" s="14" t="s">
        <v>1083</v>
      </c>
      <c r="AE9" s="4">
        <f t="shared" si="0"/>
        <v>2</v>
      </c>
      <c r="AF9" s="4">
        <f t="shared" si="1"/>
        <v>1</v>
      </c>
      <c r="AG9" s="4">
        <f t="shared" si="2"/>
        <v>2992</v>
      </c>
      <c r="AH9" s="4">
        <f t="shared" si="3"/>
        <v>16</v>
      </c>
      <c r="AI9" s="4">
        <f t="shared" si="4"/>
        <v>1</v>
      </c>
      <c r="AJ9" s="4">
        <f t="shared" si="5"/>
        <v>0</v>
      </c>
      <c r="AK9" s="4">
        <f t="shared" si="6"/>
        <v>1</v>
      </c>
    </row>
    <row r="10" spans="1:37" ht="14.35" customHeight="1">
      <c r="A10" s="9">
        <v>9</v>
      </c>
      <c r="B10" s="9" t="s">
        <v>1080</v>
      </c>
      <c r="C10" s="10" t="s">
        <v>994</v>
      </c>
      <c r="D10" s="10" t="s">
        <v>1076</v>
      </c>
      <c r="E10" s="12">
        <v>1</v>
      </c>
      <c r="F10" s="11">
        <v>0</v>
      </c>
      <c r="G10" s="11">
        <v>0</v>
      </c>
      <c r="H10" s="11">
        <v>0</v>
      </c>
      <c r="I10" s="11">
        <v>1</v>
      </c>
      <c r="J10" s="11">
        <v>1</v>
      </c>
      <c r="K10" s="11">
        <v>0</v>
      </c>
      <c r="L10" s="11">
        <v>0</v>
      </c>
      <c r="M10" s="11">
        <v>0</v>
      </c>
      <c r="N10" s="11">
        <v>0</v>
      </c>
      <c r="O10" s="11">
        <v>0</v>
      </c>
      <c r="P10" s="11">
        <v>0</v>
      </c>
      <c r="Q10" s="11">
        <v>0</v>
      </c>
      <c r="R10" s="14" t="s">
        <v>1083</v>
      </c>
      <c r="S10" s="14" t="s">
        <v>1083</v>
      </c>
      <c r="T10" s="14" t="s">
        <v>1083</v>
      </c>
      <c r="U10" s="14" t="s">
        <v>995</v>
      </c>
      <c r="V10" s="14" t="s">
        <v>1083</v>
      </c>
      <c r="W10" s="14" t="s">
        <v>1083</v>
      </c>
      <c r="X10" s="14" t="s">
        <v>1083</v>
      </c>
      <c r="Y10" s="14" t="s">
        <v>1083</v>
      </c>
      <c r="Z10" s="14" t="s">
        <v>1083</v>
      </c>
      <c r="AA10" s="14" t="s">
        <v>1083</v>
      </c>
      <c r="AB10" s="14" t="s">
        <v>1083</v>
      </c>
      <c r="AC10" s="14" t="s">
        <v>1083</v>
      </c>
      <c r="AE10" s="4">
        <f t="shared" si="0"/>
        <v>2</v>
      </c>
      <c r="AF10" s="4">
        <f t="shared" si="1"/>
        <v>1</v>
      </c>
      <c r="AG10" s="4">
        <f t="shared" si="2"/>
        <v>2991</v>
      </c>
      <c r="AH10" s="4">
        <f t="shared" si="3"/>
        <v>17</v>
      </c>
      <c r="AI10" s="4">
        <f t="shared" si="4"/>
        <v>1</v>
      </c>
      <c r="AJ10" s="4">
        <f t="shared" si="5"/>
        <v>0</v>
      </c>
      <c r="AK10" s="4">
        <f t="shared" si="6"/>
        <v>1</v>
      </c>
    </row>
    <row r="11" spans="1:37" ht="14.35" customHeight="1">
      <c r="A11" s="9">
        <v>10</v>
      </c>
      <c r="B11" s="9" t="s">
        <v>1080</v>
      </c>
      <c r="C11" s="10" t="s">
        <v>954</v>
      </c>
      <c r="D11" s="10" t="s">
        <v>1056</v>
      </c>
      <c r="E11" s="12">
        <v>1</v>
      </c>
      <c r="F11" s="11">
        <v>0</v>
      </c>
      <c r="G11" s="11">
        <v>0</v>
      </c>
      <c r="H11" s="11">
        <v>0</v>
      </c>
      <c r="I11" s="11">
        <v>1</v>
      </c>
      <c r="J11" s="11">
        <v>1</v>
      </c>
      <c r="K11" s="11">
        <v>0</v>
      </c>
      <c r="L11" s="11">
        <v>0</v>
      </c>
      <c r="M11" s="11">
        <v>0</v>
      </c>
      <c r="N11" s="11">
        <v>0</v>
      </c>
      <c r="O11" s="11">
        <v>0</v>
      </c>
      <c r="P11" s="11">
        <v>0</v>
      </c>
      <c r="Q11" s="11">
        <v>0</v>
      </c>
      <c r="R11" s="14" t="s">
        <v>1083</v>
      </c>
      <c r="S11" s="14" t="s">
        <v>1083</v>
      </c>
      <c r="T11" s="14" t="s">
        <v>1083</v>
      </c>
      <c r="U11" s="14" t="s">
        <v>955</v>
      </c>
      <c r="V11" s="14" t="s">
        <v>1083</v>
      </c>
      <c r="W11" s="14" t="s">
        <v>1083</v>
      </c>
      <c r="X11" s="14" t="s">
        <v>1083</v>
      </c>
      <c r="Y11" s="14" t="s">
        <v>1083</v>
      </c>
      <c r="Z11" s="14" t="s">
        <v>1083</v>
      </c>
      <c r="AA11" s="14" t="s">
        <v>1083</v>
      </c>
      <c r="AB11" s="14" t="s">
        <v>1083</v>
      </c>
      <c r="AC11" s="14" t="s">
        <v>1083</v>
      </c>
      <c r="AE11" s="4">
        <f t="shared" si="0"/>
        <v>2</v>
      </c>
      <c r="AF11" s="4">
        <f t="shared" si="1"/>
        <v>1</v>
      </c>
      <c r="AG11" s="4">
        <f t="shared" si="2"/>
        <v>2990</v>
      </c>
      <c r="AH11" s="4">
        <f t="shared" si="3"/>
        <v>18</v>
      </c>
      <c r="AI11" s="4">
        <f t="shared" si="4"/>
        <v>1</v>
      </c>
      <c r="AJ11" s="4">
        <f t="shared" si="5"/>
        <v>0</v>
      </c>
      <c r="AK11" s="4">
        <f t="shared" si="6"/>
        <v>1</v>
      </c>
    </row>
    <row r="12" spans="1:37" ht="14.35" customHeight="1">
      <c r="A12" s="9">
        <v>11</v>
      </c>
      <c r="B12" s="9" t="s">
        <v>1080</v>
      </c>
      <c r="C12" s="10" t="s">
        <v>960</v>
      </c>
      <c r="D12" s="9" t="s">
        <v>1059</v>
      </c>
      <c r="E12" s="12">
        <v>1</v>
      </c>
      <c r="F12" s="11">
        <v>0</v>
      </c>
      <c r="G12" s="11">
        <v>0</v>
      </c>
      <c r="H12" s="11">
        <v>0</v>
      </c>
      <c r="I12" s="11">
        <v>1</v>
      </c>
      <c r="J12" s="11">
        <v>1</v>
      </c>
      <c r="K12" s="11">
        <v>0</v>
      </c>
      <c r="L12" s="11">
        <v>0</v>
      </c>
      <c r="M12" s="11">
        <v>0</v>
      </c>
      <c r="N12" s="11">
        <v>0</v>
      </c>
      <c r="O12" s="11">
        <v>0</v>
      </c>
      <c r="P12" s="11">
        <v>0</v>
      </c>
      <c r="Q12" s="11">
        <v>0</v>
      </c>
      <c r="R12" s="14" t="s">
        <v>1083</v>
      </c>
      <c r="S12" s="14" t="s">
        <v>1083</v>
      </c>
      <c r="T12" s="14" t="s">
        <v>1083</v>
      </c>
      <c r="U12" s="14" t="s">
        <v>961</v>
      </c>
      <c r="V12" s="14" t="s">
        <v>1083</v>
      </c>
      <c r="W12" s="14" t="s">
        <v>1083</v>
      </c>
      <c r="X12" s="14" t="s">
        <v>1083</v>
      </c>
      <c r="Y12" s="14" t="s">
        <v>1083</v>
      </c>
      <c r="Z12" s="14" t="s">
        <v>1083</v>
      </c>
      <c r="AA12" s="14" t="s">
        <v>1083</v>
      </c>
      <c r="AB12" s="14" t="s">
        <v>1083</v>
      </c>
      <c r="AC12" s="14" t="s">
        <v>1083</v>
      </c>
      <c r="AE12" s="4">
        <f t="shared" si="0"/>
        <v>2</v>
      </c>
      <c r="AF12" s="4">
        <f t="shared" si="1"/>
        <v>1</v>
      </c>
      <c r="AG12" s="4">
        <f t="shared" si="2"/>
        <v>2989</v>
      </c>
      <c r="AH12" s="4">
        <f t="shared" si="3"/>
        <v>19</v>
      </c>
      <c r="AI12" s="4">
        <f t="shared" si="4"/>
        <v>1</v>
      </c>
      <c r="AJ12" s="4">
        <f t="shared" si="5"/>
        <v>0</v>
      </c>
      <c r="AK12" s="4">
        <f t="shared" si="6"/>
        <v>1</v>
      </c>
    </row>
    <row r="13" spans="1:37" ht="14.35" customHeight="1">
      <c r="A13" s="9">
        <v>12</v>
      </c>
      <c r="B13" s="9" t="s">
        <v>1080</v>
      </c>
      <c r="C13" s="10" t="s">
        <v>956</v>
      </c>
      <c r="D13" s="10" t="s">
        <v>1057</v>
      </c>
      <c r="E13" s="12">
        <v>1</v>
      </c>
      <c r="F13" s="11">
        <v>0</v>
      </c>
      <c r="G13" s="11">
        <v>0</v>
      </c>
      <c r="H13" s="11">
        <v>0</v>
      </c>
      <c r="I13" s="11">
        <v>1</v>
      </c>
      <c r="J13" s="11">
        <v>1</v>
      </c>
      <c r="K13" s="11">
        <v>0</v>
      </c>
      <c r="L13" s="11">
        <v>0</v>
      </c>
      <c r="M13" s="11">
        <v>0</v>
      </c>
      <c r="N13" s="11">
        <v>0</v>
      </c>
      <c r="O13" s="11">
        <v>0</v>
      </c>
      <c r="P13" s="11">
        <v>0</v>
      </c>
      <c r="Q13" s="11">
        <v>0</v>
      </c>
      <c r="R13" s="14" t="s">
        <v>1083</v>
      </c>
      <c r="S13" s="14" t="s">
        <v>1083</v>
      </c>
      <c r="T13" s="14" t="s">
        <v>1083</v>
      </c>
      <c r="U13" s="14" t="s">
        <v>957</v>
      </c>
      <c r="V13" s="14" t="s">
        <v>1083</v>
      </c>
      <c r="W13" s="14" t="s">
        <v>1083</v>
      </c>
      <c r="X13" s="14" t="s">
        <v>1083</v>
      </c>
      <c r="Y13" s="14" t="s">
        <v>1083</v>
      </c>
      <c r="Z13" s="14" t="s">
        <v>1083</v>
      </c>
      <c r="AA13" s="14" t="s">
        <v>1083</v>
      </c>
      <c r="AB13" s="14" t="s">
        <v>1083</v>
      </c>
      <c r="AC13" s="14" t="s">
        <v>1083</v>
      </c>
      <c r="AE13" s="4">
        <f t="shared" si="0"/>
        <v>2</v>
      </c>
      <c r="AF13" s="4">
        <f t="shared" si="1"/>
        <v>1</v>
      </c>
      <c r="AG13" s="4">
        <f t="shared" si="2"/>
        <v>2988</v>
      </c>
      <c r="AH13" s="4">
        <f t="shared" si="3"/>
        <v>20</v>
      </c>
      <c r="AI13" s="4">
        <f t="shared" si="4"/>
        <v>1</v>
      </c>
      <c r="AJ13" s="4">
        <f t="shared" si="5"/>
        <v>0</v>
      </c>
      <c r="AK13" s="4">
        <f t="shared" si="6"/>
        <v>1</v>
      </c>
    </row>
    <row r="14" spans="1:37" ht="14.35" customHeight="1">
      <c r="A14" s="9">
        <v>13</v>
      </c>
      <c r="B14" s="9" t="s">
        <v>1080</v>
      </c>
      <c r="C14" s="10" t="s">
        <v>968</v>
      </c>
      <c r="D14" s="10" t="s">
        <v>1063</v>
      </c>
      <c r="E14" s="12">
        <v>1</v>
      </c>
      <c r="F14" s="11">
        <v>0</v>
      </c>
      <c r="G14" s="11">
        <v>0</v>
      </c>
      <c r="H14" s="11">
        <v>0</v>
      </c>
      <c r="I14" s="11">
        <v>1</v>
      </c>
      <c r="J14" s="11">
        <v>1</v>
      </c>
      <c r="K14" s="11">
        <v>0</v>
      </c>
      <c r="L14" s="11">
        <v>0</v>
      </c>
      <c r="M14" s="11">
        <v>0</v>
      </c>
      <c r="N14" s="11">
        <v>0</v>
      </c>
      <c r="O14" s="11">
        <v>0</v>
      </c>
      <c r="P14" s="11">
        <v>0</v>
      </c>
      <c r="Q14" s="11">
        <v>0</v>
      </c>
      <c r="R14" s="14" t="s">
        <v>1083</v>
      </c>
      <c r="S14" s="14" t="s">
        <v>1083</v>
      </c>
      <c r="T14" s="14" t="s">
        <v>1083</v>
      </c>
      <c r="U14" s="13" t="s">
        <v>969</v>
      </c>
      <c r="V14" s="14" t="s">
        <v>1083</v>
      </c>
      <c r="W14" s="14" t="s">
        <v>1083</v>
      </c>
      <c r="X14" s="14" t="s">
        <v>1083</v>
      </c>
      <c r="Y14" s="14" t="s">
        <v>1083</v>
      </c>
      <c r="Z14" s="14" t="s">
        <v>1083</v>
      </c>
      <c r="AA14" s="14" t="s">
        <v>1083</v>
      </c>
      <c r="AB14" s="14" t="s">
        <v>1083</v>
      </c>
      <c r="AC14" s="14" t="s">
        <v>1083</v>
      </c>
      <c r="AE14" s="4">
        <f t="shared" si="0"/>
        <v>2</v>
      </c>
      <c r="AF14" s="4">
        <f t="shared" si="1"/>
        <v>1</v>
      </c>
      <c r="AG14" s="4">
        <f t="shared" si="2"/>
        <v>2987</v>
      </c>
      <c r="AH14" s="4">
        <f t="shared" si="3"/>
        <v>21</v>
      </c>
      <c r="AI14" s="4">
        <f t="shared" si="4"/>
        <v>1</v>
      </c>
      <c r="AJ14" s="4">
        <f t="shared" si="5"/>
        <v>0</v>
      </c>
      <c r="AK14" s="4">
        <f t="shared" si="6"/>
        <v>1</v>
      </c>
    </row>
    <row r="15" spans="1:37" ht="14.35" customHeight="1">
      <c r="A15" s="9">
        <v>14</v>
      </c>
      <c r="B15" s="9" t="s">
        <v>1000</v>
      </c>
      <c r="C15" s="10" t="s">
        <v>927</v>
      </c>
      <c r="D15" s="10" t="s">
        <v>1042</v>
      </c>
      <c r="E15" s="12">
        <v>1</v>
      </c>
      <c r="F15" s="11">
        <v>0</v>
      </c>
      <c r="G15" s="11">
        <v>0</v>
      </c>
      <c r="H15" s="11">
        <v>0</v>
      </c>
      <c r="I15" s="11">
        <v>1</v>
      </c>
      <c r="J15" s="11">
        <v>1</v>
      </c>
      <c r="K15" s="11">
        <v>0</v>
      </c>
      <c r="L15" s="11">
        <v>0</v>
      </c>
      <c r="M15" s="11">
        <v>0</v>
      </c>
      <c r="N15" s="11">
        <v>0</v>
      </c>
      <c r="O15" s="11">
        <v>0</v>
      </c>
      <c r="P15" s="11">
        <v>0</v>
      </c>
      <c r="Q15" s="11">
        <v>0</v>
      </c>
      <c r="R15" s="14" t="s">
        <v>1083</v>
      </c>
      <c r="S15" s="14" t="s">
        <v>1083</v>
      </c>
      <c r="T15" s="14" t="s">
        <v>1083</v>
      </c>
      <c r="U15" s="14" t="s">
        <v>928</v>
      </c>
      <c r="V15" s="14" t="s">
        <v>1083</v>
      </c>
      <c r="W15" s="14" t="s">
        <v>1083</v>
      </c>
      <c r="X15" s="14" t="s">
        <v>1083</v>
      </c>
      <c r="Y15" s="14" t="s">
        <v>1083</v>
      </c>
      <c r="Z15" s="14" t="s">
        <v>1083</v>
      </c>
      <c r="AA15" s="14" t="s">
        <v>1083</v>
      </c>
      <c r="AB15" s="14" t="s">
        <v>1083</v>
      </c>
      <c r="AC15" s="14" t="s">
        <v>1083</v>
      </c>
      <c r="AE15" s="4">
        <f t="shared" si="0"/>
        <v>2</v>
      </c>
      <c r="AF15" s="4">
        <f t="shared" si="1"/>
        <v>1</v>
      </c>
      <c r="AG15" s="4">
        <f t="shared" si="2"/>
        <v>2986</v>
      </c>
      <c r="AH15" s="4">
        <f t="shared" si="3"/>
        <v>22</v>
      </c>
      <c r="AI15" s="4">
        <f t="shared" si="4"/>
        <v>1</v>
      </c>
      <c r="AJ15" s="4">
        <f t="shared" si="5"/>
        <v>0</v>
      </c>
      <c r="AK15" s="4">
        <f t="shared" si="6"/>
        <v>1</v>
      </c>
    </row>
    <row r="16" spans="1:37" ht="14.35" customHeight="1">
      <c r="A16" s="9">
        <v>15</v>
      </c>
      <c r="B16" s="9" t="s">
        <v>999</v>
      </c>
      <c r="C16" s="9" t="s">
        <v>970</v>
      </c>
      <c r="D16" s="10" t="s">
        <v>1064</v>
      </c>
      <c r="E16" s="12">
        <v>1</v>
      </c>
      <c r="F16" s="11">
        <v>0</v>
      </c>
      <c r="G16" s="11">
        <v>0</v>
      </c>
      <c r="H16" s="11">
        <v>0</v>
      </c>
      <c r="I16" s="11">
        <v>1</v>
      </c>
      <c r="J16" s="11">
        <v>1</v>
      </c>
      <c r="K16" s="11">
        <v>0</v>
      </c>
      <c r="L16" s="11">
        <v>0</v>
      </c>
      <c r="M16" s="11">
        <v>0</v>
      </c>
      <c r="N16" s="11">
        <v>0</v>
      </c>
      <c r="O16" s="11">
        <v>0</v>
      </c>
      <c r="P16" s="11">
        <v>0</v>
      </c>
      <c r="Q16" s="11">
        <v>0</v>
      </c>
      <c r="R16" s="14" t="s">
        <v>1083</v>
      </c>
      <c r="S16" s="14" t="s">
        <v>1083</v>
      </c>
      <c r="T16" s="14" t="s">
        <v>1083</v>
      </c>
      <c r="U16" s="13" t="s">
        <v>971</v>
      </c>
      <c r="V16" s="14" t="s">
        <v>1083</v>
      </c>
      <c r="W16" s="14" t="s">
        <v>1083</v>
      </c>
      <c r="X16" s="14" t="s">
        <v>1083</v>
      </c>
      <c r="Y16" s="14" t="s">
        <v>1083</v>
      </c>
      <c r="Z16" s="14" t="s">
        <v>1083</v>
      </c>
      <c r="AA16" s="14" t="s">
        <v>1083</v>
      </c>
      <c r="AB16" s="14" t="s">
        <v>1083</v>
      </c>
      <c r="AC16" s="14" t="s">
        <v>1083</v>
      </c>
      <c r="AE16" s="4">
        <f t="shared" si="0"/>
        <v>2</v>
      </c>
      <c r="AF16" s="4">
        <f t="shared" si="1"/>
        <v>1</v>
      </c>
      <c r="AG16" s="4">
        <f t="shared" si="2"/>
        <v>2985</v>
      </c>
      <c r="AH16" s="4">
        <f t="shared" si="3"/>
        <v>23</v>
      </c>
      <c r="AI16" s="4">
        <f t="shared" si="4"/>
        <v>1</v>
      </c>
      <c r="AJ16" s="4">
        <f t="shared" si="5"/>
        <v>0</v>
      </c>
      <c r="AK16" s="4">
        <f t="shared" si="6"/>
        <v>1</v>
      </c>
    </row>
    <row r="17" spans="1:37" ht="14.35" customHeight="1">
      <c r="A17" s="9">
        <v>16</v>
      </c>
      <c r="B17" s="9" t="s">
        <v>1001</v>
      </c>
      <c r="C17" s="9" t="s">
        <v>945</v>
      </c>
      <c r="D17" s="5" t="s">
        <v>1051</v>
      </c>
      <c r="E17" s="12">
        <v>5</v>
      </c>
      <c r="F17" s="11">
        <v>1</v>
      </c>
      <c r="G17" s="11">
        <v>1</v>
      </c>
      <c r="H17" s="11">
        <v>1</v>
      </c>
      <c r="I17" s="11">
        <v>1</v>
      </c>
      <c r="J17" s="11">
        <v>1</v>
      </c>
      <c r="K17" s="11">
        <v>0</v>
      </c>
      <c r="L17" s="11">
        <v>0</v>
      </c>
      <c r="M17" s="11">
        <v>0</v>
      </c>
      <c r="N17" s="11">
        <v>1</v>
      </c>
      <c r="O17" s="11">
        <v>0</v>
      </c>
      <c r="P17" s="11">
        <v>0</v>
      </c>
      <c r="Q17" s="11">
        <v>0</v>
      </c>
      <c r="R17" s="14" t="s">
        <v>22</v>
      </c>
      <c r="S17" s="14" t="s">
        <v>23</v>
      </c>
      <c r="T17" s="14" t="s">
        <v>1083</v>
      </c>
      <c r="U17" s="14" t="s">
        <v>24</v>
      </c>
      <c r="V17" s="14" t="s">
        <v>25</v>
      </c>
      <c r="W17" s="14" t="s">
        <v>1083</v>
      </c>
      <c r="X17" s="14" t="s">
        <v>1083</v>
      </c>
      <c r="Y17" s="14" t="s">
        <v>1083</v>
      </c>
      <c r="Z17" s="14" t="s">
        <v>1083</v>
      </c>
      <c r="AA17" s="14" t="s">
        <v>1083</v>
      </c>
      <c r="AB17" s="14" t="s">
        <v>1083</v>
      </c>
      <c r="AC17" s="14" t="s">
        <v>1083</v>
      </c>
      <c r="AE17" s="4">
        <f t="shared" si="0"/>
        <v>6</v>
      </c>
      <c r="AF17" s="4">
        <f t="shared" si="1"/>
        <v>4</v>
      </c>
      <c r="AG17" s="4">
        <f t="shared" si="2"/>
        <v>6984</v>
      </c>
      <c r="AH17" s="4">
        <f t="shared" si="3"/>
        <v>1</v>
      </c>
      <c r="AI17" s="4">
        <f t="shared" si="4"/>
        <v>2</v>
      </c>
      <c r="AJ17" s="4">
        <f t="shared" si="5"/>
        <v>0</v>
      </c>
      <c r="AK17" s="4">
        <f t="shared" si="6"/>
        <v>1</v>
      </c>
    </row>
    <row r="18" spans="1:37" ht="14.35" customHeight="1">
      <c r="A18" s="9">
        <v>17</v>
      </c>
      <c r="B18" s="9" t="s">
        <v>1001</v>
      </c>
      <c r="C18" s="9" t="s">
        <v>26</v>
      </c>
      <c r="D18" s="9" t="s">
        <v>1088</v>
      </c>
      <c r="E18" s="12">
        <v>4</v>
      </c>
      <c r="F18" s="11">
        <v>1</v>
      </c>
      <c r="G18" s="11">
        <v>1</v>
      </c>
      <c r="H18" s="11">
        <v>1</v>
      </c>
      <c r="I18" s="11">
        <v>0</v>
      </c>
      <c r="J18" s="11">
        <v>0</v>
      </c>
      <c r="K18" s="11">
        <v>0</v>
      </c>
      <c r="L18" s="11">
        <v>0</v>
      </c>
      <c r="M18" s="11">
        <v>0</v>
      </c>
      <c r="N18" s="11">
        <v>1</v>
      </c>
      <c r="O18" s="11">
        <v>0</v>
      </c>
      <c r="P18" s="11">
        <v>0</v>
      </c>
      <c r="Q18" s="11">
        <v>0</v>
      </c>
      <c r="R18" s="14" t="s">
        <v>27</v>
      </c>
      <c r="S18" s="14" t="s">
        <v>28</v>
      </c>
      <c r="T18" s="14" t="s">
        <v>1083</v>
      </c>
      <c r="U18" s="14" t="s">
        <v>1083</v>
      </c>
      <c r="V18" s="14" t="s">
        <v>1083</v>
      </c>
      <c r="W18" s="14" t="s">
        <v>1083</v>
      </c>
      <c r="X18" s="14" t="s">
        <v>1083</v>
      </c>
      <c r="Y18" s="14" t="s">
        <v>1083</v>
      </c>
      <c r="Z18" s="14" t="s">
        <v>1087</v>
      </c>
      <c r="AA18" s="14" t="s">
        <v>1083</v>
      </c>
      <c r="AB18" s="14" t="s">
        <v>1083</v>
      </c>
      <c r="AC18" s="14" t="s">
        <v>1083</v>
      </c>
      <c r="AE18" s="4">
        <f t="shared" si="0"/>
        <v>4</v>
      </c>
      <c r="AF18" s="4">
        <f t="shared" si="1"/>
        <v>3</v>
      </c>
      <c r="AG18" s="4">
        <f t="shared" si="2"/>
        <v>4983</v>
      </c>
      <c r="AH18" s="4">
        <f t="shared" si="3"/>
        <v>2</v>
      </c>
      <c r="AI18" s="4">
        <f t="shared" si="4"/>
        <v>1</v>
      </c>
      <c r="AJ18" s="4">
        <f t="shared" si="5"/>
        <v>0</v>
      </c>
      <c r="AK18" s="4">
        <f t="shared" si="6"/>
        <v>0</v>
      </c>
    </row>
    <row r="19" spans="1:37" ht="14.35" customHeight="1">
      <c r="A19" s="9">
        <v>18</v>
      </c>
      <c r="B19" s="9" t="s">
        <v>1001</v>
      </c>
      <c r="C19" s="10" t="s">
        <v>923</v>
      </c>
      <c r="D19" s="10" t="s">
        <v>1040</v>
      </c>
      <c r="E19" s="12">
        <v>1</v>
      </c>
      <c r="F19" s="11">
        <v>0</v>
      </c>
      <c r="G19" s="11">
        <v>0</v>
      </c>
      <c r="H19" s="11">
        <v>0</v>
      </c>
      <c r="I19" s="11">
        <v>1</v>
      </c>
      <c r="J19" s="11">
        <v>1</v>
      </c>
      <c r="K19" s="11">
        <v>0</v>
      </c>
      <c r="L19" s="11">
        <v>0</v>
      </c>
      <c r="M19" s="11">
        <v>0</v>
      </c>
      <c r="N19" s="11">
        <v>0</v>
      </c>
      <c r="O19" s="11">
        <v>0</v>
      </c>
      <c r="P19" s="11">
        <v>0</v>
      </c>
      <c r="Q19" s="11">
        <v>0</v>
      </c>
      <c r="R19" s="14" t="s">
        <v>1083</v>
      </c>
      <c r="S19" s="14" t="s">
        <v>1083</v>
      </c>
      <c r="T19" s="14" t="s">
        <v>1083</v>
      </c>
      <c r="U19" s="14" t="s">
        <v>924</v>
      </c>
      <c r="V19" s="14" t="s">
        <v>1083</v>
      </c>
      <c r="W19" s="14" t="s">
        <v>1083</v>
      </c>
      <c r="X19" s="14" t="s">
        <v>1083</v>
      </c>
      <c r="Y19" s="14" t="s">
        <v>1083</v>
      </c>
      <c r="Z19" s="14" t="s">
        <v>1083</v>
      </c>
      <c r="AA19" s="14" t="s">
        <v>1083</v>
      </c>
      <c r="AB19" s="14" t="s">
        <v>1083</v>
      </c>
      <c r="AC19" s="14" t="s">
        <v>1083</v>
      </c>
      <c r="AE19" s="4">
        <f t="shared" si="0"/>
        <v>2</v>
      </c>
      <c r="AF19" s="4">
        <f t="shared" si="1"/>
        <v>1</v>
      </c>
      <c r="AG19" s="4">
        <f t="shared" si="2"/>
        <v>2982</v>
      </c>
      <c r="AH19" s="4">
        <f t="shared" si="3"/>
        <v>24</v>
      </c>
      <c r="AI19" s="4">
        <f t="shared" si="4"/>
        <v>1</v>
      </c>
      <c r="AJ19" s="4">
        <f t="shared" si="5"/>
        <v>0</v>
      </c>
      <c r="AK19" s="4">
        <f t="shared" si="6"/>
        <v>1</v>
      </c>
    </row>
    <row r="20" spans="1:37" ht="14.35" customHeight="1">
      <c r="A20" s="9">
        <v>19</v>
      </c>
      <c r="B20" s="9" t="s">
        <v>1001</v>
      </c>
      <c r="C20" s="10" t="s">
        <v>987</v>
      </c>
      <c r="D20" s="10" t="s">
        <v>1073</v>
      </c>
      <c r="E20" s="12">
        <v>1</v>
      </c>
      <c r="F20" s="11">
        <v>0</v>
      </c>
      <c r="G20" s="11">
        <v>0</v>
      </c>
      <c r="H20" s="11">
        <v>0</v>
      </c>
      <c r="I20" s="11">
        <v>1</v>
      </c>
      <c r="J20" s="11">
        <v>1</v>
      </c>
      <c r="K20" s="11">
        <v>0</v>
      </c>
      <c r="L20" s="11">
        <v>0</v>
      </c>
      <c r="M20" s="11">
        <v>0</v>
      </c>
      <c r="N20" s="11">
        <v>0</v>
      </c>
      <c r="O20" s="11">
        <v>0</v>
      </c>
      <c r="P20" s="11">
        <v>0</v>
      </c>
      <c r="Q20" s="11">
        <v>0</v>
      </c>
      <c r="R20" s="14" t="s">
        <v>1083</v>
      </c>
      <c r="S20" s="14" t="s">
        <v>1083</v>
      </c>
      <c r="T20" s="14" t="s">
        <v>1083</v>
      </c>
      <c r="U20" s="14" t="s">
        <v>988</v>
      </c>
      <c r="V20" s="14" t="s">
        <v>1083</v>
      </c>
      <c r="W20" s="14" t="s">
        <v>1083</v>
      </c>
      <c r="X20" s="14" t="s">
        <v>1083</v>
      </c>
      <c r="Y20" s="14" t="s">
        <v>1083</v>
      </c>
      <c r="Z20" s="14" t="s">
        <v>1083</v>
      </c>
      <c r="AA20" s="14" t="s">
        <v>1083</v>
      </c>
      <c r="AB20" s="14" t="s">
        <v>1083</v>
      </c>
      <c r="AC20" s="14" t="s">
        <v>1083</v>
      </c>
      <c r="AE20" s="4">
        <f t="shared" si="0"/>
        <v>2</v>
      </c>
      <c r="AF20" s="4">
        <f t="shared" si="1"/>
        <v>1</v>
      </c>
      <c r="AG20" s="4">
        <f t="shared" si="2"/>
        <v>2981</v>
      </c>
      <c r="AH20" s="4">
        <f t="shared" si="3"/>
        <v>25</v>
      </c>
      <c r="AI20" s="4">
        <f t="shared" si="4"/>
        <v>1</v>
      </c>
      <c r="AJ20" s="4">
        <f t="shared" si="5"/>
        <v>0</v>
      </c>
      <c r="AK20" s="4">
        <f t="shared" si="6"/>
        <v>1</v>
      </c>
    </row>
    <row r="21" spans="1:37" ht="14.35" customHeight="1">
      <c r="A21" s="9">
        <v>20</v>
      </c>
      <c r="B21" s="9" t="s">
        <v>1001</v>
      </c>
      <c r="C21" s="10" t="s">
        <v>929</v>
      </c>
      <c r="D21" s="10" t="s">
        <v>1043</v>
      </c>
      <c r="E21" s="12">
        <v>1</v>
      </c>
      <c r="F21" s="11">
        <v>0</v>
      </c>
      <c r="G21" s="11">
        <v>0</v>
      </c>
      <c r="H21" s="11">
        <v>0</v>
      </c>
      <c r="I21" s="11">
        <v>1</v>
      </c>
      <c r="J21" s="11">
        <v>1</v>
      </c>
      <c r="K21" s="11">
        <v>0</v>
      </c>
      <c r="L21" s="11">
        <v>0</v>
      </c>
      <c r="M21" s="11">
        <v>0</v>
      </c>
      <c r="N21" s="11">
        <v>0</v>
      </c>
      <c r="O21" s="11">
        <v>0</v>
      </c>
      <c r="P21" s="11">
        <v>0</v>
      </c>
      <c r="Q21" s="11">
        <v>0</v>
      </c>
      <c r="R21" s="14" t="s">
        <v>1083</v>
      </c>
      <c r="S21" s="14" t="s">
        <v>1083</v>
      </c>
      <c r="T21" s="14" t="s">
        <v>1083</v>
      </c>
      <c r="U21" s="14" t="s">
        <v>930</v>
      </c>
      <c r="V21" s="14" t="s">
        <v>1083</v>
      </c>
      <c r="W21" s="14" t="s">
        <v>1083</v>
      </c>
      <c r="X21" s="14" t="s">
        <v>1083</v>
      </c>
      <c r="Y21" s="14" t="s">
        <v>1083</v>
      </c>
      <c r="Z21" s="14" t="s">
        <v>1083</v>
      </c>
      <c r="AA21" s="14" t="s">
        <v>1083</v>
      </c>
      <c r="AB21" s="14" t="s">
        <v>1083</v>
      </c>
      <c r="AC21" s="14" t="s">
        <v>1083</v>
      </c>
      <c r="AE21" s="4">
        <f t="shared" si="0"/>
        <v>2</v>
      </c>
      <c r="AF21" s="4">
        <f t="shared" si="1"/>
        <v>1</v>
      </c>
      <c r="AG21" s="4">
        <f t="shared" si="2"/>
        <v>2980</v>
      </c>
      <c r="AH21" s="4">
        <f t="shared" si="3"/>
        <v>26</v>
      </c>
      <c r="AI21" s="4">
        <f t="shared" si="4"/>
        <v>1</v>
      </c>
      <c r="AJ21" s="4">
        <f t="shared" si="5"/>
        <v>0</v>
      </c>
      <c r="AK21" s="4">
        <f t="shared" si="6"/>
        <v>1</v>
      </c>
    </row>
    <row r="22" spans="1:37" ht="14.35" customHeight="1">
      <c r="A22" s="9">
        <v>21</v>
      </c>
      <c r="B22" s="9" t="s">
        <v>1001</v>
      </c>
      <c r="C22" s="10" t="s">
        <v>981</v>
      </c>
      <c r="D22" s="10" t="s">
        <v>1070</v>
      </c>
      <c r="E22" s="12">
        <v>1</v>
      </c>
      <c r="F22" s="11">
        <v>0</v>
      </c>
      <c r="G22" s="11">
        <v>0</v>
      </c>
      <c r="H22" s="11">
        <v>0</v>
      </c>
      <c r="I22" s="11">
        <v>1</v>
      </c>
      <c r="J22" s="11">
        <v>1</v>
      </c>
      <c r="K22" s="11">
        <v>0</v>
      </c>
      <c r="L22" s="11">
        <v>0</v>
      </c>
      <c r="M22" s="11">
        <v>0</v>
      </c>
      <c r="N22" s="11">
        <v>0</v>
      </c>
      <c r="O22" s="11">
        <v>0</v>
      </c>
      <c r="P22" s="11">
        <v>0</v>
      </c>
      <c r="Q22" s="11">
        <v>0</v>
      </c>
      <c r="R22" s="14" t="s">
        <v>1083</v>
      </c>
      <c r="S22" s="14" t="s">
        <v>1083</v>
      </c>
      <c r="T22" s="14" t="s">
        <v>1083</v>
      </c>
      <c r="U22" s="14" t="s">
        <v>982</v>
      </c>
      <c r="V22" s="14" t="s">
        <v>1083</v>
      </c>
      <c r="W22" s="14" t="s">
        <v>1083</v>
      </c>
      <c r="X22" s="14" t="s">
        <v>1083</v>
      </c>
      <c r="Y22" s="14" t="s">
        <v>1083</v>
      </c>
      <c r="Z22" s="14" t="s">
        <v>1083</v>
      </c>
      <c r="AA22" s="14" t="s">
        <v>1083</v>
      </c>
      <c r="AB22" s="14" t="s">
        <v>1083</v>
      </c>
      <c r="AC22" s="14" t="s">
        <v>1083</v>
      </c>
      <c r="AE22" s="4">
        <f t="shared" si="0"/>
        <v>2</v>
      </c>
      <c r="AF22" s="4">
        <f t="shared" si="1"/>
        <v>1</v>
      </c>
      <c r="AG22" s="4">
        <f t="shared" si="2"/>
        <v>2979</v>
      </c>
      <c r="AH22" s="4">
        <f t="shared" si="3"/>
        <v>27</v>
      </c>
      <c r="AI22" s="4">
        <f t="shared" si="4"/>
        <v>1</v>
      </c>
      <c r="AJ22" s="4">
        <f t="shared" si="5"/>
        <v>0</v>
      </c>
      <c r="AK22" s="4">
        <f t="shared" si="6"/>
        <v>1</v>
      </c>
    </row>
    <row r="23" spans="1:37" ht="14.35" customHeight="1">
      <c r="A23" s="9">
        <v>22</v>
      </c>
      <c r="B23" s="9" t="s">
        <v>1001</v>
      </c>
      <c r="C23" s="10" t="s">
        <v>985</v>
      </c>
      <c r="D23" s="10" t="s">
        <v>1072</v>
      </c>
      <c r="E23" s="12">
        <v>1</v>
      </c>
      <c r="F23" s="11">
        <v>0</v>
      </c>
      <c r="G23" s="11">
        <v>0</v>
      </c>
      <c r="H23" s="11">
        <v>0</v>
      </c>
      <c r="I23" s="11">
        <v>1</v>
      </c>
      <c r="J23" s="11">
        <v>1</v>
      </c>
      <c r="K23" s="11">
        <v>0</v>
      </c>
      <c r="L23" s="11">
        <v>0</v>
      </c>
      <c r="M23" s="11">
        <v>0</v>
      </c>
      <c r="N23" s="11">
        <v>0</v>
      </c>
      <c r="O23" s="11">
        <v>0</v>
      </c>
      <c r="P23" s="11">
        <v>0</v>
      </c>
      <c r="Q23" s="11">
        <v>0</v>
      </c>
      <c r="R23" s="14" t="s">
        <v>1083</v>
      </c>
      <c r="S23" s="14" t="s">
        <v>1083</v>
      </c>
      <c r="T23" s="14" t="s">
        <v>1083</v>
      </c>
      <c r="U23" s="14" t="s">
        <v>986</v>
      </c>
      <c r="V23" s="14" t="s">
        <v>1083</v>
      </c>
      <c r="W23" s="14" t="s">
        <v>1083</v>
      </c>
      <c r="X23" s="14" t="s">
        <v>1083</v>
      </c>
      <c r="Y23" s="14" t="s">
        <v>1083</v>
      </c>
      <c r="Z23" s="14" t="s">
        <v>1083</v>
      </c>
      <c r="AA23" s="14" t="s">
        <v>1083</v>
      </c>
      <c r="AB23" s="14" t="s">
        <v>1083</v>
      </c>
      <c r="AC23" s="14" t="s">
        <v>1083</v>
      </c>
      <c r="AE23" s="4">
        <f t="shared" si="0"/>
        <v>2</v>
      </c>
      <c r="AF23" s="4">
        <f t="shared" si="1"/>
        <v>1</v>
      </c>
      <c r="AG23" s="4">
        <f t="shared" si="2"/>
        <v>2978</v>
      </c>
      <c r="AH23" s="4">
        <f t="shared" si="3"/>
        <v>28</v>
      </c>
      <c r="AI23" s="4">
        <f t="shared" si="4"/>
        <v>1</v>
      </c>
      <c r="AJ23" s="4">
        <f t="shared" si="5"/>
        <v>0</v>
      </c>
      <c r="AK23" s="4">
        <f t="shared" si="6"/>
        <v>1</v>
      </c>
    </row>
    <row r="24" spans="1:37" ht="14.35" customHeight="1">
      <c r="A24" s="9">
        <v>23</v>
      </c>
      <c r="B24" s="9" t="s">
        <v>1001</v>
      </c>
      <c r="C24" s="10" t="s">
        <v>939</v>
      </c>
      <c r="D24" s="10" t="s">
        <v>1048</v>
      </c>
      <c r="E24" s="12">
        <v>1</v>
      </c>
      <c r="F24" s="11">
        <v>0</v>
      </c>
      <c r="G24" s="11">
        <v>0</v>
      </c>
      <c r="H24" s="11">
        <v>0</v>
      </c>
      <c r="I24" s="11">
        <v>1</v>
      </c>
      <c r="J24" s="11">
        <v>1</v>
      </c>
      <c r="K24" s="11">
        <v>0</v>
      </c>
      <c r="L24" s="11">
        <v>0</v>
      </c>
      <c r="M24" s="11">
        <v>0</v>
      </c>
      <c r="N24" s="11">
        <v>0</v>
      </c>
      <c r="O24" s="11">
        <v>0</v>
      </c>
      <c r="P24" s="11">
        <v>0</v>
      </c>
      <c r="Q24" s="11">
        <v>0</v>
      </c>
      <c r="R24" s="14" t="s">
        <v>1083</v>
      </c>
      <c r="S24" s="14" t="s">
        <v>1083</v>
      </c>
      <c r="T24" s="14" t="s">
        <v>1083</v>
      </c>
      <c r="U24" s="14" t="s">
        <v>940</v>
      </c>
      <c r="V24" s="14" t="s">
        <v>1083</v>
      </c>
      <c r="W24" s="14" t="s">
        <v>1083</v>
      </c>
      <c r="X24" s="14" t="s">
        <v>1083</v>
      </c>
      <c r="Y24" s="14" t="s">
        <v>1083</v>
      </c>
      <c r="Z24" s="14" t="s">
        <v>1083</v>
      </c>
      <c r="AA24" s="14" t="s">
        <v>1083</v>
      </c>
      <c r="AB24" s="14" t="s">
        <v>1083</v>
      </c>
      <c r="AC24" s="14" t="s">
        <v>1083</v>
      </c>
      <c r="AE24" s="4">
        <f t="shared" si="0"/>
        <v>2</v>
      </c>
      <c r="AF24" s="4">
        <f t="shared" si="1"/>
        <v>1</v>
      </c>
      <c r="AG24" s="4">
        <f t="shared" si="2"/>
        <v>2977</v>
      </c>
      <c r="AH24" s="4">
        <f t="shared" si="3"/>
        <v>29</v>
      </c>
      <c r="AI24" s="4">
        <f t="shared" si="4"/>
        <v>1</v>
      </c>
      <c r="AJ24" s="4">
        <f t="shared" si="5"/>
        <v>0</v>
      </c>
      <c r="AK24" s="4">
        <f t="shared" si="6"/>
        <v>1</v>
      </c>
    </row>
    <row r="25" spans="1:37" ht="14.35" customHeight="1">
      <c r="A25" s="9">
        <v>24</v>
      </c>
      <c r="B25" s="9" t="s">
        <v>1001</v>
      </c>
      <c r="C25" s="10" t="s">
        <v>964</v>
      </c>
      <c r="D25" s="10" t="s">
        <v>1061</v>
      </c>
      <c r="E25" s="12">
        <v>1</v>
      </c>
      <c r="F25" s="11">
        <v>0</v>
      </c>
      <c r="G25" s="11">
        <v>0</v>
      </c>
      <c r="H25" s="11">
        <v>0</v>
      </c>
      <c r="I25" s="11">
        <v>1</v>
      </c>
      <c r="J25" s="11">
        <v>1</v>
      </c>
      <c r="K25" s="11">
        <v>0</v>
      </c>
      <c r="L25" s="11">
        <v>0</v>
      </c>
      <c r="M25" s="11">
        <v>0</v>
      </c>
      <c r="N25" s="11">
        <v>0</v>
      </c>
      <c r="O25" s="11">
        <v>0</v>
      </c>
      <c r="P25" s="11">
        <v>0</v>
      </c>
      <c r="Q25" s="11">
        <v>0</v>
      </c>
      <c r="R25" s="14" t="s">
        <v>1083</v>
      </c>
      <c r="S25" s="14" t="s">
        <v>1083</v>
      </c>
      <c r="T25" s="14" t="s">
        <v>1083</v>
      </c>
      <c r="U25" s="14" t="s">
        <v>965</v>
      </c>
      <c r="V25" s="14" t="s">
        <v>1083</v>
      </c>
      <c r="W25" s="14" t="s">
        <v>1083</v>
      </c>
      <c r="X25" s="14" t="s">
        <v>1083</v>
      </c>
      <c r="Y25" s="14" t="s">
        <v>1083</v>
      </c>
      <c r="Z25" s="14" t="s">
        <v>1083</v>
      </c>
      <c r="AA25" s="14" t="s">
        <v>1083</v>
      </c>
      <c r="AB25" s="14" t="s">
        <v>1083</v>
      </c>
      <c r="AC25" s="14" t="s">
        <v>1083</v>
      </c>
      <c r="AE25" s="4">
        <f t="shared" si="0"/>
        <v>2</v>
      </c>
      <c r="AF25" s="4">
        <f t="shared" si="1"/>
        <v>1</v>
      </c>
      <c r="AG25" s="4">
        <f t="shared" si="2"/>
        <v>2976</v>
      </c>
      <c r="AH25" s="4">
        <f t="shared" si="3"/>
        <v>30</v>
      </c>
      <c r="AI25" s="4">
        <f t="shared" si="4"/>
        <v>1</v>
      </c>
      <c r="AJ25" s="4">
        <f t="shared" si="5"/>
        <v>0</v>
      </c>
      <c r="AK25" s="4">
        <f t="shared" si="6"/>
        <v>1</v>
      </c>
    </row>
    <row r="26" spans="1:37" ht="14.35" customHeight="1">
      <c r="A26" s="9">
        <v>25</v>
      </c>
      <c r="B26" s="9" t="s">
        <v>1001</v>
      </c>
      <c r="C26" s="10" t="s">
        <v>948</v>
      </c>
      <c r="D26" s="10" t="s">
        <v>1053</v>
      </c>
      <c r="E26" s="12">
        <v>1</v>
      </c>
      <c r="F26" s="11">
        <v>0</v>
      </c>
      <c r="G26" s="11">
        <v>0</v>
      </c>
      <c r="H26" s="11">
        <v>0</v>
      </c>
      <c r="I26" s="11">
        <v>1</v>
      </c>
      <c r="J26" s="11">
        <v>1</v>
      </c>
      <c r="K26" s="11">
        <v>0</v>
      </c>
      <c r="L26" s="11">
        <v>0</v>
      </c>
      <c r="M26" s="11">
        <v>0</v>
      </c>
      <c r="N26" s="11">
        <v>0</v>
      </c>
      <c r="O26" s="11">
        <v>0</v>
      </c>
      <c r="P26" s="11">
        <v>0</v>
      </c>
      <c r="Q26" s="11">
        <v>0</v>
      </c>
      <c r="R26" s="14" t="s">
        <v>1083</v>
      </c>
      <c r="S26" s="14" t="s">
        <v>1083</v>
      </c>
      <c r="T26" s="14" t="s">
        <v>1083</v>
      </c>
      <c r="U26" s="14" t="s">
        <v>949</v>
      </c>
      <c r="V26" s="14" t="s">
        <v>1083</v>
      </c>
      <c r="W26" s="14" t="s">
        <v>1083</v>
      </c>
      <c r="X26" s="14" t="s">
        <v>1083</v>
      </c>
      <c r="Y26" s="14" t="s">
        <v>1083</v>
      </c>
      <c r="Z26" s="14" t="s">
        <v>1083</v>
      </c>
      <c r="AA26" s="14" t="s">
        <v>1083</v>
      </c>
      <c r="AB26" s="14" t="s">
        <v>1083</v>
      </c>
      <c r="AC26" s="14" t="s">
        <v>1083</v>
      </c>
      <c r="AE26" s="4">
        <f t="shared" si="0"/>
        <v>2</v>
      </c>
      <c r="AF26" s="4">
        <f t="shared" si="1"/>
        <v>1</v>
      </c>
      <c r="AG26" s="4">
        <f t="shared" si="2"/>
        <v>2975</v>
      </c>
      <c r="AH26" s="4">
        <f t="shared" si="3"/>
        <v>31</v>
      </c>
      <c r="AI26" s="4">
        <f t="shared" si="4"/>
        <v>1</v>
      </c>
      <c r="AJ26" s="4">
        <f t="shared" si="5"/>
        <v>0</v>
      </c>
      <c r="AK26" s="4">
        <f t="shared" si="6"/>
        <v>1</v>
      </c>
    </row>
    <row r="27" spans="1:37" ht="14.35" customHeight="1">
      <c r="A27" s="9">
        <v>26</v>
      </c>
      <c r="B27" s="9" t="s">
        <v>1081</v>
      </c>
      <c r="C27" s="10" t="s">
        <v>992</v>
      </c>
      <c r="D27" s="10" t="s">
        <v>1075</v>
      </c>
      <c r="E27" s="12">
        <v>1</v>
      </c>
      <c r="F27" s="11">
        <v>0</v>
      </c>
      <c r="G27" s="11">
        <v>0</v>
      </c>
      <c r="H27" s="11">
        <v>0</v>
      </c>
      <c r="I27" s="11">
        <v>1</v>
      </c>
      <c r="J27" s="11">
        <v>1</v>
      </c>
      <c r="K27" s="11">
        <v>0</v>
      </c>
      <c r="L27" s="11">
        <v>0</v>
      </c>
      <c r="M27" s="11">
        <v>0</v>
      </c>
      <c r="N27" s="11">
        <v>0</v>
      </c>
      <c r="O27" s="11">
        <v>0</v>
      </c>
      <c r="P27" s="11">
        <v>0</v>
      </c>
      <c r="Q27" s="11">
        <v>0</v>
      </c>
      <c r="R27" s="14" t="s">
        <v>1083</v>
      </c>
      <c r="S27" s="14" t="s">
        <v>1083</v>
      </c>
      <c r="T27" s="14" t="s">
        <v>1083</v>
      </c>
      <c r="U27" s="14" t="s">
        <v>993</v>
      </c>
      <c r="V27" s="14" t="s">
        <v>1083</v>
      </c>
      <c r="W27" s="14" t="s">
        <v>1083</v>
      </c>
      <c r="X27" s="14" t="s">
        <v>1083</v>
      </c>
      <c r="Y27" s="14" t="s">
        <v>1083</v>
      </c>
      <c r="Z27" s="14" t="s">
        <v>1083</v>
      </c>
      <c r="AA27" s="14" t="s">
        <v>1083</v>
      </c>
      <c r="AB27" s="14" t="s">
        <v>1083</v>
      </c>
      <c r="AC27" s="14" t="s">
        <v>1083</v>
      </c>
      <c r="AE27" s="4">
        <f t="shared" si="0"/>
        <v>2</v>
      </c>
      <c r="AF27" s="4">
        <f t="shared" si="1"/>
        <v>1</v>
      </c>
      <c r="AG27" s="4">
        <f t="shared" si="2"/>
        <v>2974</v>
      </c>
      <c r="AH27" s="4">
        <f t="shared" si="3"/>
        <v>32</v>
      </c>
      <c r="AI27" s="4">
        <f t="shared" si="4"/>
        <v>1</v>
      </c>
      <c r="AJ27" s="4">
        <f t="shared" si="5"/>
        <v>0</v>
      </c>
      <c r="AK27" s="4">
        <f t="shared" si="6"/>
        <v>1</v>
      </c>
    </row>
    <row r="28" spans="1:37" ht="14.35" customHeight="1">
      <c r="A28" s="9">
        <v>27</v>
      </c>
      <c r="B28" s="9" t="s">
        <v>1002</v>
      </c>
      <c r="C28" s="10" t="s">
        <v>977</v>
      </c>
      <c r="D28" s="10" t="s">
        <v>1068</v>
      </c>
      <c r="E28" s="12">
        <v>1</v>
      </c>
      <c r="F28" s="11">
        <v>0</v>
      </c>
      <c r="G28" s="11">
        <v>0</v>
      </c>
      <c r="H28" s="11">
        <v>0</v>
      </c>
      <c r="I28" s="11">
        <v>1</v>
      </c>
      <c r="J28" s="11">
        <v>1</v>
      </c>
      <c r="K28" s="11">
        <v>0</v>
      </c>
      <c r="L28" s="11">
        <v>0</v>
      </c>
      <c r="M28" s="11">
        <v>0</v>
      </c>
      <c r="N28" s="11">
        <v>0</v>
      </c>
      <c r="O28" s="11">
        <v>0</v>
      </c>
      <c r="P28" s="11">
        <v>0</v>
      </c>
      <c r="Q28" s="11">
        <v>0</v>
      </c>
      <c r="R28" s="14" t="s">
        <v>1083</v>
      </c>
      <c r="S28" s="14" t="s">
        <v>1083</v>
      </c>
      <c r="T28" s="14" t="s">
        <v>1083</v>
      </c>
      <c r="U28" s="14" t="s">
        <v>978</v>
      </c>
      <c r="V28" s="14" t="s">
        <v>1083</v>
      </c>
      <c r="W28" s="14" t="s">
        <v>1083</v>
      </c>
      <c r="X28" s="14" t="s">
        <v>1083</v>
      </c>
      <c r="Y28" s="14" t="s">
        <v>1083</v>
      </c>
      <c r="Z28" s="14" t="s">
        <v>1083</v>
      </c>
      <c r="AA28" s="14" t="s">
        <v>1083</v>
      </c>
      <c r="AB28" s="14" t="s">
        <v>1083</v>
      </c>
      <c r="AC28" s="14" t="s">
        <v>1083</v>
      </c>
      <c r="AE28" s="4">
        <f t="shared" si="0"/>
        <v>2</v>
      </c>
      <c r="AF28" s="4">
        <f t="shared" si="1"/>
        <v>1</v>
      </c>
      <c r="AG28" s="4">
        <f t="shared" si="2"/>
        <v>2973</v>
      </c>
      <c r="AH28" s="4">
        <f t="shared" si="3"/>
        <v>33</v>
      </c>
      <c r="AI28" s="4">
        <f t="shared" si="4"/>
        <v>1</v>
      </c>
      <c r="AJ28" s="4">
        <f t="shared" si="5"/>
        <v>0</v>
      </c>
      <c r="AK28" s="4">
        <f t="shared" si="6"/>
        <v>1</v>
      </c>
    </row>
    <row r="29" spans="1:37" ht="14.35" customHeight="1">
      <c r="A29" s="9">
        <v>28</v>
      </c>
      <c r="B29" s="9" t="s">
        <v>1002</v>
      </c>
      <c r="C29" s="10" t="s">
        <v>979</v>
      </c>
      <c r="D29" s="10" t="s">
        <v>1069</v>
      </c>
      <c r="E29" s="12">
        <v>1</v>
      </c>
      <c r="F29" s="11">
        <v>0</v>
      </c>
      <c r="G29" s="11">
        <v>0</v>
      </c>
      <c r="H29" s="11">
        <v>0</v>
      </c>
      <c r="I29" s="11">
        <v>1</v>
      </c>
      <c r="J29" s="11">
        <v>1</v>
      </c>
      <c r="K29" s="11">
        <v>0</v>
      </c>
      <c r="L29" s="11">
        <v>0</v>
      </c>
      <c r="M29" s="11">
        <v>0</v>
      </c>
      <c r="N29" s="11">
        <v>0</v>
      </c>
      <c r="O29" s="11">
        <v>0</v>
      </c>
      <c r="P29" s="11">
        <v>0</v>
      </c>
      <c r="Q29" s="11">
        <v>0</v>
      </c>
      <c r="R29" s="14" t="s">
        <v>1083</v>
      </c>
      <c r="S29" s="14" t="s">
        <v>1083</v>
      </c>
      <c r="T29" s="14" t="s">
        <v>1083</v>
      </c>
      <c r="U29" s="14" t="s">
        <v>980</v>
      </c>
      <c r="V29" s="14" t="s">
        <v>1083</v>
      </c>
      <c r="W29" s="14" t="s">
        <v>1083</v>
      </c>
      <c r="X29" s="14" t="s">
        <v>1083</v>
      </c>
      <c r="Y29" s="14" t="s">
        <v>1083</v>
      </c>
      <c r="Z29" s="14" t="s">
        <v>1083</v>
      </c>
      <c r="AA29" s="14" t="s">
        <v>1083</v>
      </c>
      <c r="AB29" s="14" t="s">
        <v>1083</v>
      </c>
      <c r="AC29" s="14" t="s">
        <v>1083</v>
      </c>
      <c r="AE29" s="4">
        <f t="shared" si="0"/>
        <v>2</v>
      </c>
      <c r="AF29" s="4">
        <f t="shared" si="1"/>
        <v>1</v>
      </c>
      <c r="AG29" s="4">
        <f t="shared" si="2"/>
        <v>2972</v>
      </c>
      <c r="AH29" s="4">
        <f t="shared" si="3"/>
        <v>34</v>
      </c>
      <c r="AI29" s="4">
        <f t="shared" si="4"/>
        <v>1</v>
      </c>
      <c r="AJ29" s="4">
        <f t="shared" si="5"/>
        <v>0</v>
      </c>
      <c r="AK29" s="4">
        <f t="shared" si="6"/>
        <v>1</v>
      </c>
    </row>
    <row r="30" spans="1:37" ht="14.35" customHeight="1">
      <c r="A30" s="9">
        <v>29</v>
      </c>
      <c r="B30" s="9" t="s">
        <v>1002</v>
      </c>
      <c r="C30" s="10" t="s">
        <v>935</v>
      </c>
      <c r="D30" s="10" t="s">
        <v>1046</v>
      </c>
      <c r="E30" s="12">
        <v>1</v>
      </c>
      <c r="F30" s="11">
        <v>0</v>
      </c>
      <c r="G30" s="11">
        <v>0</v>
      </c>
      <c r="H30" s="11">
        <v>0</v>
      </c>
      <c r="I30" s="11">
        <v>1</v>
      </c>
      <c r="J30" s="11">
        <v>1</v>
      </c>
      <c r="K30" s="11">
        <v>0</v>
      </c>
      <c r="L30" s="11">
        <v>0</v>
      </c>
      <c r="M30" s="11">
        <v>0</v>
      </c>
      <c r="N30" s="11">
        <v>0</v>
      </c>
      <c r="O30" s="11">
        <v>0</v>
      </c>
      <c r="P30" s="11">
        <v>0</v>
      </c>
      <c r="Q30" s="11">
        <v>0</v>
      </c>
      <c r="R30" s="14" t="s">
        <v>1083</v>
      </c>
      <c r="S30" s="14" t="s">
        <v>1083</v>
      </c>
      <c r="T30" s="14" t="s">
        <v>1083</v>
      </c>
      <c r="U30" s="14" t="s">
        <v>936</v>
      </c>
      <c r="V30" s="14" t="s">
        <v>1083</v>
      </c>
      <c r="W30" s="14" t="s">
        <v>1083</v>
      </c>
      <c r="X30" s="14" t="s">
        <v>1083</v>
      </c>
      <c r="Y30" s="14" t="s">
        <v>1083</v>
      </c>
      <c r="Z30" s="14" t="s">
        <v>1083</v>
      </c>
      <c r="AA30" s="14" t="s">
        <v>1083</v>
      </c>
      <c r="AB30" s="14" t="s">
        <v>1083</v>
      </c>
      <c r="AC30" s="14" t="s">
        <v>1083</v>
      </c>
      <c r="AE30" s="4">
        <f t="shared" si="0"/>
        <v>2</v>
      </c>
      <c r="AF30" s="4">
        <f t="shared" si="1"/>
        <v>1</v>
      </c>
      <c r="AG30" s="4">
        <f t="shared" si="2"/>
        <v>2971</v>
      </c>
      <c r="AH30" s="4">
        <f t="shared" si="3"/>
        <v>35</v>
      </c>
      <c r="AI30" s="4">
        <f t="shared" si="4"/>
        <v>1</v>
      </c>
      <c r="AJ30" s="4">
        <f t="shared" si="5"/>
        <v>0</v>
      </c>
      <c r="AK30" s="4">
        <f t="shared" si="6"/>
        <v>1</v>
      </c>
    </row>
    <row r="31" spans="1:37" ht="14.35" customHeight="1">
      <c r="A31" s="9">
        <v>30</v>
      </c>
      <c r="B31" s="9" t="s">
        <v>1002</v>
      </c>
      <c r="C31" s="10" t="s">
        <v>983</v>
      </c>
      <c r="D31" s="10" t="s">
        <v>1071</v>
      </c>
      <c r="E31" s="12">
        <v>1</v>
      </c>
      <c r="F31" s="11">
        <v>0</v>
      </c>
      <c r="G31" s="11">
        <v>0</v>
      </c>
      <c r="H31" s="11">
        <v>0</v>
      </c>
      <c r="I31" s="11">
        <v>1</v>
      </c>
      <c r="J31" s="11">
        <v>1</v>
      </c>
      <c r="K31" s="11">
        <v>0</v>
      </c>
      <c r="L31" s="11">
        <v>0</v>
      </c>
      <c r="M31" s="11">
        <v>0</v>
      </c>
      <c r="N31" s="11">
        <v>0</v>
      </c>
      <c r="O31" s="11">
        <v>0</v>
      </c>
      <c r="P31" s="11">
        <v>0</v>
      </c>
      <c r="Q31" s="11">
        <v>0</v>
      </c>
      <c r="R31" s="14" t="s">
        <v>1083</v>
      </c>
      <c r="S31" s="14" t="s">
        <v>1083</v>
      </c>
      <c r="T31" s="14" t="s">
        <v>1083</v>
      </c>
      <c r="U31" s="13" t="s">
        <v>984</v>
      </c>
      <c r="V31" s="14" t="s">
        <v>1083</v>
      </c>
      <c r="W31" s="14" t="s">
        <v>1083</v>
      </c>
      <c r="X31" s="14" t="s">
        <v>1083</v>
      </c>
      <c r="Y31" s="14" t="s">
        <v>1083</v>
      </c>
      <c r="Z31" s="14" t="s">
        <v>1083</v>
      </c>
      <c r="AA31" s="14" t="s">
        <v>1083</v>
      </c>
      <c r="AB31" s="14" t="s">
        <v>1083</v>
      </c>
      <c r="AC31" s="14" t="s">
        <v>1083</v>
      </c>
      <c r="AE31" s="4">
        <f t="shared" si="0"/>
        <v>2</v>
      </c>
      <c r="AF31" s="4">
        <f t="shared" si="1"/>
        <v>1</v>
      </c>
      <c r="AG31" s="4">
        <f t="shared" si="2"/>
        <v>2970</v>
      </c>
      <c r="AH31" s="4">
        <f t="shared" si="3"/>
        <v>36</v>
      </c>
      <c r="AI31" s="4">
        <f t="shared" si="4"/>
        <v>1</v>
      </c>
      <c r="AJ31" s="4">
        <f t="shared" si="5"/>
        <v>0</v>
      </c>
      <c r="AK31" s="4">
        <f t="shared" si="6"/>
        <v>1</v>
      </c>
    </row>
    <row r="32" spans="1:37" ht="14.35" customHeight="1">
      <c r="A32" s="9">
        <v>31</v>
      </c>
      <c r="B32" s="9" t="s">
        <v>1002</v>
      </c>
      <c r="C32" s="10" t="s">
        <v>937</v>
      </c>
      <c r="D32" s="10" t="s">
        <v>1047</v>
      </c>
      <c r="E32" s="12">
        <v>1</v>
      </c>
      <c r="F32" s="11">
        <v>0</v>
      </c>
      <c r="G32" s="11">
        <v>0</v>
      </c>
      <c r="H32" s="11">
        <v>0</v>
      </c>
      <c r="I32" s="11">
        <v>1</v>
      </c>
      <c r="J32" s="11">
        <v>1</v>
      </c>
      <c r="K32" s="11">
        <v>0</v>
      </c>
      <c r="L32" s="11">
        <v>0</v>
      </c>
      <c r="M32" s="11">
        <v>0</v>
      </c>
      <c r="N32" s="11">
        <v>0</v>
      </c>
      <c r="O32" s="11">
        <v>0</v>
      </c>
      <c r="P32" s="11">
        <v>0</v>
      </c>
      <c r="Q32" s="11">
        <v>0</v>
      </c>
      <c r="R32" s="14" t="s">
        <v>1083</v>
      </c>
      <c r="S32" s="14" t="s">
        <v>1083</v>
      </c>
      <c r="T32" s="14" t="s">
        <v>1083</v>
      </c>
      <c r="U32" s="14" t="s">
        <v>938</v>
      </c>
      <c r="V32" s="14" t="s">
        <v>1083</v>
      </c>
      <c r="W32" s="14" t="s">
        <v>1083</v>
      </c>
      <c r="X32" s="14" t="s">
        <v>1083</v>
      </c>
      <c r="Y32" s="14" t="s">
        <v>1083</v>
      </c>
      <c r="Z32" s="14" t="s">
        <v>1083</v>
      </c>
      <c r="AA32" s="14" t="s">
        <v>1083</v>
      </c>
      <c r="AB32" s="14" t="s">
        <v>1083</v>
      </c>
      <c r="AC32" s="14" t="s">
        <v>1083</v>
      </c>
      <c r="AE32" s="4">
        <f t="shared" si="0"/>
        <v>2</v>
      </c>
      <c r="AF32" s="4">
        <f t="shared" si="1"/>
        <v>1</v>
      </c>
      <c r="AG32" s="4">
        <f t="shared" si="2"/>
        <v>2969</v>
      </c>
      <c r="AH32" s="4">
        <f t="shared" si="3"/>
        <v>37</v>
      </c>
      <c r="AI32" s="4">
        <f t="shared" si="4"/>
        <v>1</v>
      </c>
      <c r="AJ32" s="4">
        <f t="shared" si="5"/>
        <v>0</v>
      </c>
      <c r="AK32" s="4">
        <f t="shared" si="6"/>
        <v>1</v>
      </c>
    </row>
    <row r="33" spans="1:37" ht="14.35" customHeight="1">
      <c r="A33" s="9">
        <v>32</v>
      </c>
      <c r="B33" s="9" t="s">
        <v>1002</v>
      </c>
      <c r="C33" s="10" t="s">
        <v>972</v>
      </c>
      <c r="D33" s="10" t="s">
        <v>1065</v>
      </c>
      <c r="E33" s="12">
        <v>1</v>
      </c>
      <c r="F33" s="11">
        <v>0</v>
      </c>
      <c r="G33" s="11">
        <v>0</v>
      </c>
      <c r="H33" s="11">
        <v>0</v>
      </c>
      <c r="I33" s="11">
        <v>1</v>
      </c>
      <c r="J33" s="11">
        <v>1</v>
      </c>
      <c r="K33" s="11">
        <v>0</v>
      </c>
      <c r="L33" s="11">
        <v>0</v>
      </c>
      <c r="M33" s="11">
        <v>0</v>
      </c>
      <c r="N33" s="11">
        <v>0</v>
      </c>
      <c r="O33" s="11">
        <v>0</v>
      </c>
      <c r="P33" s="11">
        <v>0</v>
      </c>
      <c r="Q33" s="11">
        <v>0</v>
      </c>
      <c r="R33" s="14" t="s">
        <v>1083</v>
      </c>
      <c r="S33" s="14" t="s">
        <v>1083</v>
      </c>
      <c r="T33" s="14" t="s">
        <v>1083</v>
      </c>
      <c r="U33" s="14" t="s">
        <v>29</v>
      </c>
      <c r="V33" s="14" t="s">
        <v>30</v>
      </c>
      <c r="W33" s="14" t="s">
        <v>1083</v>
      </c>
      <c r="X33" s="14" t="s">
        <v>1083</v>
      </c>
      <c r="Y33" s="14" t="s">
        <v>1083</v>
      </c>
      <c r="Z33" s="14" t="s">
        <v>1083</v>
      </c>
      <c r="AA33" s="14" t="s">
        <v>1083</v>
      </c>
      <c r="AB33" s="14" t="s">
        <v>1083</v>
      </c>
      <c r="AC33" s="14" t="s">
        <v>1083</v>
      </c>
      <c r="AE33" s="4">
        <f t="shared" si="0"/>
        <v>2</v>
      </c>
      <c r="AF33" s="4">
        <f t="shared" si="1"/>
        <v>2</v>
      </c>
      <c r="AG33" s="4">
        <f t="shared" si="2"/>
        <v>2968</v>
      </c>
      <c r="AH33" s="4">
        <f t="shared" si="3"/>
        <v>38</v>
      </c>
      <c r="AI33" s="4">
        <f t="shared" si="4"/>
        <v>0</v>
      </c>
      <c r="AJ33" s="4">
        <f t="shared" si="5"/>
        <v>0</v>
      </c>
      <c r="AK33" s="4">
        <f t="shared" si="6"/>
        <v>1</v>
      </c>
    </row>
    <row r="34" spans="1:37" ht="14.35" customHeight="1">
      <c r="A34" s="9">
        <v>33</v>
      </c>
      <c r="B34" s="9" t="s">
        <v>1002</v>
      </c>
      <c r="C34" s="10" t="s">
        <v>946</v>
      </c>
      <c r="D34" s="10" t="s">
        <v>1052</v>
      </c>
      <c r="E34" s="12">
        <v>1</v>
      </c>
      <c r="F34" s="11">
        <v>0</v>
      </c>
      <c r="G34" s="11">
        <v>0</v>
      </c>
      <c r="H34" s="11">
        <v>0</v>
      </c>
      <c r="I34" s="11">
        <v>1</v>
      </c>
      <c r="J34" s="11">
        <v>1</v>
      </c>
      <c r="K34" s="11">
        <v>0</v>
      </c>
      <c r="L34" s="11">
        <v>0</v>
      </c>
      <c r="M34" s="11">
        <v>0</v>
      </c>
      <c r="N34" s="11">
        <v>0</v>
      </c>
      <c r="O34" s="11">
        <v>0</v>
      </c>
      <c r="P34" s="11">
        <v>0</v>
      </c>
      <c r="Q34" s="11">
        <v>0</v>
      </c>
      <c r="R34" s="14" t="s">
        <v>1083</v>
      </c>
      <c r="S34" s="14" t="s">
        <v>1083</v>
      </c>
      <c r="T34" s="14" t="s">
        <v>1083</v>
      </c>
      <c r="U34" s="13" t="s">
        <v>947</v>
      </c>
      <c r="V34" s="14" t="s">
        <v>1083</v>
      </c>
      <c r="W34" s="14" t="s">
        <v>1083</v>
      </c>
      <c r="X34" s="14" t="s">
        <v>1083</v>
      </c>
      <c r="Y34" s="14" t="s">
        <v>1083</v>
      </c>
      <c r="Z34" s="14" t="s">
        <v>1083</v>
      </c>
      <c r="AA34" s="14" t="s">
        <v>1083</v>
      </c>
      <c r="AB34" s="14" t="s">
        <v>1083</v>
      </c>
      <c r="AC34" s="14" t="s">
        <v>1083</v>
      </c>
      <c r="AE34" s="4">
        <f t="shared" si="0"/>
        <v>2</v>
      </c>
      <c r="AF34" s="4">
        <f t="shared" si="1"/>
        <v>1</v>
      </c>
      <c r="AG34" s="4">
        <f t="shared" si="2"/>
        <v>2967</v>
      </c>
      <c r="AH34" s="4">
        <f t="shared" si="3"/>
        <v>39</v>
      </c>
      <c r="AI34" s="4">
        <f t="shared" si="4"/>
        <v>1</v>
      </c>
      <c r="AJ34" s="4">
        <f t="shared" si="5"/>
        <v>0</v>
      </c>
      <c r="AK34" s="4">
        <f t="shared" si="6"/>
        <v>1</v>
      </c>
    </row>
    <row r="35" spans="1:37" ht="14.35" customHeight="1">
      <c r="A35" s="9">
        <v>34</v>
      </c>
      <c r="B35" s="9" t="s">
        <v>1078</v>
      </c>
      <c r="C35" s="10" t="s">
        <v>973</v>
      </c>
      <c r="D35" s="10" t="s">
        <v>1066</v>
      </c>
      <c r="E35" s="12">
        <v>1</v>
      </c>
      <c r="F35" s="11">
        <v>0</v>
      </c>
      <c r="G35" s="11">
        <v>0</v>
      </c>
      <c r="H35" s="11">
        <v>0</v>
      </c>
      <c r="I35" s="11">
        <v>1</v>
      </c>
      <c r="J35" s="11">
        <v>1</v>
      </c>
      <c r="K35" s="11">
        <v>0</v>
      </c>
      <c r="L35" s="11">
        <v>0</v>
      </c>
      <c r="M35" s="11">
        <v>0</v>
      </c>
      <c r="N35" s="11">
        <v>0</v>
      </c>
      <c r="O35" s="11">
        <v>0</v>
      </c>
      <c r="P35" s="11">
        <v>0</v>
      </c>
      <c r="Q35" s="11">
        <v>0</v>
      </c>
      <c r="R35" s="14" t="s">
        <v>1083</v>
      </c>
      <c r="S35" s="14" t="s">
        <v>1083</v>
      </c>
      <c r="T35" s="14" t="s">
        <v>1083</v>
      </c>
      <c r="U35" s="13" t="s">
        <v>974</v>
      </c>
      <c r="V35" s="14" t="s">
        <v>1083</v>
      </c>
      <c r="W35" s="14" t="s">
        <v>1083</v>
      </c>
      <c r="X35" s="14" t="s">
        <v>1083</v>
      </c>
      <c r="Y35" s="14" t="s">
        <v>1083</v>
      </c>
      <c r="Z35" s="14" t="s">
        <v>1083</v>
      </c>
      <c r="AA35" s="14" t="s">
        <v>1083</v>
      </c>
      <c r="AB35" s="14" t="s">
        <v>1083</v>
      </c>
      <c r="AC35" s="14" t="s">
        <v>1083</v>
      </c>
      <c r="AE35" s="4">
        <f t="shared" si="0"/>
        <v>2</v>
      </c>
      <c r="AF35" s="4">
        <f t="shared" si="1"/>
        <v>1</v>
      </c>
      <c r="AG35" s="4">
        <f t="shared" si="2"/>
        <v>2966</v>
      </c>
      <c r="AH35" s="4">
        <f t="shared" si="3"/>
        <v>40</v>
      </c>
      <c r="AI35" s="4">
        <f t="shared" si="4"/>
        <v>1</v>
      </c>
      <c r="AJ35" s="4">
        <f t="shared" si="5"/>
        <v>0</v>
      </c>
      <c r="AK35" s="4">
        <f t="shared" si="6"/>
        <v>1</v>
      </c>
    </row>
    <row r="36" spans="1:37" ht="14.35" customHeight="1">
      <c r="A36" s="9">
        <v>35</v>
      </c>
      <c r="B36" s="9" t="s">
        <v>1078</v>
      </c>
      <c r="C36" s="10" t="s">
        <v>952</v>
      </c>
      <c r="D36" s="10" t="s">
        <v>1055</v>
      </c>
      <c r="E36" s="12">
        <v>1</v>
      </c>
      <c r="F36" s="11">
        <v>0</v>
      </c>
      <c r="G36" s="11">
        <v>0</v>
      </c>
      <c r="H36" s="11">
        <v>0</v>
      </c>
      <c r="I36" s="11">
        <v>1</v>
      </c>
      <c r="J36" s="11">
        <v>1</v>
      </c>
      <c r="K36" s="11">
        <v>0</v>
      </c>
      <c r="L36" s="11">
        <v>0</v>
      </c>
      <c r="M36" s="11">
        <v>0</v>
      </c>
      <c r="N36" s="11">
        <v>0</v>
      </c>
      <c r="O36" s="11">
        <v>0</v>
      </c>
      <c r="P36" s="11">
        <v>0</v>
      </c>
      <c r="Q36" s="11">
        <v>0</v>
      </c>
      <c r="R36" s="14" t="s">
        <v>1083</v>
      </c>
      <c r="S36" s="14" t="s">
        <v>1083</v>
      </c>
      <c r="T36" s="14" t="s">
        <v>1083</v>
      </c>
      <c r="U36" s="14" t="s">
        <v>953</v>
      </c>
      <c r="V36" s="14" t="s">
        <v>1083</v>
      </c>
      <c r="W36" s="14" t="s">
        <v>1083</v>
      </c>
      <c r="X36" s="14" t="s">
        <v>1083</v>
      </c>
      <c r="Y36" s="14" t="s">
        <v>1083</v>
      </c>
      <c r="Z36" s="14" t="s">
        <v>1083</v>
      </c>
      <c r="AA36" s="14" t="s">
        <v>1083</v>
      </c>
      <c r="AB36" s="14" t="s">
        <v>1083</v>
      </c>
      <c r="AC36" s="14" t="s">
        <v>1083</v>
      </c>
      <c r="AE36" s="4">
        <f t="shared" si="0"/>
        <v>2</v>
      </c>
      <c r="AF36" s="4">
        <f t="shared" si="1"/>
        <v>1</v>
      </c>
      <c r="AG36" s="4">
        <f t="shared" si="2"/>
        <v>2965</v>
      </c>
      <c r="AH36" s="4">
        <f t="shared" si="3"/>
        <v>41</v>
      </c>
      <c r="AI36" s="4">
        <f t="shared" si="4"/>
        <v>1</v>
      </c>
      <c r="AJ36" s="4">
        <f t="shared" si="5"/>
        <v>0</v>
      </c>
      <c r="AK36" s="4">
        <f t="shared" si="6"/>
        <v>1</v>
      </c>
    </row>
    <row r="37" spans="1:37" ht="14.35" customHeight="1">
      <c r="A37" s="9">
        <v>36</v>
      </c>
      <c r="B37" s="9" t="s">
        <v>1078</v>
      </c>
      <c r="C37" s="10" t="s">
        <v>958</v>
      </c>
      <c r="D37" s="10" t="s">
        <v>1058</v>
      </c>
      <c r="E37" s="12">
        <v>1</v>
      </c>
      <c r="F37" s="11">
        <v>0</v>
      </c>
      <c r="G37" s="11">
        <v>0</v>
      </c>
      <c r="H37" s="11">
        <v>0</v>
      </c>
      <c r="I37" s="11">
        <v>1</v>
      </c>
      <c r="J37" s="11">
        <v>1</v>
      </c>
      <c r="K37" s="11">
        <v>0</v>
      </c>
      <c r="L37" s="11">
        <v>0</v>
      </c>
      <c r="M37" s="11">
        <v>0</v>
      </c>
      <c r="N37" s="11">
        <v>0</v>
      </c>
      <c r="O37" s="11">
        <v>0</v>
      </c>
      <c r="P37" s="11">
        <v>0</v>
      </c>
      <c r="Q37" s="11">
        <v>0</v>
      </c>
      <c r="R37" s="14" t="s">
        <v>1083</v>
      </c>
      <c r="S37" s="14" t="s">
        <v>1083</v>
      </c>
      <c r="T37" s="14" t="s">
        <v>1083</v>
      </c>
      <c r="U37" s="14" t="s">
        <v>959</v>
      </c>
      <c r="V37" s="14" t="s">
        <v>1083</v>
      </c>
      <c r="W37" s="14" t="s">
        <v>1083</v>
      </c>
      <c r="X37" s="14" t="s">
        <v>1083</v>
      </c>
      <c r="Y37" s="14" t="s">
        <v>1083</v>
      </c>
      <c r="Z37" s="14" t="s">
        <v>1083</v>
      </c>
      <c r="AA37" s="14" t="s">
        <v>1083</v>
      </c>
      <c r="AB37" s="14" t="s">
        <v>1083</v>
      </c>
      <c r="AC37" s="14" t="s">
        <v>1083</v>
      </c>
      <c r="AE37" s="4">
        <f t="shared" si="0"/>
        <v>2</v>
      </c>
      <c r="AF37" s="4">
        <f t="shared" si="1"/>
        <v>1</v>
      </c>
      <c r="AG37" s="4">
        <f t="shared" si="2"/>
        <v>2964</v>
      </c>
      <c r="AH37" s="4">
        <f t="shared" si="3"/>
        <v>42</v>
      </c>
      <c r="AI37" s="4">
        <f t="shared" si="4"/>
        <v>1</v>
      </c>
      <c r="AJ37" s="4">
        <f t="shared" si="5"/>
        <v>0</v>
      </c>
      <c r="AK37" s="4">
        <f t="shared" si="6"/>
        <v>1</v>
      </c>
    </row>
    <row r="38" spans="1:37" ht="14.35" customHeight="1">
      <c r="A38" s="9">
        <v>37</v>
      </c>
      <c r="B38" s="9" t="s">
        <v>1084</v>
      </c>
      <c r="C38" s="9" t="s">
        <v>32</v>
      </c>
      <c r="D38" s="9" t="s">
        <v>1086</v>
      </c>
      <c r="E38" s="12">
        <v>3</v>
      </c>
      <c r="F38" s="11">
        <v>1</v>
      </c>
      <c r="G38" s="11">
        <v>1</v>
      </c>
      <c r="H38" s="11">
        <v>1</v>
      </c>
      <c r="I38" s="11">
        <v>0</v>
      </c>
      <c r="J38" s="11">
        <v>0</v>
      </c>
      <c r="K38" s="11">
        <v>0</v>
      </c>
      <c r="L38" s="11">
        <v>0</v>
      </c>
      <c r="M38" s="11">
        <v>0</v>
      </c>
      <c r="N38" s="11">
        <v>0</v>
      </c>
      <c r="O38" s="11">
        <v>0</v>
      </c>
      <c r="P38" s="11">
        <v>0</v>
      </c>
      <c r="Q38" s="11">
        <v>0</v>
      </c>
      <c r="R38" s="14" t="s">
        <v>33</v>
      </c>
      <c r="S38" s="14" t="s">
        <v>34</v>
      </c>
      <c r="T38" s="14" t="s">
        <v>1083</v>
      </c>
      <c r="U38" s="14" t="s">
        <v>1083</v>
      </c>
      <c r="V38" s="14" t="s">
        <v>1083</v>
      </c>
      <c r="W38" s="14" t="s">
        <v>1083</v>
      </c>
      <c r="X38" s="14" t="s">
        <v>1083</v>
      </c>
      <c r="Y38" s="14" t="s">
        <v>1083</v>
      </c>
      <c r="Z38" s="14" t="s">
        <v>1083</v>
      </c>
      <c r="AA38" s="14" t="s">
        <v>1083</v>
      </c>
      <c r="AB38" s="14" t="s">
        <v>1083</v>
      </c>
      <c r="AC38" s="14" t="s">
        <v>1083</v>
      </c>
      <c r="AE38" s="4">
        <f t="shared" si="0"/>
        <v>3</v>
      </c>
      <c r="AF38" s="4">
        <f t="shared" si="1"/>
        <v>2</v>
      </c>
      <c r="AG38" s="4">
        <f t="shared" si="2"/>
        <v>3963</v>
      </c>
      <c r="AH38" s="4">
        <f t="shared" si="3"/>
        <v>8</v>
      </c>
      <c r="AI38" s="4">
        <f t="shared" si="4"/>
        <v>1</v>
      </c>
      <c r="AJ38" s="4">
        <f t="shared" si="5"/>
        <v>0</v>
      </c>
      <c r="AK38" s="4">
        <f t="shared" si="6"/>
        <v>0</v>
      </c>
    </row>
    <row r="39" spans="1:37" ht="14.35" customHeight="1">
      <c r="A39" s="9">
        <v>38</v>
      </c>
      <c r="B39" s="9" t="s">
        <v>1084</v>
      </c>
      <c r="C39" s="9" t="s">
        <v>35</v>
      </c>
      <c r="D39" s="9" t="s">
        <v>1086</v>
      </c>
      <c r="E39" s="12">
        <v>4</v>
      </c>
      <c r="F39" s="11">
        <v>1</v>
      </c>
      <c r="G39" s="11">
        <v>1</v>
      </c>
      <c r="H39" s="11">
        <v>1</v>
      </c>
      <c r="I39" s="11">
        <v>0</v>
      </c>
      <c r="J39" s="11">
        <v>0</v>
      </c>
      <c r="K39" s="11">
        <v>0</v>
      </c>
      <c r="L39" s="11">
        <v>0</v>
      </c>
      <c r="M39" s="11">
        <v>0</v>
      </c>
      <c r="N39" s="11">
        <v>1</v>
      </c>
      <c r="O39" s="11">
        <v>0</v>
      </c>
      <c r="P39" s="11">
        <v>0</v>
      </c>
      <c r="Q39" s="11">
        <v>0</v>
      </c>
      <c r="R39" s="14" t="s">
        <v>36</v>
      </c>
      <c r="S39" s="14" t="s">
        <v>37</v>
      </c>
      <c r="T39" s="14" t="s">
        <v>1083</v>
      </c>
      <c r="U39" s="14" t="s">
        <v>1083</v>
      </c>
      <c r="V39" s="14" t="s">
        <v>1083</v>
      </c>
      <c r="W39" s="14" t="s">
        <v>1083</v>
      </c>
      <c r="X39" s="14" t="s">
        <v>1083</v>
      </c>
      <c r="Y39" s="14" t="s">
        <v>1083</v>
      </c>
      <c r="Z39" s="14" t="s">
        <v>1083</v>
      </c>
      <c r="AA39" s="14" t="s">
        <v>1083</v>
      </c>
      <c r="AB39" s="14" t="s">
        <v>1083</v>
      </c>
      <c r="AC39" s="14" t="s">
        <v>1083</v>
      </c>
      <c r="AE39" s="4">
        <f t="shared" si="0"/>
        <v>4</v>
      </c>
      <c r="AF39" s="4">
        <f t="shared" si="1"/>
        <v>2</v>
      </c>
      <c r="AG39" s="4">
        <f t="shared" si="2"/>
        <v>4962</v>
      </c>
      <c r="AH39" s="4">
        <f t="shared" si="3"/>
        <v>3</v>
      </c>
      <c r="AI39" s="4">
        <f t="shared" si="4"/>
        <v>2</v>
      </c>
      <c r="AJ39" s="4">
        <f t="shared" si="5"/>
        <v>0</v>
      </c>
      <c r="AK39" s="4">
        <f t="shared" si="6"/>
        <v>0</v>
      </c>
    </row>
    <row r="40" spans="1:37" ht="14.35" customHeight="1">
      <c r="A40" s="9">
        <v>39</v>
      </c>
      <c r="B40" s="9" t="s">
        <v>1084</v>
      </c>
      <c r="C40" s="9" t="s">
        <v>38</v>
      </c>
      <c r="D40" s="9" t="s">
        <v>1086</v>
      </c>
      <c r="E40" s="12">
        <v>4</v>
      </c>
      <c r="F40" s="11">
        <v>1</v>
      </c>
      <c r="G40" s="11">
        <v>1</v>
      </c>
      <c r="H40" s="11">
        <v>1</v>
      </c>
      <c r="I40" s="11">
        <v>0</v>
      </c>
      <c r="J40" s="11">
        <v>0</v>
      </c>
      <c r="K40" s="11">
        <v>0</v>
      </c>
      <c r="L40" s="11">
        <v>0</v>
      </c>
      <c r="M40" s="11">
        <v>0</v>
      </c>
      <c r="N40" s="11">
        <v>1</v>
      </c>
      <c r="O40" s="11">
        <v>0</v>
      </c>
      <c r="P40" s="11">
        <v>0</v>
      </c>
      <c r="Q40" s="11">
        <v>0</v>
      </c>
      <c r="R40" s="14" t="s">
        <v>39</v>
      </c>
      <c r="S40" s="14" t="s">
        <v>40</v>
      </c>
      <c r="T40" s="14" t="s">
        <v>1083</v>
      </c>
      <c r="U40" s="14" t="s">
        <v>1083</v>
      </c>
      <c r="V40" s="14" t="s">
        <v>1083</v>
      </c>
      <c r="W40" s="14" t="s">
        <v>1083</v>
      </c>
      <c r="X40" s="14" t="s">
        <v>1083</v>
      </c>
      <c r="Y40" s="14" t="s">
        <v>1083</v>
      </c>
      <c r="Z40" s="14" t="s">
        <v>1083</v>
      </c>
      <c r="AA40" s="14" t="s">
        <v>1083</v>
      </c>
      <c r="AB40" s="14" t="s">
        <v>1083</v>
      </c>
      <c r="AC40" s="14" t="s">
        <v>1083</v>
      </c>
      <c r="AE40" s="4">
        <f t="shared" si="0"/>
        <v>4</v>
      </c>
      <c r="AF40" s="4">
        <f t="shared" si="1"/>
        <v>2</v>
      </c>
      <c r="AG40" s="4">
        <f t="shared" si="2"/>
        <v>4961</v>
      </c>
      <c r="AH40" s="4">
        <f t="shared" si="3"/>
        <v>4</v>
      </c>
      <c r="AI40" s="4">
        <f t="shared" si="4"/>
        <v>2</v>
      </c>
      <c r="AJ40" s="4">
        <f t="shared" si="5"/>
        <v>0</v>
      </c>
      <c r="AK40" s="4">
        <f t="shared" si="6"/>
        <v>0</v>
      </c>
    </row>
    <row r="41" spans="1:37" ht="14.35" customHeight="1">
      <c r="A41" s="9">
        <v>40</v>
      </c>
      <c r="B41" s="9" t="s">
        <v>1084</v>
      </c>
      <c r="C41" s="9" t="s">
        <v>41</v>
      </c>
      <c r="D41" s="9" t="s">
        <v>1086</v>
      </c>
      <c r="E41" s="12">
        <v>4</v>
      </c>
      <c r="F41" s="11">
        <v>1</v>
      </c>
      <c r="G41" s="11">
        <v>1</v>
      </c>
      <c r="H41" s="11">
        <v>1</v>
      </c>
      <c r="I41" s="11">
        <v>0</v>
      </c>
      <c r="J41" s="11">
        <v>0</v>
      </c>
      <c r="K41" s="11">
        <v>0</v>
      </c>
      <c r="L41" s="11">
        <v>0</v>
      </c>
      <c r="M41" s="11">
        <v>0</v>
      </c>
      <c r="N41" s="11">
        <v>1</v>
      </c>
      <c r="O41" s="11">
        <v>0</v>
      </c>
      <c r="P41" s="11">
        <v>0</v>
      </c>
      <c r="Q41" s="11">
        <v>0</v>
      </c>
      <c r="R41" s="14" t="s">
        <v>42</v>
      </c>
      <c r="S41" s="14" t="s">
        <v>43</v>
      </c>
      <c r="T41" s="14" t="s">
        <v>1083</v>
      </c>
      <c r="U41" s="14" t="s">
        <v>1083</v>
      </c>
      <c r="V41" s="14" t="s">
        <v>1083</v>
      </c>
      <c r="W41" s="14" t="s">
        <v>1083</v>
      </c>
      <c r="X41" s="14" t="s">
        <v>1083</v>
      </c>
      <c r="Y41" s="14" t="s">
        <v>1083</v>
      </c>
      <c r="Z41" s="14" t="s">
        <v>1083</v>
      </c>
      <c r="AA41" s="14" t="s">
        <v>1083</v>
      </c>
      <c r="AB41" s="14" t="s">
        <v>1083</v>
      </c>
      <c r="AC41" s="14" t="s">
        <v>1083</v>
      </c>
      <c r="AE41" s="4">
        <f t="shared" si="0"/>
        <v>4</v>
      </c>
      <c r="AF41" s="4">
        <f t="shared" si="1"/>
        <v>2</v>
      </c>
      <c r="AG41" s="4">
        <f t="shared" si="2"/>
        <v>4960</v>
      </c>
      <c r="AH41" s="4">
        <f t="shared" si="3"/>
        <v>5</v>
      </c>
      <c r="AI41" s="4">
        <f t="shared" si="4"/>
        <v>2</v>
      </c>
      <c r="AJ41" s="4">
        <f t="shared" si="5"/>
        <v>0</v>
      </c>
      <c r="AK41" s="4">
        <f t="shared" si="6"/>
        <v>0</v>
      </c>
    </row>
    <row r="42" spans="1:37" ht="14.35" customHeight="1">
      <c r="A42" s="9">
        <v>41</v>
      </c>
      <c r="B42" s="9" t="s">
        <v>1084</v>
      </c>
      <c r="C42" s="9" t="s">
        <v>44</v>
      </c>
      <c r="D42" s="9" t="s">
        <v>1086</v>
      </c>
      <c r="E42" s="12">
        <v>4</v>
      </c>
      <c r="F42" s="11">
        <v>1</v>
      </c>
      <c r="G42" s="11">
        <v>1</v>
      </c>
      <c r="H42" s="11">
        <v>1</v>
      </c>
      <c r="I42" s="11">
        <v>0</v>
      </c>
      <c r="J42" s="11">
        <v>0</v>
      </c>
      <c r="K42" s="11">
        <v>0</v>
      </c>
      <c r="L42" s="11">
        <v>0</v>
      </c>
      <c r="M42" s="11">
        <v>0</v>
      </c>
      <c r="N42" s="11">
        <v>1</v>
      </c>
      <c r="O42" s="11">
        <v>0</v>
      </c>
      <c r="P42" s="11">
        <v>0</v>
      </c>
      <c r="Q42" s="11">
        <v>0</v>
      </c>
      <c r="R42" s="14" t="s">
        <v>42</v>
      </c>
      <c r="S42" s="14" t="s">
        <v>45</v>
      </c>
      <c r="T42" s="14" t="s">
        <v>1083</v>
      </c>
      <c r="U42" s="14" t="s">
        <v>1083</v>
      </c>
      <c r="V42" s="14" t="s">
        <v>1083</v>
      </c>
      <c r="W42" s="14" t="s">
        <v>1083</v>
      </c>
      <c r="X42" s="14" t="s">
        <v>1083</v>
      </c>
      <c r="Y42" s="14" t="s">
        <v>1083</v>
      </c>
      <c r="Z42" s="14" t="s">
        <v>1083</v>
      </c>
      <c r="AA42" s="14" t="s">
        <v>1083</v>
      </c>
      <c r="AB42" s="14" t="s">
        <v>1083</v>
      </c>
      <c r="AC42" s="14" t="s">
        <v>1083</v>
      </c>
      <c r="AE42" s="4">
        <f t="shared" si="0"/>
        <v>4</v>
      </c>
      <c r="AF42" s="4">
        <f t="shared" si="1"/>
        <v>2</v>
      </c>
      <c r="AG42" s="4">
        <f t="shared" si="2"/>
        <v>4959</v>
      </c>
      <c r="AH42" s="4">
        <f t="shared" si="3"/>
        <v>6</v>
      </c>
      <c r="AI42" s="4">
        <f t="shared" si="4"/>
        <v>2</v>
      </c>
      <c r="AJ42" s="4">
        <f t="shared" si="5"/>
        <v>0</v>
      </c>
      <c r="AK42" s="4">
        <f t="shared" si="6"/>
        <v>0</v>
      </c>
    </row>
    <row r="43" spans="1:37" ht="14.35" customHeight="1">
      <c r="A43" s="9">
        <v>42</v>
      </c>
      <c r="B43" s="9" t="s">
        <v>1084</v>
      </c>
      <c r="C43" s="9" t="s">
        <v>46</v>
      </c>
      <c r="D43" s="9" t="s">
        <v>1086</v>
      </c>
      <c r="E43" s="12">
        <v>4</v>
      </c>
      <c r="F43" s="11">
        <v>1</v>
      </c>
      <c r="G43" s="11">
        <v>1</v>
      </c>
      <c r="H43" s="11">
        <v>1</v>
      </c>
      <c r="I43" s="11">
        <v>0</v>
      </c>
      <c r="J43" s="11">
        <v>0</v>
      </c>
      <c r="K43" s="11">
        <v>0</v>
      </c>
      <c r="L43" s="11">
        <v>0</v>
      </c>
      <c r="M43" s="11">
        <v>0</v>
      </c>
      <c r="N43" s="11">
        <v>1</v>
      </c>
      <c r="O43" s="11">
        <v>0</v>
      </c>
      <c r="P43" s="11">
        <v>0</v>
      </c>
      <c r="Q43" s="11">
        <v>0</v>
      </c>
      <c r="R43" s="14" t="s">
        <v>47</v>
      </c>
      <c r="S43" s="14" t="s">
        <v>48</v>
      </c>
      <c r="T43" s="14" t="s">
        <v>1083</v>
      </c>
      <c r="U43" s="14" t="s">
        <v>1083</v>
      </c>
      <c r="V43" s="14" t="s">
        <v>1083</v>
      </c>
      <c r="W43" s="14" t="s">
        <v>1083</v>
      </c>
      <c r="X43" s="14" t="s">
        <v>1083</v>
      </c>
      <c r="Y43" s="14" t="s">
        <v>1083</v>
      </c>
      <c r="Z43" s="14" t="s">
        <v>1083</v>
      </c>
      <c r="AA43" s="14" t="s">
        <v>1083</v>
      </c>
      <c r="AB43" s="14" t="s">
        <v>1083</v>
      </c>
      <c r="AC43" s="14" t="s">
        <v>1083</v>
      </c>
      <c r="AE43" s="4">
        <f t="shared" si="0"/>
        <v>4</v>
      </c>
      <c r="AF43" s="4">
        <f t="shared" si="1"/>
        <v>2</v>
      </c>
      <c r="AG43" s="4">
        <f t="shared" si="2"/>
        <v>4958</v>
      </c>
      <c r="AH43" s="4">
        <f t="shared" si="3"/>
        <v>7</v>
      </c>
      <c r="AI43" s="4">
        <f t="shared" si="4"/>
        <v>2</v>
      </c>
      <c r="AJ43" s="4">
        <f t="shared" si="5"/>
        <v>0</v>
      </c>
      <c r="AK43" s="4">
        <f t="shared" si="6"/>
        <v>0</v>
      </c>
    </row>
    <row r="44" spans="1:37" ht="14.35" customHeight="1">
      <c r="A44" s="9">
        <v>43</v>
      </c>
      <c r="B44" s="9" t="s">
        <v>1084</v>
      </c>
      <c r="C44" s="10" t="s">
        <v>1089</v>
      </c>
      <c r="D44" s="10" t="s">
        <v>1090</v>
      </c>
      <c r="E44" s="12">
        <v>1</v>
      </c>
      <c r="F44" s="11">
        <v>0</v>
      </c>
      <c r="G44" s="11">
        <v>0</v>
      </c>
      <c r="H44" s="11">
        <v>0</v>
      </c>
      <c r="I44" s="11">
        <v>1</v>
      </c>
      <c r="J44" s="11">
        <v>1</v>
      </c>
      <c r="K44" s="11">
        <v>0</v>
      </c>
      <c r="L44" s="11">
        <v>0</v>
      </c>
      <c r="M44" s="11">
        <v>0</v>
      </c>
      <c r="N44" s="11">
        <v>0</v>
      </c>
      <c r="O44" s="11">
        <v>0</v>
      </c>
      <c r="P44" s="11">
        <v>0</v>
      </c>
      <c r="Q44" s="11">
        <v>0</v>
      </c>
      <c r="R44" s="14" t="s">
        <v>1083</v>
      </c>
      <c r="S44" s="14" t="s">
        <v>1083</v>
      </c>
      <c r="T44" s="14" t="s">
        <v>1083</v>
      </c>
      <c r="U44" s="14" t="s">
        <v>989</v>
      </c>
      <c r="V44" s="14" t="s">
        <v>1083</v>
      </c>
      <c r="W44" s="14" t="s">
        <v>1083</v>
      </c>
      <c r="X44" s="14" t="s">
        <v>1083</v>
      </c>
      <c r="Y44" s="14" t="s">
        <v>1083</v>
      </c>
      <c r="Z44" s="14" t="s">
        <v>1083</v>
      </c>
      <c r="AA44" s="14" t="s">
        <v>1083</v>
      </c>
      <c r="AB44" s="14" t="s">
        <v>1083</v>
      </c>
      <c r="AC44" s="14" t="s">
        <v>1083</v>
      </c>
      <c r="AE44" s="4">
        <f t="shared" si="0"/>
        <v>2</v>
      </c>
      <c r="AF44" s="4">
        <f t="shared" si="1"/>
        <v>1</v>
      </c>
      <c r="AG44" s="4">
        <f t="shared" si="2"/>
        <v>2957</v>
      </c>
      <c r="AH44" s="4">
        <f t="shared" si="3"/>
        <v>43</v>
      </c>
      <c r="AI44" s="4">
        <f t="shared" si="4"/>
        <v>1</v>
      </c>
      <c r="AJ44" s="4">
        <f t="shared" si="5"/>
        <v>0</v>
      </c>
      <c r="AK44" s="4">
        <f t="shared" si="6"/>
        <v>1</v>
      </c>
    </row>
    <row r="45" spans="1:37" ht="14.35" customHeight="1">
      <c r="A45" s="9">
        <v>44</v>
      </c>
      <c r="B45" s="9" t="s">
        <v>1084</v>
      </c>
      <c r="C45" s="10" t="s">
        <v>990</v>
      </c>
      <c r="D45" s="10" t="s">
        <v>1074</v>
      </c>
      <c r="E45" s="12">
        <v>1</v>
      </c>
      <c r="F45" s="11">
        <v>0</v>
      </c>
      <c r="G45" s="11">
        <v>0</v>
      </c>
      <c r="H45" s="11">
        <v>0</v>
      </c>
      <c r="I45" s="11">
        <v>1</v>
      </c>
      <c r="J45" s="11">
        <v>1</v>
      </c>
      <c r="K45" s="11">
        <v>0</v>
      </c>
      <c r="L45" s="11">
        <v>0</v>
      </c>
      <c r="M45" s="11">
        <v>0</v>
      </c>
      <c r="N45" s="11">
        <v>0</v>
      </c>
      <c r="O45" s="11">
        <v>0</v>
      </c>
      <c r="P45" s="11">
        <v>0</v>
      </c>
      <c r="Q45" s="11">
        <v>0</v>
      </c>
      <c r="R45" s="14" t="s">
        <v>1083</v>
      </c>
      <c r="S45" s="14" t="s">
        <v>1083</v>
      </c>
      <c r="T45" s="14" t="s">
        <v>1083</v>
      </c>
      <c r="U45" s="13" t="s">
        <v>991</v>
      </c>
      <c r="V45" s="14" t="s">
        <v>1083</v>
      </c>
      <c r="W45" s="14" t="s">
        <v>1083</v>
      </c>
      <c r="X45" s="14" t="s">
        <v>1083</v>
      </c>
      <c r="Y45" s="14" t="s">
        <v>1083</v>
      </c>
      <c r="Z45" s="14" t="s">
        <v>1083</v>
      </c>
      <c r="AA45" s="14" t="s">
        <v>1083</v>
      </c>
      <c r="AB45" s="14" t="s">
        <v>1083</v>
      </c>
      <c r="AC45" s="14" t="s">
        <v>1083</v>
      </c>
      <c r="AE45" s="4">
        <f t="shared" si="0"/>
        <v>2</v>
      </c>
      <c r="AF45" s="4">
        <f t="shared" si="1"/>
        <v>1</v>
      </c>
      <c r="AG45" s="4">
        <f t="shared" si="2"/>
        <v>2956</v>
      </c>
      <c r="AH45" s="4">
        <f t="shared" si="3"/>
        <v>44</v>
      </c>
      <c r="AI45" s="4">
        <f t="shared" si="4"/>
        <v>1</v>
      </c>
      <c r="AJ45" s="4">
        <f t="shared" si="5"/>
        <v>0</v>
      </c>
      <c r="AK45" s="4">
        <f t="shared" si="6"/>
        <v>1</v>
      </c>
    </row>
    <row r="46" spans="1:37" ht="14.35" customHeight="1">
      <c r="A46" s="9">
        <v>45</v>
      </c>
      <c r="B46" s="9" t="s">
        <v>31</v>
      </c>
      <c r="C46" s="10" t="s">
        <v>925</v>
      </c>
      <c r="D46" s="10" t="s">
        <v>1041</v>
      </c>
      <c r="E46" s="12">
        <v>1</v>
      </c>
      <c r="F46" s="11">
        <v>0</v>
      </c>
      <c r="G46" s="11">
        <v>0</v>
      </c>
      <c r="H46" s="11">
        <v>0</v>
      </c>
      <c r="I46" s="11">
        <v>1</v>
      </c>
      <c r="J46" s="11">
        <v>1</v>
      </c>
      <c r="K46" s="11">
        <v>0</v>
      </c>
      <c r="L46" s="11">
        <v>0</v>
      </c>
      <c r="M46" s="11">
        <v>0</v>
      </c>
      <c r="N46" s="11">
        <v>0</v>
      </c>
      <c r="O46" s="11">
        <v>0</v>
      </c>
      <c r="P46" s="11">
        <v>0</v>
      </c>
      <c r="Q46" s="11">
        <v>0</v>
      </c>
      <c r="R46" s="14" t="s">
        <v>1083</v>
      </c>
      <c r="S46" s="14" t="s">
        <v>1083</v>
      </c>
      <c r="T46" s="14" t="s">
        <v>1083</v>
      </c>
      <c r="U46" s="14" t="s">
        <v>926</v>
      </c>
      <c r="V46" s="14" t="s">
        <v>1083</v>
      </c>
      <c r="W46" s="14" t="s">
        <v>1083</v>
      </c>
      <c r="X46" s="14" t="s">
        <v>1083</v>
      </c>
      <c r="Y46" s="14" t="s">
        <v>1083</v>
      </c>
      <c r="Z46" s="14" t="s">
        <v>1083</v>
      </c>
      <c r="AA46" s="14" t="s">
        <v>1083</v>
      </c>
      <c r="AB46" s="14" t="s">
        <v>1083</v>
      </c>
      <c r="AC46" s="14" t="s">
        <v>1083</v>
      </c>
      <c r="AE46" s="4">
        <f t="shared" si="0"/>
        <v>2</v>
      </c>
      <c r="AF46" s="4">
        <f t="shared" si="1"/>
        <v>1</v>
      </c>
      <c r="AG46" s="4">
        <f t="shared" si="2"/>
        <v>2955</v>
      </c>
      <c r="AH46" s="4">
        <f t="shared" si="3"/>
        <v>45</v>
      </c>
      <c r="AI46" s="4">
        <f t="shared" si="4"/>
        <v>1</v>
      </c>
      <c r="AJ46" s="4">
        <f t="shared" si="5"/>
        <v>0</v>
      </c>
      <c r="AK46" s="4">
        <f t="shared" si="6"/>
        <v>1</v>
      </c>
    </row>
    <row r="47" spans="1:37" ht="14.35" customHeight="1">
      <c r="A47" s="9">
        <v>46</v>
      </c>
      <c r="B47" s="9" t="s">
        <v>31</v>
      </c>
      <c r="C47" s="10" t="s">
        <v>962</v>
      </c>
      <c r="D47" s="9" t="s">
        <v>1060</v>
      </c>
      <c r="E47" s="12">
        <v>1</v>
      </c>
      <c r="F47" s="11">
        <v>0</v>
      </c>
      <c r="G47" s="11">
        <v>0</v>
      </c>
      <c r="H47" s="11">
        <v>0</v>
      </c>
      <c r="I47" s="11">
        <v>1</v>
      </c>
      <c r="J47" s="11">
        <v>1</v>
      </c>
      <c r="K47" s="11">
        <v>0</v>
      </c>
      <c r="L47" s="11">
        <v>0</v>
      </c>
      <c r="M47" s="11">
        <v>0</v>
      </c>
      <c r="N47" s="11">
        <v>0</v>
      </c>
      <c r="O47" s="11">
        <v>0</v>
      </c>
      <c r="P47" s="11">
        <v>0</v>
      </c>
      <c r="Q47" s="11">
        <v>0</v>
      </c>
      <c r="R47" s="14" t="s">
        <v>1083</v>
      </c>
      <c r="S47" s="14" t="s">
        <v>1083</v>
      </c>
      <c r="T47" s="14" t="s">
        <v>1083</v>
      </c>
      <c r="U47" s="14" t="s">
        <v>963</v>
      </c>
      <c r="V47" s="14" t="s">
        <v>1083</v>
      </c>
      <c r="W47" s="14" t="s">
        <v>1083</v>
      </c>
      <c r="X47" s="14" t="s">
        <v>1083</v>
      </c>
      <c r="Y47" s="14" t="s">
        <v>1083</v>
      </c>
      <c r="Z47" s="14" t="s">
        <v>1083</v>
      </c>
      <c r="AA47" s="14" t="s">
        <v>1083</v>
      </c>
      <c r="AB47" s="14" t="s">
        <v>1083</v>
      </c>
      <c r="AC47" s="14" t="s">
        <v>1083</v>
      </c>
      <c r="AE47" s="4">
        <f t="shared" si="0"/>
        <v>2</v>
      </c>
      <c r="AF47" s="4">
        <f t="shared" si="1"/>
        <v>1</v>
      </c>
      <c r="AG47" s="4">
        <f t="shared" si="2"/>
        <v>2954</v>
      </c>
      <c r="AH47" s="4">
        <f t="shared" si="3"/>
        <v>46</v>
      </c>
      <c r="AI47" s="4">
        <f t="shared" si="4"/>
        <v>1</v>
      </c>
      <c r="AJ47" s="4">
        <f t="shared" si="5"/>
        <v>0</v>
      </c>
      <c r="AK47" s="4">
        <f t="shared" si="6"/>
        <v>1</v>
      </c>
    </row>
    <row r="48" spans="1:37" ht="14.35" customHeight="1">
      <c r="A48" s="9">
        <v>47</v>
      </c>
      <c r="B48" s="9" t="s">
        <v>1092</v>
      </c>
      <c r="C48" s="10" t="s">
        <v>1091</v>
      </c>
      <c r="D48" s="9" t="s">
        <v>1091</v>
      </c>
      <c r="E48" s="12">
        <v>1</v>
      </c>
      <c r="F48" s="11">
        <v>0</v>
      </c>
      <c r="G48" s="11">
        <v>0</v>
      </c>
      <c r="H48" s="11">
        <v>0</v>
      </c>
      <c r="I48" s="11">
        <v>1</v>
      </c>
      <c r="J48" s="11">
        <v>1</v>
      </c>
      <c r="K48" s="11">
        <v>0</v>
      </c>
      <c r="L48" s="11">
        <v>0</v>
      </c>
      <c r="M48" s="11">
        <v>0</v>
      </c>
      <c r="N48" s="11">
        <v>0</v>
      </c>
      <c r="O48" s="11">
        <v>0</v>
      </c>
      <c r="P48" s="11">
        <v>0</v>
      </c>
      <c r="Q48" s="11">
        <v>0</v>
      </c>
      <c r="R48" s="14" t="s">
        <v>1083</v>
      </c>
      <c r="S48" s="14" t="s">
        <v>1083</v>
      </c>
      <c r="T48" s="14" t="s">
        <v>1083</v>
      </c>
      <c r="U48" s="14" t="s">
        <v>1093</v>
      </c>
      <c r="V48" s="14" t="s">
        <v>1083</v>
      </c>
      <c r="W48" s="14" t="s">
        <v>1083</v>
      </c>
      <c r="X48" s="14" t="s">
        <v>1083</v>
      </c>
      <c r="Y48" s="14" t="s">
        <v>1083</v>
      </c>
      <c r="Z48" s="14" t="s">
        <v>1083</v>
      </c>
      <c r="AA48" s="14" t="s">
        <v>1083</v>
      </c>
      <c r="AB48" s="14" t="s">
        <v>1083</v>
      </c>
      <c r="AC48" s="14" t="s">
        <v>1083</v>
      </c>
      <c r="AE48" s="4">
        <f t="shared" si="0"/>
        <v>2</v>
      </c>
      <c r="AF48" s="4">
        <f t="shared" si="1"/>
        <v>1</v>
      </c>
      <c r="AG48" s="4">
        <f t="shared" si="2"/>
        <v>2953</v>
      </c>
      <c r="AH48" s="4">
        <f t="shared" si="3"/>
        <v>47</v>
      </c>
      <c r="AI48" s="4">
        <f t="shared" si="4"/>
        <v>1</v>
      </c>
      <c r="AJ48" s="4">
        <f t="shared" si="5"/>
        <v>0</v>
      </c>
      <c r="AK48" s="4">
        <f t="shared" si="6"/>
        <v>1</v>
      </c>
    </row>
    <row r="49" spans="1:37">
      <c r="A49" s="9">
        <v>48</v>
      </c>
      <c r="B49" s="9"/>
      <c r="C49" s="10"/>
      <c r="D49" s="9"/>
      <c r="E49" s="12">
        <v>1</v>
      </c>
      <c r="F49" s="11">
        <v>0</v>
      </c>
      <c r="G49" s="11">
        <v>0</v>
      </c>
      <c r="H49" s="11">
        <v>0</v>
      </c>
      <c r="I49" s="11">
        <v>0</v>
      </c>
      <c r="J49" s="11">
        <v>0</v>
      </c>
      <c r="K49" s="11">
        <v>0</v>
      </c>
      <c r="L49" s="11">
        <v>0</v>
      </c>
      <c r="M49" s="11">
        <v>0</v>
      </c>
      <c r="N49" s="11">
        <v>0</v>
      </c>
      <c r="O49" s="11">
        <v>0</v>
      </c>
      <c r="P49" s="11">
        <v>0</v>
      </c>
      <c r="Q49" s="11">
        <v>0</v>
      </c>
      <c r="R49" s="14" t="s">
        <v>1083</v>
      </c>
      <c r="S49" s="14" t="s">
        <v>1083</v>
      </c>
      <c r="T49" s="14" t="s">
        <v>1083</v>
      </c>
      <c r="U49" s="14" t="s">
        <v>1083</v>
      </c>
      <c r="V49" s="14" t="s">
        <v>1083</v>
      </c>
      <c r="W49" s="14" t="s">
        <v>1083</v>
      </c>
      <c r="X49" s="14" t="s">
        <v>1083</v>
      </c>
      <c r="Y49" s="14" t="s">
        <v>1083</v>
      </c>
      <c r="Z49" s="14" t="s">
        <v>1083</v>
      </c>
      <c r="AA49" s="14" t="s">
        <v>1083</v>
      </c>
      <c r="AB49" s="14" t="s">
        <v>1083</v>
      </c>
      <c r="AC49" s="14" t="s">
        <v>1083</v>
      </c>
      <c r="AE49" s="4" t="str">
        <f t="shared" si="0"/>
        <v/>
      </c>
      <c r="AF49" s="4" t="str">
        <f t="shared" si="1"/>
        <v/>
      </c>
      <c r="AG49" s="4" t="str">
        <f t="shared" si="2"/>
        <v/>
      </c>
      <c r="AH49" s="4" t="str">
        <f t="shared" si="3"/>
        <v/>
      </c>
      <c r="AI49" s="4" t="str">
        <f t="shared" si="4"/>
        <v/>
      </c>
      <c r="AJ49" s="4" t="str">
        <f t="shared" si="5"/>
        <v/>
      </c>
      <c r="AK49" s="4" t="str">
        <f t="shared" si="6"/>
        <v/>
      </c>
    </row>
    <row r="50" spans="1:37">
      <c r="A50" s="9">
        <v>49</v>
      </c>
      <c r="B50" s="9"/>
      <c r="C50" s="10"/>
      <c r="D50" s="9"/>
      <c r="E50" s="12">
        <v>1</v>
      </c>
      <c r="F50" s="11">
        <v>0</v>
      </c>
      <c r="G50" s="11">
        <v>0</v>
      </c>
      <c r="H50" s="11">
        <v>0</v>
      </c>
      <c r="I50" s="11">
        <v>0</v>
      </c>
      <c r="J50" s="11">
        <v>0</v>
      </c>
      <c r="K50" s="11">
        <v>0</v>
      </c>
      <c r="L50" s="11">
        <v>0</v>
      </c>
      <c r="M50" s="11">
        <v>0</v>
      </c>
      <c r="N50" s="11">
        <v>0</v>
      </c>
      <c r="O50" s="11">
        <v>0</v>
      </c>
      <c r="P50" s="11">
        <v>0</v>
      </c>
      <c r="Q50" s="11">
        <v>0</v>
      </c>
      <c r="R50" s="14" t="s">
        <v>1083</v>
      </c>
      <c r="S50" s="14" t="s">
        <v>1083</v>
      </c>
      <c r="T50" s="14" t="s">
        <v>1083</v>
      </c>
      <c r="U50" s="14" t="s">
        <v>1083</v>
      </c>
      <c r="V50" s="14" t="s">
        <v>1083</v>
      </c>
      <c r="W50" s="14" t="s">
        <v>1083</v>
      </c>
      <c r="X50" s="14" t="s">
        <v>1083</v>
      </c>
      <c r="Y50" s="14" t="s">
        <v>1083</v>
      </c>
      <c r="Z50" s="14" t="s">
        <v>1083</v>
      </c>
      <c r="AA50" s="14" t="s">
        <v>1083</v>
      </c>
      <c r="AB50" s="14" t="s">
        <v>1083</v>
      </c>
      <c r="AC50" s="14" t="s">
        <v>1083</v>
      </c>
      <c r="AE50" s="4" t="str">
        <f t="shared" si="0"/>
        <v/>
      </c>
      <c r="AF50" s="4" t="str">
        <f t="shared" si="1"/>
        <v/>
      </c>
      <c r="AG50" s="4" t="str">
        <f t="shared" si="2"/>
        <v/>
      </c>
      <c r="AH50" s="4" t="str">
        <f t="shared" si="3"/>
        <v/>
      </c>
      <c r="AI50" s="4" t="str">
        <f t="shared" si="4"/>
        <v/>
      </c>
      <c r="AJ50" s="4" t="str">
        <f t="shared" si="5"/>
        <v/>
      </c>
      <c r="AK50" s="4" t="str">
        <f t="shared" si="6"/>
        <v/>
      </c>
    </row>
    <row r="51" spans="1:37">
      <c r="A51" s="9">
        <v>50</v>
      </c>
      <c r="B51" s="9"/>
      <c r="C51" s="10"/>
      <c r="D51" s="9"/>
      <c r="E51" s="12">
        <v>1</v>
      </c>
      <c r="F51" s="11">
        <v>0</v>
      </c>
      <c r="G51" s="11">
        <v>0</v>
      </c>
      <c r="H51" s="11">
        <v>0</v>
      </c>
      <c r="I51" s="11">
        <v>0</v>
      </c>
      <c r="J51" s="11">
        <v>0</v>
      </c>
      <c r="K51" s="11">
        <v>0</v>
      </c>
      <c r="L51" s="11">
        <v>0</v>
      </c>
      <c r="M51" s="11">
        <v>0</v>
      </c>
      <c r="N51" s="11">
        <v>0</v>
      </c>
      <c r="O51" s="11">
        <v>0</v>
      </c>
      <c r="P51" s="11">
        <v>0</v>
      </c>
      <c r="Q51" s="11">
        <v>0</v>
      </c>
      <c r="R51" s="14" t="s">
        <v>1083</v>
      </c>
      <c r="S51" s="14" t="s">
        <v>1083</v>
      </c>
      <c r="T51" s="14" t="s">
        <v>1083</v>
      </c>
      <c r="U51" s="14" t="s">
        <v>1083</v>
      </c>
      <c r="V51" s="14" t="s">
        <v>1083</v>
      </c>
      <c r="W51" s="14" t="s">
        <v>1083</v>
      </c>
      <c r="X51" s="14" t="s">
        <v>1083</v>
      </c>
      <c r="Y51" s="14" t="s">
        <v>1083</v>
      </c>
      <c r="Z51" s="14" t="s">
        <v>1083</v>
      </c>
      <c r="AA51" s="14" t="s">
        <v>1083</v>
      </c>
      <c r="AB51" s="14" t="s">
        <v>1083</v>
      </c>
      <c r="AC51" s="14" t="s">
        <v>1083</v>
      </c>
      <c r="AE51" s="4" t="str">
        <f t="shared" si="0"/>
        <v/>
      </c>
      <c r="AF51" s="4" t="str">
        <f t="shared" si="1"/>
        <v/>
      </c>
      <c r="AG51" s="4" t="str">
        <f t="shared" si="2"/>
        <v/>
      </c>
      <c r="AH51" s="4" t="str">
        <f t="shared" si="3"/>
        <v/>
      </c>
      <c r="AI51" s="4" t="str">
        <f t="shared" si="4"/>
        <v/>
      </c>
      <c r="AJ51" s="4" t="str">
        <f t="shared" si="5"/>
        <v/>
      </c>
      <c r="AK51" s="4" t="str">
        <f t="shared" si="6"/>
        <v/>
      </c>
    </row>
    <row r="52" spans="1:37">
      <c r="A52" s="9">
        <v>51</v>
      </c>
      <c r="B52" s="9"/>
      <c r="C52" s="10"/>
      <c r="D52" s="9"/>
      <c r="E52" s="12">
        <v>1</v>
      </c>
      <c r="F52" s="11">
        <v>0</v>
      </c>
      <c r="G52" s="11">
        <v>0</v>
      </c>
      <c r="H52" s="11">
        <v>0</v>
      </c>
      <c r="I52" s="11">
        <v>0</v>
      </c>
      <c r="J52" s="11">
        <v>0</v>
      </c>
      <c r="K52" s="11">
        <v>0</v>
      </c>
      <c r="L52" s="11">
        <v>0</v>
      </c>
      <c r="M52" s="11">
        <v>0</v>
      </c>
      <c r="N52" s="11">
        <v>0</v>
      </c>
      <c r="O52" s="11">
        <v>0</v>
      </c>
      <c r="P52" s="11">
        <v>0</v>
      </c>
      <c r="Q52" s="11">
        <v>0</v>
      </c>
      <c r="R52" s="14" t="s">
        <v>1083</v>
      </c>
      <c r="S52" s="14" t="s">
        <v>1083</v>
      </c>
      <c r="T52" s="14" t="s">
        <v>1083</v>
      </c>
      <c r="U52" s="14" t="s">
        <v>1083</v>
      </c>
      <c r="V52" s="14" t="s">
        <v>1083</v>
      </c>
      <c r="W52" s="14" t="s">
        <v>1083</v>
      </c>
      <c r="X52" s="14" t="s">
        <v>1083</v>
      </c>
      <c r="Y52" s="14" t="s">
        <v>1083</v>
      </c>
      <c r="Z52" s="14" t="s">
        <v>1083</v>
      </c>
      <c r="AA52" s="14" t="s">
        <v>1083</v>
      </c>
      <c r="AB52" s="14" t="s">
        <v>1083</v>
      </c>
      <c r="AC52" s="14" t="s">
        <v>1083</v>
      </c>
      <c r="AE52" s="4" t="str">
        <f t="shared" si="0"/>
        <v/>
      </c>
      <c r="AF52" s="4" t="str">
        <f t="shared" si="1"/>
        <v/>
      </c>
      <c r="AG52" s="4" t="str">
        <f t="shared" si="2"/>
        <v/>
      </c>
      <c r="AH52" s="4" t="str">
        <f t="shared" si="3"/>
        <v/>
      </c>
      <c r="AI52" s="4" t="str">
        <f t="shared" si="4"/>
        <v/>
      </c>
      <c r="AJ52" s="4" t="str">
        <f t="shared" si="5"/>
        <v/>
      </c>
      <c r="AK52" s="4" t="str">
        <f t="shared" si="6"/>
        <v/>
      </c>
    </row>
    <row r="53" spans="1:37">
      <c r="A53" s="9">
        <v>52</v>
      </c>
      <c r="B53" s="9"/>
      <c r="C53" s="10"/>
      <c r="D53" s="9"/>
      <c r="E53" s="12">
        <v>1</v>
      </c>
      <c r="F53" s="11">
        <v>0</v>
      </c>
      <c r="G53" s="11">
        <v>0</v>
      </c>
      <c r="H53" s="11">
        <v>0</v>
      </c>
      <c r="I53" s="11">
        <v>0</v>
      </c>
      <c r="J53" s="11">
        <v>0</v>
      </c>
      <c r="K53" s="11">
        <v>0</v>
      </c>
      <c r="L53" s="11">
        <v>0</v>
      </c>
      <c r="M53" s="11">
        <v>0</v>
      </c>
      <c r="N53" s="11">
        <v>0</v>
      </c>
      <c r="O53" s="11">
        <v>0</v>
      </c>
      <c r="P53" s="11">
        <v>0</v>
      </c>
      <c r="Q53" s="11">
        <v>0</v>
      </c>
      <c r="R53" s="14" t="s">
        <v>1083</v>
      </c>
      <c r="S53" s="14" t="s">
        <v>1083</v>
      </c>
      <c r="T53" s="14" t="s">
        <v>1083</v>
      </c>
      <c r="U53" s="14" t="s">
        <v>1083</v>
      </c>
      <c r="V53" s="14" t="s">
        <v>1083</v>
      </c>
      <c r="W53" s="14" t="s">
        <v>1083</v>
      </c>
      <c r="X53" s="14" t="s">
        <v>1083</v>
      </c>
      <c r="Y53" s="14" t="s">
        <v>1083</v>
      </c>
      <c r="Z53" s="14" t="s">
        <v>1083</v>
      </c>
      <c r="AA53" s="14" t="s">
        <v>1083</v>
      </c>
      <c r="AB53" s="14" t="s">
        <v>1083</v>
      </c>
      <c r="AC53" s="14" t="s">
        <v>1083</v>
      </c>
      <c r="AE53" s="4" t="str">
        <f t="shared" si="0"/>
        <v/>
      </c>
      <c r="AF53" s="4" t="str">
        <f t="shared" si="1"/>
        <v/>
      </c>
      <c r="AG53" s="4" t="str">
        <f t="shared" si="2"/>
        <v/>
      </c>
      <c r="AH53" s="4" t="str">
        <f t="shared" si="3"/>
        <v/>
      </c>
      <c r="AI53" s="4" t="str">
        <f t="shared" si="4"/>
        <v/>
      </c>
      <c r="AJ53" s="4" t="str">
        <f t="shared" si="5"/>
        <v/>
      </c>
      <c r="AK53" s="4" t="str">
        <f t="shared" si="6"/>
        <v/>
      </c>
    </row>
    <row r="54" spans="1:37">
      <c r="A54" s="9">
        <v>53</v>
      </c>
      <c r="B54" s="9"/>
      <c r="C54" s="10"/>
      <c r="D54" s="9"/>
      <c r="E54" s="12">
        <v>1</v>
      </c>
      <c r="F54" s="11">
        <v>0</v>
      </c>
      <c r="G54" s="11">
        <v>0</v>
      </c>
      <c r="H54" s="11">
        <v>0</v>
      </c>
      <c r="I54" s="11">
        <v>0</v>
      </c>
      <c r="J54" s="11">
        <v>0</v>
      </c>
      <c r="K54" s="11">
        <v>0</v>
      </c>
      <c r="L54" s="11">
        <v>0</v>
      </c>
      <c r="M54" s="11">
        <v>0</v>
      </c>
      <c r="N54" s="11">
        <v>0</v>
      </c>
      <c r="O54" s="11">
        <v>0</v>
      </c>
      <c r="P54" s="11">
        <v>0</v>
      </c>
      <c r="Q54" s="11">
        <v>0</v>
      </c>
      <c r="R54" s="14" t="s">
        <v>1083</v>
      </c>
      <c r="S54" s="14" t="s">
        <v>1083</v>
      </c>
      <c r="T54" s="14" t="s">
        <v>1083</v>
      </c>
      <c r="U54" s="14" t="s">
        <v>1083</v>
      </c>
      <c r="V54" s="14" t="s">
        <v>1083</v>
      </c>
      <c r="W54" s="14" t="s">
        <v>1083</v>
      </c>
      <c r="X54" s="14" t="s">
        <v>1083</v>
      </c>
      <c r="Y54" s="14" t="s">
        <v>1083</v>
      </c>
      <c r="Z54" s="14" t="s">
        <v>1083</v>
      </c>
      <c r="AA54" s="14" t="s">
        <v>1083</v>
      </c>
      <c r="AB54" s="14" t="s">
        <v>1083</v>
      </c>
      <c r="AC54" s="14" t="s">
        <v>1083</v>
      </c>
      <c r="AE54" s="4" t="str">
        <f t="shared" si="0"/>
        <v/>
      </c>
      <c r="AF54" s="4" t="str">
        <f t="shared" si="1"/>
        <v/>
      </c>
      <c r="AG54" s="4" t="str">
        <f t="shared" si="2"/>
        <v/>
      </c>
      <c r="AH54" s="4" t="str">
        <f t="shared" si="3"/>
        <v/>
      </c>
      <c r="AI54" s="4" t="str">
        <f t="shared" si="4"/>
        <v/>
      </c>
      <c r="AJ54" s="4" t="str">
        <f t="shared" si="5"/>
        <v/>
      </c>
      <c r="AK54" s="4" t="str">
        <f t="shared" si="6"/>
        <v/>
      </c>
    </row>
    <row r="55" spans="1:37">
      <c r="A55" s="9">
        <v>54</v>
      </c>
      <c r="B55" s="9"/>
      <c r="C55" s="10"/>
      <c r="D55" s="9"/>
      <c r="E55" s="12">
        <v>1</v>
      </c>
      <c r="F55" s="11">
        <v>0</v>
      </c>
      <c r="G55" s="11">
        <v>0</v>
      </c>
      <c r="H55" s="11">
        <v>0</v>
      </c>
      <c r="I55" s="11">
        <v>0</v>
      </c>
      <c r="J55" s="11">
        <v>0</v>
      </c>
      <c r="K55" s="11">
        <v>0</v>
      </c>
      <c r="L55" s="11">
        <v>0</v>
      </c>
      <c r="M55" s="11">
        <v>0</v>
      </c>
      <c r="N55" s="11">
        <v>0</v>
      </c>
      <c r="O55" s="11">
        <v>0</v>
      </c>
      <c r="P55" s="11">
        <v>0</v>
      </c>
      <c r="Q55" s="11">
        <v>0</v>
      </c>
      <c r="R55" s="14" t="s">
        <v>1083</v>
      </c>
      <c r="S55" s="14" t="s">
        <v>1083</v>
      </c>
      <c r="T55" s="14" t="s">
        <v>1083</v>
      </c>
      <c r="U55" s="14" t="s">
        <v>1083</v>
      </c>
      <c r="V55" s="14" t="s">
        <v>1083</v>
      </c>
      <c r="W55" s="14" t="s">
        <v>1083</v>
      </c>
      <c r="X55" s="14" t="s">
        <v>1083</v>
      </c>
      <c r="Y55" s="14" t="s">
        <v>1083</v>
      </c>
      <c r="Z55" s="14" t="s">
        <v>1083</v>
      </c>
      <c r="AA55" s="14" t="s">
        <v>1083</v>
      </c>
      <c r="AB55" s="14" t="s">
        <v>1083</v>
      </c>
      <c r="AC55" s="14" t="s">
        <v>1083</v>
      </c>
      <c r="AE55" s="4" t="str">
        <f t="shared" si="0"/>
        <v/>
      </c>
      <c r="AF55" s="4" t="str">
        <f t="shared" si="1"/>
        <v/>
      </c>
      <c r="AG55" s="4" t="str">
        <f t="shared" si="2"/>
        <v/>
      </c>
      <c r="AH55" s="4" t="str">
        <f t="shared" si="3"/>
        <v/>
      </c>
      <c r="AI55" s="4" t="str">
        <f t="shared" si="4"/>
        <v/>
      </c>
      <c r="AJ55" s="4" t="str">
        <f t="shared" si="5"/>
        <v/>
      </c>
      <c r="AK55" s="4" t="str">
        <f t="shared" si="6"/>
        <v/>
      </c>
    </row>
    <row r="56" spans="1:37">
      <c r="A56" s="9">
        <v>55</v>
      </c>
      <c r="B56" s="9"/>
      <c r="C56" s="10"/>
      <c r="D56" s="9"/>
      <c r="E56" s="12">
        <v>1</v>
      </c>
      <c r="F56" s="11">
        <v>0</v>
      </c>
      <c r="G56" s="11">
        <v>0</v>
      </c>
      <c r="H56" s="11">
        <v>0</v>
      </c>
      <c r="I56" s="11">
        <v>0</v>
      </c>
      <c r="J56" s="11">
        <v>0</v>
      </c>
      <c r="K56" s="11">
        <v>0</v>
      </c>
      <c r="L56" s="11">
        <v>0</v>
      </c>
      <c r="M56" s="11">
        <v>0</v>
      </c>
      <c r="N56" s="11">
        <v>0</v>
      </c>
      <c r="O56" s="11">
        <v>0</v>
      </c>
      <c r="P56" s="11">
        <v>0</v>
      </c>
      <c r="Q56" s="11">
        <v>0</v>
      </c>
      <c r="R56" s="14" t="s">
        <v>1083</v>
      </c>
      <c r="S56" s="14" t="s">
        <v>1083</v>
      </c>
      <c r="T56" s="14" t="s">
        <v>1083</v>
      </c>
      <c r="U56" s="14" t="s">
        <v>1083</v>
      </c>
      <c r="V56" s="14" t="s">
        <v>1083</v>
      </c>
      <c r="W56" s="14" t="s">
        <v>1083</v>
      </c>
      <c r="X56" s="14" t="s">
        <v>1083</v>
      </c>
      <c r="Y56" s="14" t="s">
        <v>1083</v>
      </c>
      <c r="Z56" s="14" t="s">
        <v>1083</v>
      </c>
      <c r="AA56" s="14" t="s">
        <v>1083</v>
      </c>
      <c r="AB56" s="14" t="s">
        <v>1083</v>
      </c>
      <c r="AC56" s="14" t="s">
        <v>1083</v>
      </c>
      <c r="AE56" s="4" t="str">
        <f t="shared" si="0"/>
        <v/>
      </c>
      <c r="AF56" s="4" t="str">
        <f t="shared" si="1"/>
        <v/>
      </c>
      <c r="AG56" s="4" t="str">
        <f t="shared" si="2"/>
        <v/>
      </c>
      <c r="AH56" s="4" t="str">
        <f t="shared" si="3"/>
        <v/>
      </c>
      <c r="AI56" s="4" t="str">
        <f t="shared" si="4"/>
        <v/>
      </c>
      <c r="AJ56" s="4" t="str">
        <f t="shared" si="5"/>
        <v/>
      </c>
      <c r="AK56" s="4" t="str">
        <f t="shared" si="6"/>
        <v/>
      </c>
    </row>
    <row r="57" spans="1:37">
      <c r="A57" s="9">
        <v>56</v>
      </c>
      <c r="B57" s="9"/>
      <c r="C57" s="10"/>
      <c r="D57" s="9"/>
      <c r="E57" s="12">
        <v>1</v>
      </c>
      <c r="F57" s="11">
        <v>0</v>
      </c>
      <c r="G57" s="11">
        <v>0</v>
      </c>
      <c r="H57" s="11">
        <v>0</v>
      </c>
      <c r="I57" s="11">
        <v>0</v>
      </c>
      <c r="J57" s="11">
        <v>0</v>
      </c>
      <c r="K57" s="11">
        <v>0</v>
      </c>
      <c r="L57" s="11">
        <v>0</v>
      </c>
      <c r="M57" s="11">
        <v>0</v>
      </c>
      <c r="N57" s="11">
        <v>0</v>
      </c>
      <c r="O57" s="11">
        <v>0</v>
      </c>
      <c r="P57" s="11">
        <v>0</v>
      </c>
      <c r="Q57" s="11">
        <v>0</v>
      </c>
      <c r="R57" s="14" t="s">
        <v>1083</v>
      </c>
      <c r="S57" s="14" t="s">
        <v>1083</v>
      </c>
      <c r="T57" s="14" t="s">
        <v>1083</v>
      </c>
      <c r="U57" s="14" t="s">
        <v>1083</v>
      </c>
      <c r="V57" s="14" t="s">
        <v>1083</v>
      </c>
      <c r="W57" s="14" t="s">
        <v>1083</v>
      </c>
      <c r="X57" s="14" t="s">
        <v>1083</v>
      </c>
      <c r="Y57" s="14" t="s">
        <v>1083</v>
      </c>
      <c r="Z57" s="14" t="s">
        <v>1083</v>
      </c>
      <c r="AA57" s="14" t="s">
        <v>1083</v>
      </c>
      <c r="AB57" s="14" t="s">
        <v>1083</v>
      </c>
      <c r="AC57" s="14" t="s">
        <v>1083</v>
      </c>
      <c r="AE57" s="4" t="str">
        <f t="shared" si="0"/>
        <v/>
      </c>
      <c r="AF57" s="4" t="str">
        <f t="shared" si="1"/>
        <v/>
      </c>
      <c r="AG57" s="4" t="str">
        <f t="shared" si="2"/>
        <v/>
      </c>
      <c r="AH57" s="4" t="str">
        <f t="shared" si="3"/>
        <v/>
      </c>
      <c r="AI57" s="4" t="str">
        <f t="shared" si="4"/>
        <v/>
      </c>
      <c r="AJ57" s="4" t="str">
        <f t="shared" si="5"/>
        <v/>
      </c>
      <c r="AK57" s="4" t="str">
        <f t="shared" si="6"/>
        <v/>
      </c>
    </row>
    <row r="58" spans="1:37">
      <c r="A58" s="9">
        <v>57</v>
      </c>
      <c r="B58" s="9"/>
      <c r="C58" s="10"/>
      <c r="D58" s="9"/>
      <c r="E58" s="12">
        <v>1</v>
      </c>
      <c r="F58" s="11">
        <v>0</v>
      </c>
      <c r="G58" s="11">
        <v>0</v>
      </c>
      <c r="H58" s="11">
        <v>0</v>
      </c>
      <c r="I58" s="11">
        <v>0</v>
      </c>
      <c r="J58" s="11">
        <v>0</v>
      </c>
      <c r="K58" s="11">
        <v>0</v>
      </c>
      <c r="L58" s="11">
        <v>0</v>
      </c>
      <c r="M58" s="11">
        <v>0</v>
      </c>
      <c r="N58" s="11">
        <v>0</v>
      </c>
      <c r="O58" s="11">
        <v>0</v>
      </c>
      <c r="P58" s="11">
        <v>0</v>
      </c>
      <c r="Q58" s="11">
        <v>0</v>
      </c>
      <c r="R58" s="14" t="s">
        <v>1083</v>
      </c>
      <c r="S58" s="14" t="s">
        <v>1083</v>
      </c>
      <c r="T58" s="14" t="s">
        <v>1083</v>
      </c>
      <c r="U58" s="14" t="s">
        <v>1083</v>
      </c>
      <c r="V58" s="14" t="s">
        <v>1083</v>
      </c>
      <c r="W58" s="14" t="s">
        <v>1083</v>
      </c>
      <c r="X58" s="14" t="s">
        <v>1083</v>
      </c>
      <c r="Y58" s="14" t="s">
        <v>1083</v>
      </c>
      <c r="Z58" s="14" t="s">
        <v>1083</v>
      </c>
      <c r="AA58" s="14" t="s">
        <v>1083</v>
      </c>
      <c r="AB58" s="14" t="s">
        <v>1083</v>
      </c>
      <c r="AC58" s="14" t="s">
        <v>1083</v>
      </c>
      <c r="AE58" s="4" t="str">
        <f t="shared" si="0"/>
        <v/>
      </c>
      <c r="AF58" s="4" t="str">
        <f t="shared" si="1"/>
        <v/>
      </c>
      <c r="AG58" s="4" t="str">
        <f t="shared" si="2"/>
        <v/>
      </c>
      <c r="AH58" s="4" t="str">
        <f t="shared" si="3"/>
        <v/>
      </c>
      <c r="AI58" s="4" t="str">
        <f t="shared" si="4"/>
        <v/>
      </c>
      <c r="AJ58" s="4" t="str">
        <f t="shared" si="5"/>
        <v/>
      </c>
      <c r="AK58" s="4" t="str">
        <f t="shared" si="6"/>
        <v/>
      </c>
    </row>
    <row r="59" spans="1:37">
      <c r="A59" s="9">
        <v>58</v>
      </c>
      <c r="B59" s="9"/>
      <c r="C59" s="10"/>
      <c r="D59" s="9"/>
      <c r="E59" s="12">
        <v>1</v>
      </c>
      <c r="F59" s="11">
        <v>0</v>
      </c>
      <c r="G59" s="11">
        <v>0</v>
      </c>
      <c r="H59" s="11">
        <v>0</v>
      </c>
      <c r="I59" s="11">
        <v>0</v>
      </c>
      <c r="J59" s="11">
        <v>0</v>
      </c>
      <c r="K59" s="11">
        <v>0</v>
      </c>
      <c r="L59" s="11">
        <v>0</v>
      </c>
      <c r="M59" s="11">
        <v>0</v>
      </c>
      <c r="N59" s="11">
        <v>0</v>
      </c>
      <c r="O59" s="11">
        <v>0</v>
      </c>
      <c r="P59" s="11">
        <v>0</v>
      </c>
      <c r="Q59" s="11">
        <v>0</v>
      </c>
      <c r="R59" s="14" t="s">
        <v>1083</v>
      </c>
      <c r="S59" s="14" t="s">
        <v>1083</v>
      </c>
      <c r="T59" s="14" t="s">
        <v>1083</v>
      </c>
      <c r="U59" s="14" t="s">
        <v>1083</v>
      </c>
      <c r="V59" s="14" t="s">
        <v>1083</v>
      </c>
      <c r="W59" s="14" t="s">
        <v>1083</v>
      </c>
      <c r="X59" s="14" t="s">
        <v>1083</v>
      </c>
      <c r="Y59" s="14" t="s">
        <v>1083</v>
      </c>
      <c r="Z59" s="14" t="s">
        <v>1083</v>
      </c>
      <c r="AA59" s="14" t="s">
        <v>1083</v>
      </c>
      <c r="AB59" s="14" t="s">
        <v>1083</v>
      </c>
      <c r="AC59" s="14" t="s">
        <v>1083</v>
      </c>
      <c r="AE59" s="4" t="str">
        <f t="shared" si="0"/>
        <v/>
      </c>
      <c r="AF59" s="4" t="str">
        <f t="shared" si="1"/>
        <v/>
      </c>
      <c r="AG59" s="4" t="str">
        <f t="shared" si="2"/>
        <v/>
      </c>
      <c r="AH59" s="4" t="str">
        <f t="shared" si="3"/>
        <v/>
      </c>
      <c r="AI59" s="4" t="str">
        <f t="shared" si="4"/>
        <v/>
      </c>
      <c r="AJ59" s="4" t="str">
        <f t="shared" si="5"/>
        <v/>
      </c>
      <c r="AK59" s="4" t="str">
        <f t="shared" si="6"/>
        <v/>
      </c>
    </row>
    <row r="60" spans="1:37">
      <c r="A60" s="9">
        <v>59</v>
      </c>
      <c r="B60" s="9"/>
      <c r="C60" s="10"/>
      <c r="D60" s="9"/>
      <c r="E60" s="12">
        <v>1</v>
      </c>
      <c r="F60" s="11">
        <v>0</v>
      </c>
      <c r="G60" s="11">
        <v>0</v>
      </c>
      <c r="H60" s="11">
        <v>0</v>
      </c>
      <c r="I60" s="11">
        <v>0</v>
      </c>
      <c r="J60" s="11">
        <v>0</v>
      </c>
      <c r="K60" s="11">
        <v>0</v>
      </c>
      <c r="L60" s="11">
        <v>0</v>
      </c>
      <c r="M60" s="11">
        <v>0</v>
      </c>
      <c r="N60" s="11">
        <v>0</v>
      </c>
      <c r="O60" s="11">
        <v>0</v>
      </c>
      <c r="P60" s="11">
        <v>0</v>
      </c>
      <c r="Q60" s="11">
        <v>0</v>
      </c>
      <c r="R60" s="14" t="s">
        <v>1083</v>
      </c>
      <c r="S60" s="14" t="s">
        <v>1083</v>
      </c>
      <c r="T60" s="14" t="s">
        <v>1083</v>
      </c>
      <c r="U60" s="14" t="s">
        <v>1083</v>
      </c>
      <c r="V60" s="14" t="s">
        <v>1083</v>
      </c>
      <c r="W60" s="14" t="s">
        <v>1083</v>
      </c>
      <c r="X60" s="14" t="s">
        <v>1083</v>
      </c>
      <c r="Y60" s="14" t="s">
        <v>1083</v>
      </c>
      <c r="Z60" s="14" t="s">
        <v>1083</v>
      </c>
      <c r="AA60" s="14" t="s">
        <v>1083</v>
      </c>
      <c r="AB60" s="14" t="s">
        <v>1083</v>
      </c>
      <c r="AC60" s="14" t="s">
        <v>1083</v>
      </c>
      <c r="AE60" s="4" t="str">
        <f t="shared" si="0"/>
        <v/>
      </c>
      <c r="AF60" s="4" t="str">
        <f t="shared" si="1"/>
        <v/>
      </c>
      <c r="AG60" s="4" t="str">
        <f t="shared" si="2"/>
        <v/>
      </c>
      <c r="AH60" s="4" t="str">
        <f t="shared" si="3"/>
        <v/>
      </c>
      <c r="AI60" s="4" t="str">
        <f t="shared" si="4"/>
        <v/>
      </c>
      <c r="AJ60" s="4" t="str">
        <f t="shared" si="5"/>
        <v/>
      </c>
      <c r="AK60" s="4" t="str">
        <f t="shared" si="6"/>
        <v/>
      </c>
    </row>
  </sheetData>
  <autoFilter ref="A1:AC48" xr:uid="{B93DC578-2EEA-48CF-9EFD-E294C2F4F9E2}"/>
  <conditionalFormatting sqref="F2:Q60">
    <cfRule type="cellIs" dxfId="1" priority="1" operator="equal">
      <formula>1</formula>
    </cfRule>
    <cfRule type="cellIs" dxfId="0" priority="2" operator="equal">
      <formula>0</formula>
    </cfRule>
  </conditionalFormatting>
  <hyperlinks>
    <hyperlink ref="Z18" r:id="rId1" xr:uid="{A036A5ED-9977-4ADC-ACAC-863839E3A73F}"/>
    <hyperlink ref="U17" r:id="rId2" xr:uid="{3D76440B-DB1D-4A96-A329-B2E05A61B28D}"/>
    <hyperlink ref="U31" r:id="rId3" xr:uid="{FED77476-3F3B-4268-ADD6-760E3385FC38}"/>
    <hyperlink ref="U45" r:id="rId4" xr:uid="{876472B8-425C-44AE-9B8F-7C9E6ED5E9E1}"/>
    <hyperlink ref="U2" r:id="rId5" xr:uid="{B58C7C2F-2F3D-427D-87BF-2D146F134BD9}"/>
    <hyperlink ref="U14" r:id="rId6" xr:uid="{23023A60-E45D-4B07-ACA9-1EF6705CC980}"/>
    <hyperlink ref="U16" r:id="rId7" xr:uid="{D9EB504E-8F69-4332-A9E2-F5D1CEBA8B71}"/>
    <hyperlink ref="U34" r:id="rId8" xr:uid="{0E499D0D-1749-4E05-B850-2D0F77BBE5FF}"/>
    <hyperlink ref="U35" r:id="rId9" xr:uid="{B6ED1C37-5C44-45F0-8AE7-720FBF9292F0}"/>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8"/>
  <sheetViews>
    <sheetView workbookViewId="0">
      <selection activeCell="B5" sqref="B5"/>
    </sheetView>
  </sheetViews>
  <sheetFormatPr defaultRowHeight="13.5"/>
  <cols>
    <col min="1" max="1" width="32" customWidth="1"/>
    <col min="2" max="2" width="12" customWidth="1"/>
    <col min="3" max="3" width="26" customWidth="1"/>
    <col min="4" max="4" width="12" customWidth="1"/>
    <col min="5" max="5" width="16" customWidth="1"/>
    <col min="6" max="6" width="34" customWidth="1"/>
    <col min="7" max="7" width="36" customWidth="1"/>
    <col min="8" max="8" width="24" customWidth="1"/>
    <col min="9" max="9" width="16" customWidth="1"/>
    <col min="10" max="10" width="22" customWidth="1"/>
    <col min="11" max="11" width="18" customWidth="1"/>
    <col min="12" max="12" width="24" customWidth="1"/>
    <col min="13" max="13" width="34" customWidth="1"/>
    <col min="14" max="14" width="101.875" bestFit="1" customWidth="1"/>
  </cols>
  <sheetData>
    <row r="1" spans="1:14" ht="14.25">
      <c r="A1" s="1" t="s">
        <v>49</v>
      </c>
      <c r="B1" s="1" t="s">
        <v>50</v>
      </c>
      <c r="C1" s="1" t="s">
        <v>51</v>
      </c>
      <c r="D1" s="1" t="s">
        <v>52</v>
      </c>
      <c r="E1" s="1" t="s">
        <v>53</v>
      </c>
      <c r="F1" s="1" t="s">
        <v>54</v>
      </c>
      <c r="G1" s="1" t="s">
        <v>55</v>
      </c>
      <c r="H1" s="1" t="s">
        <v>56</v>
      </c>
      <c r="I1" s="1" t="s">
        <v>57</v>
      </c>
      <c r="J1" s="1" t="s">
        <v>58</v>
      </c>
      <c r="K1" s="1" t="s">
        <v>59</v>
      </c>
      <c r="L1" s="1" t="s">
        <v>60</v>
      </c>
      <c r="M1" s="1" t="s">
        <v>61</v>
      </c>
      <c r="N1" s="2" t="s">
        <v>62</v>
      </c>
    </row>
    <row r="2" spans="1:14" ht="14.25">
      <c r="A2" s="3" t="s">
        <v>307</v>
      </c>
      <c r="B2" s="3" t="s">
        <v>308</v>
      </c>
      <c r="C2" s="3" t="s">
        <v>151</v>
      </c>
      <c r="D2" s="3">
        <v>2.9</v>
      </c>
      <c r="E2" s="3" t="s">
        <v>309</v>
      </c>
      <c r="F2" s="3" t="s">
        <v>310</v>
      </c>
      <c r="G2" s="3" t="s">
        <v>311</v>
      </c>
      <c r="H2" s="3" t="s">
        <v>312</v>
      </c>
      <c r="I2" s="3">
        <v>5</v>
      </c>
      <c r="J2" s="3" t="s">
        <v>70</v>
      </c>
      <c r="K2" s="3" t="s">
        <v>136</v>
      </c>
      <c r="L2" s="3" t="s">
        <v>183</v>
      </c>
      <c r="M2" s="3" t="s">
        <v>73</v>
      </c>
      <c r="N2" s="3" t="s">
        <v>311</v>
      </c>
    </row>
    <row r="3" spans="1:14" ht="14.25">
      <c r="A3" s="3" t="s">
        <v>75</v>
      </c>
      <c r="B3" s="3" t="s">
        <v>76</v>
      </c>
      <c r="C3" s="3" t="s">
        <v>77</v>
      </c>
      <c r="D3" s="3">
        <v>1</v>
      </c>
      <c r="E3" s="3" t="s">
        <v>78</v>
      </c>
      <c r="F3" s="3" t="s">
        <v>79</v>
      </c>
      <c r="G3" s="3" t="s">
        <v>80</v>
      </c>
      <c r="H3" s="3" t="s">
        <v>66</v>
      </c>
      <c r="I3" s="3">
        <v>5</v>
      </c>
      <c r="J3" s="3" t="s">
        <v>70</v>
      </c>
      <c r="K3" s="3" t="s">
        <v>81</v>
      </c>
      <c r="L3" s="3" t="s">
        <v>82</v>
      </c>
      <c r="M3" s="3" t="s">
        <v>83</v>
      </c>
      <c r="N3" s="3" t="s">
        <v>80</v>
      </c>
    </row>
    <row r="4" spans="1:14" ht="14.25">
      <c r="A4" s="3" t="s">
        <v>131</v>
      </c>
      <c r="B4" s="3" t="s">
        <v>132</v>
      </c>
      <c r="C4" s="3" t="s">
        <v>133</v>
      </c>
      <c r="D4" s="3">
        <v>1.7</v>
      </c>
      <c r="E4" s="3" t="s">
        <v>78</v>
      </c>
      <c r="F4" s="3" t="s">
        <v>134</v>
      </c>
      <c r="G4" s="3" t="s">
        <v>135</v>
      </c>
      <c r="H4" s="3" t="s">
        <v>66</v>
      </c>
      <c r="I4" s="3">
        <v>4</v>
      </c>
      <c r="J4" s="3" t="s">
        <v>70</v>
      </c>
      <c r="K4" s="3" t="s">
        <v>136</v>
      </c>
      <c r="L4" s="3" t="s">
        <v>82</v>
      </c>
      <c r="M4" s="3" t="s">
        <v>83</v>
      </c>
      <c r="N4" s="3" t="s">
        <v>135</v>
      </c>
    </row>
    <row r="5" spans="1:14" ht="14.25">
      <c r="A5" s="3" t="s">
        <v>144</v>
      </c>
      <c r="B5" s="3" t="s">
        <v>145</v>
      </c>
      <c r="C5" s="3" t="s">
        <v>146</v>
      </c>
      <c r="D5" s="3">
        <v>1.1000000000000001</v>
      </c>
      <c r="E5" s="3" t="s">
        <v>78</v>
      </c>
      <c r="F5" s="3" t="s">
        <v>147</v>
      </c>
      <c r="G5" s="3" t="s">
        <v>148</v>
      </c>
      <c r="H5" s="3" t="s">
        <v>66</v>
      </c>
      <c r="I5" s="3">
        <v>4</v>
      </c>
      <c r="J5" s="3" t="s">
        <v>70</v>
      </c>
      <c r="K5" s="3" t="s">
        <v>81</v>
      </c>
      <c r="L5" s="3" t="s">
        <v>82</v>
      </c>
      <c r="M5" s="3" t="s">
        <v>83</v>
      </c>
      <c r="N5" s="3" t="s">
        <v>148</v>
      </c>
    </row>
    <row r="6" spans="1:14" ht="14.25">
      <c r="A6" s="3" t="s">
        <v>158</v>
      </c>
      <c r="B6" s="3" t="s">
        <v>159</v>
      </c>
      <c r="C6" s="3" t="s">
        <v>160</v>
      </c>
      <c r="D6" s="3">
        <v>4.5999999999999996</v>
      </c>
      <c r="E6" s="3" t="s">
        <v>78</v>
      </c>
      <c r="F6" s="3" t="s">
        <v>161</v>
      </c>
      <c r="G6" s="3" t="s">
        <v>162</v>
      </c>
      <c r="H6" s="3" t="s">
        <v>66</v>
      </c>
      <c r="I6" s="3">
        <v>5</v>
      </c>
      <c r="J6" s="3" t="s">
        <v>70</v>
      </c>
      <c r="K6" s="3" t="s">
        <v>136</v>
      </c>
      <c r="L6" s="3" t="s">
        <v>82</v>
      </c>
      <c r="M6" s="3" t="s">
        <v>83</v>
      </c>
      <c r="N6" s="3" t="s">
        <v>162</v>
      </c>
    </row>
    <row r="7" spans="1:14" ht="14.25">
      <c r="A7" s="3" t="s">
        <v>163</v>
      </c>
      <c r="B7" s="3" t="s">
        <v>164</v>
      </c>
      <c r="C7" s="3" t="s">
        <v>165</v>
      </c>
      <c r="D7" s="3">
        <v>3.7</v>
      </c>
      <c r="E7" s="3" t="s">
        <v>78</v>
      </c>
      <c r="F7" s="3" t="s">
        <v>166</v>
      </c>
      <c r="G7" s="3" t="s">
        <v>167</v>
      </c>
      <c r="H7" s="3" t="s">
        <v>168</v>
      </c>
      <c r="I7" s="3">
        <v>5</v>
      </c>
      <c r="J7" s="3" t="s">
        <v>70</v>
      </c>
      <c r="K7" s="3" t="s">
        <v>136</v>
      </c>
      <c r="L7" s="3" t="s">
        <v>82</v>
      </c>
      <c r="M7" s="3" t="s">
        <v>83</v>
      </c>
      <c r="N7" s="3" t="s">
        <v>167</v>
      </c>
    </row>
    <row r="8" spans="1:14" ht="14.25">
      <c r="A8" s="3" t="s">
        <v>178</v>
      </c>
      <c r="B8" s="3" t="s">
        <v>179</v>
      </c>
      <c r="C8" s="3" t="s">
        <v>133</v>
      </c>
      <c r="D8" s="3">
        <v>2.9</v>
      </c>
      <c r="E8" s="3" t="s">
        <v>78</v>
      </c>
      <c r="F8" s="3" t="s">
        <v>180</v>
      </c>
      <c r="G8" s="3" t="s">
        <v>181</v>
      </c>
      <c r="H8" s="3" t="s">
        <v>66</v>
      </c>
      <c r="I8" s="3">
        <v>5</v>
      </c>
      <c r="J8" s="3" t="s">
        <v>182</v>
      </c>
      <c r="K8" s="3" t="s">
        <v>97</v>
      </c>
      <c r="L8" s="3" t="s">
        <v>183</v>
      </c>
      <c r="M8" s="3" t="s">
        <v>184</v>
      </c>
      <c r="N8" s="3" t="s">
        <v>181</v>
      </c>
    </row>
    <row r="9" spans="1:14" ht="14.25">
      <c r="A9" s="3" t="s">
        <v>278</v>
      </c>
      <c r="B9" s="3" t="s">
        <v>279</v>
      </c>
      <c r="C9" s="3" t="s">
        <v>133</v>
      </c>
      <c r="D9" s="3">
        <v>1</v>
      </c>
      <c r="E9" s="3" t="s">
        <v>78</v>
      </c>
      <c r="F9" s="3" t="s">
        <v>280</v>
      </c>
      <c r="G9" s="3" t="s">
        <v>281</v>
      </c>
      <c r="H9" s="3" t="s">
        <v>66</v>
      </c>
      <c r="I9" s="3">
        <v>5</v>
      </c>
      <c r="J9" s="3" t="s">
        <v>70</v>
      </c>
      <c r="K9" s="3" t="s">
        <v>97</v>
      </c>
      <c r="L9" s="3" t="s">
        <v>82</v>
      </c>
      <c r="M9" s="3" t="s">
        <v>83</v>
      </c>
      <c r="N9" s="3" t="s">
        <v>281</v>
      </c>
    </row>
    <row r="10" spans="1:14" ht="14.25">
      <c r="A10" s="3" t="s">
        <v>339</v>
      </c>
      <c r="B10" s="3" t="s">
        <v>340</v>
      </c>
      <c r="C10" s="3" t="s">
        <v>341</v>
      </c>
      <c r="D10" s="3">
        <v>1.2</v>
      </c>
      <c r="E10" s="3" t="s">
        <v>78</v>
      </c>
      <c r="F10" s="3" t="s">
        <v>342</v>
      </c>
      <c r="G10" s="3" t="s">
        <v>343</v>
      </c>
      <c r="H10" s="3" t="s">
        <v>66</v>
      </c>
      <c r="I10" s="3">
        <v>5</v>
      </c>
      <c r="J10" s="3" t="s">
        <v>70</v>
      </c>
      <c r="K10" s="3" t="s">
        <v>136</v>
      </c>
      <c r="L10" s="3" t="s">
        <v>82</v>
      </c>
      <c r="M10" s="3" t="s">
        <v>83</v>
      </c>
      <c r="N10" s="3" t="s">
        <v>343</v>
      </c>
    </row>
    <row r="11" spans="1:14" ht="14.25">
      <c r="A11" s="3" t="s">
        <v>370</v>
      </c>
      <c r="B11" s="3" t="s">
        <v>371</v>
      </c>
      <c r="C11" s="3" t="s">
        <v>133</v>
      </c>
      <c r="D11" s="3">
        <v>1.7</v>
      </c>
      <c r="E11" s="3" t="s">
        <v>78</v>
      </c>
      <c r="F11" s="3" t="s">
        <v>372</v>
      </c>
      <c r="G11" s="3" t="s">
        <v>373</v>
      </c>
      <c r="H11" s="3" t="s">
        <v>66</v>
      </c>
      <c r="I11" s="3">
        <v>5</v>
      </c>
      <c r="J11" s="3" t="s">
        <v>70</v>
      </c>
      <c r="K11" s="3" t="s">
        <v>136</v>
      </c>
      <c r="L11" s="3" t="s">
        <v>82</v>
      </c>
      <c r="M11" s="3" t="s">
        <v>83</v>
      </c>
      <c r="N11" s="3" t="s">
        <v>373</v>
      </c>
    </row>
    <row r="12" spans="1:14" ht="14.25">
      <c r="A12" s="3" t="s">
        <v>407</v>
      </c>
      <c r="B12" s="3" t="s">
        <v>408</v>
      </c>
      <c r="C12" s="3" t="s">
        <v>409</v>
      </c>
      <c r="D12" s="3">
        <v>3.8</v>
      </c>
      <c r="E12" s="3" t="s">
        <v>78</v>
      </c>
      <c r="F12" s="3" t="s">
        <v>410</v>
      </c>
      <c r="G12" s="3" t="s">
        <v>411</v>
      </c>
      <c r="H12" s="3" t="s">
        <v>66</v>
      </c>
      <c r="I12" s="3">
        <v>4</v>
      </c>
      <c r="J12" s="3" t="s">
        <v>70</v>
      </c>
      <c r="K12" s="3" t="s">
        <v>81</v>
      </c>
      <c r="L12" s="3" t="s">
        <v>82</v>
      </c>
      <c r="M12" s="3" t="s">
        <v>83</v>
      </c>
      <c r="N12" s="3" t="s">
        <v>411</v>
      </c>
    </row>
    <row r="13" spans="1:14" ht="14.25">
      <c r="A13" s="3" t="s">
        <v>453</v>
      </c>
      <c r="B13" s="3" t="s">
        <v>454</v>
      </c>
      <c r="C13" s="3" t="s">
        <v>133</v>
      </c>
      <c r="D13" s="3">
        <v>5.5</v>
      </c>
      <c r="E13" s="3" t="s">
        <v>78</v>
      </c>
      <c r="F13" s="3" t="s">
        <v>455</v>
      </c>
      <c r="G13" s="3" t="s">
        <v>456</v>
      </c>
      <c r="H13" s="3" t="s">
        <v>66</v>
      </c>
      <c r="I13" s="3">
        <v>5</v>
      </c>
      <c r="J13" s="3" t="s">
        <v>70</v>
      </c>
      <c r="K13" s="3" t="s">
        <v>457</v>
      </c>
      <c r="L13" s="3" t="s">
        <v>82</v>
      </c>
      <c r="M13" s="3" t="s">
        <v>83</v>
      </c>
      <c r="N13" s="3" t="s">
        <v>456</v>
      </c>
    </row>
    <row r="14" spans="1:14" ht="14.25">
      <c r="A14" s="3" t="s">
        <v>469</v>
      </c>
      <c r="B14" s="3" t="s">
        <v>470</v>
      </c>
      <c r="C14" s="3" t="s">
        <v>471</v>
      </c>
      <c r="D14" s="3">
        <v>1.4</v>
      </c>
      <c r="E14" s="3" t="s">
        <v>78</v>
      </c>
      <c r="F14" s="3" t="s">
        <v>472</v>
      </c>
      <c r="G14" s="3" t="s">
        <v>473</v>
      </c>
      <c r="H14" s="3" t="s">
        <v>66</v>
      </c>
      <c r="I14" s="3">
        <v>5</v>
      </c>
      <c r="J14" s="3" t="s">
        <v>70</v>
      </c>
      <c r="K14" s="3" t="s">
        <v>136</v>
      </c>
      <c r="L14" s="3" t="s">
        <v>82</v>
      </c>
      <c r="M14" s="3" t="s">
        <v>83</v>
      </c>
      <c r="N14" s="3" t="s">
        <v>473</v>
      </c>
    </row>
    <row r="15" spans="1:14" ht="14.25">
      <c r="A15" s="3" t="s">
        <v>511</v>
      </c>
      <c r="B15" s="3" t="s">
        <v>512</v>
      </c>
      <c r="C15" s="3" t="s">
        <v>165</v>
      </c>
      <c r="D15" s="3">
        <v>2.1</v>
      </c>
      <c r="E15" s="3" t="s">
        <v>78</v>
      </c>
      <c r="F15" s="3" t="s">
        <v>513</v>
      </c>
      <c r="G15" s="3" t="s">
        <v>514</v>
      </c>
      <c r="H15" s="3" t="s">
        <v>66</v>
      </c>
      <c r="I15" s="3">
        <v>4</v>
      </c>
      <c r="J15" s="3" t="s">
        <v>70</v>
      </c>
      <c r="K15" s="3" t="s">
        <v>136</v>
      </c>
      <c r="L15" s="3" t="s">
        <v>82</v>
      </c>
      <c r="M15" s="3" t="s">
        <v>83</v>
      </c>
      <c r="N15" s="3" t="s">
        <v>514</v>
      </c>
    </row>
    <row r="16" spans="1:14" ht="14.25">
      <c r="A16" s="3" t="s">
        <v>555</v>
      </c>
      <c r="B16" s="3" t="s">
        <v>556</v>
      </c>
      <c r="C16" s="3" t="s">
        <v>557</v>
      </c>
      <c r="D16" s="3">
        <v>4.3</v>
      </c>
      <c r="E16" s="3" t="s">
        <v>78</v>
      </c>
      <c r="F16" s="3" t="s">
        <v>558</v>
      </c>
      <c r="G16" s="3" t="s">
        <v>559</v>
      </c>
      <c r="H16" s="3" t="s">
        <v>560</v>
      </c>
      <c r="I16" s="3">
        <v>4</v>
      </c>
      <c r="J16" s="3" t="s">
        <v>70</v>
      </c>
      <c r="K16" s="3" t="s">
        <v>136</v>
      </c>
      <c r="L16" s="3" t="s">
        <v>82</v>
      </c>
      <c r="M16" s="3" t="s">
        <v>83</v>
      </c>
      <c r="N16" s="3" t="s">
        <v>559</v>
      </c>
    </row>
    <row r="17" spans="1:14" ht="14.25">
      <c r="A17" s="3" t="s">
        <v>567</v>
      </c>
      <c r="B17" s="3" t="s">
        <v>568</v>
      </c>
      <c r="C17" s="3" t="s">
        <v>569</v>
      </c>
      <c r="D17" s="3">
        <v>2.2000000000000002</v>
      </c>
      <c r="E17" s="3" t="s">
        <v>78</v>
      </c>
      <c r="F17" s="3" t="s">
        <v>570</v>
      </c>
      <c r="G17" s="3" t="s">
        <v>571</v>
      </c>
      <c r="H17" s="3" t="s">
        <v>66</v>
      </c>
      <c r="I17" s="3">
        <v>4</v>
      </c>
      <c r="J17" s="3" t="s">
        <v>70</v>
      </c>
      <c r="K17" s="3" t="s">
        <v>81</v>
      </c>
      <c r="L17" s="3" t="s">
        <v>82</v>
      </c>
      <c r="M17" s="3" t="s">
        <v>83</v>
      </c>
      <c r="N17" s="3" t="s">
        <v>571</v>
      </c>
    </row>
    <row r="18" spans="1:14" ht="14.25">
      <c r="A18" s="3" t="s">
        <v>669</v>
      </c>
      <c r="B18" s="3" t="s">
        <v>670</v>
      </c>
      <c r="C18" s="3" t="s">
        <v>133</v>
      </c>
      <c r="D18" s="3">
        <v>20</v>
      </c>
      <c r="E18" s="3" t="s">
        <v>78</v>
      </c>
      <c r="F18" s="3" t="s">
        <v>671</v>
      </c>
      <c r="G18" s="3" t="s">
        <v>672</v>
      </c>
      <c r="H18" s="3" t="s">
        <v>66</v>
      </c>
      <c r="I18" s="3">
        <v>4</v>
      </c>
      <c r="J18" s="3" t="s">
        <v>70</v>
      </c>
      <c r="K18" s="3" t="s">
        <v>136</v>
      </c>
      <c r="L18" s="3" t="s">
        <v>82</v>
      </c>
      <c r="M18" s="3" t="s">
        <v>83</v>
      </c>
      <c r="N18" s="3" t="s">
        <v>672</v>
      </c>
    </row>
    <row r="19" spans="1:14" ht="14.25">
      <c r="A19" s="3" t="s">
        <v>688</v>
      </c>
      <c r="B19" s="3" t="s">
        <v>689</v>
      </c>
      <c r="C19" s="3" t="s">
        <v>160</v>
      </c>
      <c r="D19" s="3">
        <v>2.8</v>
      </c>
      <c r="E19" s="3" t="s">
        <v>78</v>
      </c>
      <c r="F19" s="3" t="s">
        <v>690</v>
      </c>
      <c r="G19" s="3" t="s">
        <v>691</v>
      </c>
      <c r="H19" s="3" t="s">
        <v>66</v>
      </c>
      <c r="I19" s="3">
        <v>5</v>
      </c>
      <c r="J19" s="3" t="s">
        <v>70</v>
      </c>
      <c r="K19" s="3" t="s">
        <v>136</v>
      </c>
      <c r="L19" s="3" t="s">
        <v>82</v>
      </c>
      <c r="M19" s="3" t="s">
        <v>83</v>
      </c>
      <c r="N19" s="3" t="s">
        <v>691</v>
      </c>
    </row>
    <row r="20" spans="1:14" ht="14.25">
      <c r="A20" s="3" t="s">
        <v>707</v>
      </c>
      <c r="B20" s="3" t="s">
        <v>708</v>
      </c>
      <c r="C20" s="3" t="s">
        <v>709</v>
      </c>
      <c r="D20" s="3">
        <v>4.5999999999999996</v>
      </c>
      <c r="E20" s="3" t="s">
        <v>78</v>
      </c>
      <c r="F20" s="3" t="s">
        <v>710</v>
      </c>
      <c r="G20" s="3" t="s">
        <v>711</v>
      </c>
      <c r="H20" s="3" t="s">
        <v>712</v>
      </c>
      <c r="I20" s="3">
        <v>5</v>
      </c>
      <c r="J20" s="3" t="s">
        <v>70</v>
      </c>
      <c r="K20" s="3" t="s">
        <v>81</v>
      </c>
      <c r="L20" s="3" t="s">
        <v>82</v>
      </c>
      <c r="M20" s="3" t="s">
        <v>83</v>
      </c>
      <c r="N20" s="3" t="s">
        <v>711</v>
      </c>
    </row>
    <row r="21" spans="1:14" ht="14.25">
      <c r="A21" s="3" t="s">
        <v>713</v>
      </c>
      <c r="B21" s="3" t="s">
        <v>714</v>
      </c>
      <c r="C21" s="3" t="s">
        <v>709</v>
      </c>
      <c r="D21" s="3">
        <v>9</v>
      </c>
      <c r="E21" s="3" t="s">
        <v>78</v>
      </c>
      <c r="F21" s="3" t="s">
        <v>715</v>
      </c>
      <c r="G21" s="3" t="s">
        <v>716</v>
      </c>
      <c r="H21" s="3" t="s">
        <v>66</v>
      </c>
      <c r="I21" s="3">
        <v>4</v>
      </c>
      <c r="J21" s="3" t="s">
        <v>70</v>
      </c>
      <c r="K21" s="3" t="s">
        <v>81</v>
      </c>
      <c r="L21" s="3" t="s">
        <v>82</v>
      </c>
      <c r="M21" s="3" t="s">
        <v>83</v>
      </c>
      <c r="N21" s="3" t="s">
        <v>716</v>
      </c>
    </row>
    <row r="22" spans="1:14" ht="14.25">
      <c r="A22" s="3" t="s">
        <v>717</v>
      </c>
      <c r="B22" s="3" t="s">
        <v>718</v>
      </c>
      <c r="C22" s="3" t="s">
        <v>160</v>
      </c>
      <c r="D22" s="3">
        <v>2.6</v>
      </c>
      <c r="E22" s="3" t="s">
        <v>78</v>
      </c>
      <c r="F22" s="3" t="s">
        <v>719</v>
      </c>
      <c r="G22" s="3" t="s">
        <v>720</v>
      </c>
      <c r="H22" s="3" t="s">
        <v>66</v>
      </c>
      <c r="I22" s="3">
        <v>4</v>
      </c>
      <c r="J22" s="3" t="s">
        <v>70</v>
      </c>
      <c r="K22" s="3" t="s">
        <v>136</v>
      </c>
      <c r="L22" s="3" t="s">
        <v>82</v>
      </c>
      <c r="M22" s="3" t="s">
        <v>83</v>
      </c>
      <c r="N22" s="3" t="s">
        <v>720</v>
      </c>
    </row>
    <row r="23" spans="1:14" ht="14.25">
      <c r="A23" s="3" t="s">
        <v>721</v>
      </c>
      <c r="B23" s="3" t="s">
        <v>722</v>
      </c>
      <c r="C23" s="3" t="s">
        <v>160</v>
      </c>
      <c r="D23" s="3">
        <v>4.5</v>
      </c>
      <c r="E23" s="3" t="s">
        <v>78</v>
      </c>
      <c r="F23" s="3" t="s">
        <v>723</v>
      </c>
      <c r="G23" s="3" t="s">
        <v>724</v>
      </c>
      <c r="H23" s="3" t="s">
        <v>66</v>
      </c>
      <c r="I23" s="3">
        <v>5</v>
      </c>
      <c r="J23" s="3" t="s">
        <v>70</v>
      </c>
      <c r="K23" s="3" t="s">
        <v>136</v>
      </c>
      <c r="L23" s="3" t="s">
        <v>82</v>
      </c>
      <c r="M23" s="3" t="s">
        <v>83</v>
      </c>
      <c r="N23" s="3" t="s">
        <v>724</v>
      </c>
    </row>
    <row r="24" spans="1:14" ht="14.25">
      <c r="A24" s="3" t="s">
        <v>725</v>
      </c>
      <c r="B24" s="3" t="s">
        <v>726</v>
      </c>
      <c r="C24" s="3" t="s">
        <v>409</v>
      </c>
      <c r="D24" s="3">
        <v>29.5</v>
      </c>
      <c r="E24" s="3" t="s">
        <v>78</v>
      </c>
      <c r="F24" s="3" t="s">
        <v>727</v>
      </c>
      <c r="G24" s="3" t="s">
        <v>728</v>
      </c>
      <c r="H24" s="3" t="s">
        <v>729</v>
      </c>
      <c r="I24" s="3">
        <v>4</v>
      </c>
      <c r="J24" s="3" t="s">
        <v>70</v>
      </c>
      <c r="K24" s="3" t="s">
        <v>81</v>
      </c>
      <c r="L24" s="3" t="s">
        <v>82</v>
      </c>
      <c r="M24" s="3" t="s">
        <v>83</v>
      </c>
      <c r="N24" s="3" t="s">
        <v>728</v>
      </c>
    </row>
    <row r="25" spans="1:14" ht="14.25">
      <c r="A25" s="3" t="s">
        <v>766</v>
      </c>
      <c r="B25" s="3" t="s">
        <v>767</v>
      </c>
      <c r="C25" s="3" t="s">
        <v>160</v>
      </c>
      <c r="D25" s="3">
        <v>4.4000000000000004</v>
      </c>
      <c r="E25" s="3" t="s">
        <v>78</v>
      </c>
      <c r="F25" s="3" t="s">
        <v>768</v>
      </c>
      <c r="G25" s="3" t="s">
        <v>769</v>
      </c>
      <c r="H25" s="3" t="s">
        <v>66</v>
      </c>
      <c r="I25" s="3">
        <v>4</v>
      </c>
      <c r="J25" s="3" t="s">
        <v>70</v>
      </c>
      <c r="K25" s="3" t="s">
        <v>59</v>
      </c>
      <c r="L25" s="3" t="s">
        <v>82</v>
      </c>
      <c r="M25" s="3" t="s">
        <v>83</v>
      </c>
      <c r="N25" s="3" t="s">
        <v>769</v>
      </c>
    </row>
    <row r="26" spans="1:14" ht="14.25">
      <c r="A26" s="3" t="s">
        <v>779</v>
      </c>
      <c r="B26" s="3" t="s">
        <v>780</v>
      </c>
      <c r="C26" s="3" t="s">
        <v>709</v>
      </c>
      <c r="D26" s="3">
        <v>45</v>
      </c>
      <c r="E26" s="3" t="s">
        <v>78</v>
      </c>
      <c r="F26" s="3" t="s">
        <v>781</v>
      </c>
      <c r="G26" s="3" t="s">
        <v>782</v>
      </c>
      <c r="H26" s="3" t="s">
        <v>66</v>
      </c>
      <c r="I26" s="3">
        <v>5</v>
      </c>
      <c r="J26" s="3" t="s">
        <v>70</v>
      </c>
      <c r="K26" s="3" t="s">
        <v>81</v>
      </c>
      <c r="L26" s="3" t="s">
        <v>82</v>
      </c>
      <c r="M26" s="3" t="s">
        <v>83</v>
      </c>
      <c r="N26" s="3" t="s">
        <v>782</v>
      </c>
    </row>
    <row r="27" spans="1:14" ht="14.25">
      <c r="A27" s="3" t="s">
        <v>809</v>
      </c>
      <c r="B27" s="3" t="s">
        <v>809</v>
      </c>
      <c r="C27" s="3" t="s">
        <v>810</v>
      </c>
      <c r="D27" s="3">
        <v>50</v>
      </c>
      <c r="E27" s="3" t="s">
        <v>78</v>
      </c>
      <c r="F27" s="3" t="s">
        <v>811</v>
      </c>
      <c r="G27" s="3" t="s">
        <v>812</v>
      </c>
      <c r="H27" s="3" t="s">
        <v>66</v>
      </c>
      <c r="I27" s="3">
        <v>4</v>
      </c>
      <c r="J27" s="3" t="s">
        <v>70</v>
      </c>
      <c r="K27" s="3" t="s">
        <v>81</v>
      </c>
      <c r="L27" s="3" t="s">
        <v>82</v>
      </c>
      <c r="M27" s="3" t="s">
        <v>83</v>
      </c>
      <c r="N27" s="3" t="s">
        <v>812</v>
      </c>
    </row>
    <row r="28" spans="1:14" ht="14.25">
      <c r="A28" s="3" t="s">
        <v>885</v>
      </c>
      <c r="B28" s="3" t="s">
        <v>886</v>
      </c>
      <c r="C28" s="3" t="s">
        <v>133</v>
      </c>
      <c r="D28" s="3">
        <v>1.1000000000000001</v>
      </c>
      <c r="E28" s="3" t="s">
        <v>78</v>
      </c>
      <c r="F28" s="3" t="s">
        <v>887</v>
      </c>
      <c r="G28" s="3" t="s">
        <v>888</v>
      </c>
      <c r="H28" s="3" t="s">
        <v>66</v>
      </c>
      <c r="I28" s="3">
        <v>5</v>
      </c>
      <c r="J28" s="3" t="s">
        <v>70</v>
      </c>
      <c r="K28" s="3" t="s">
        <v>136</v>
      </c>
      <c r="L28" s="3" t="s">
        <v>82</v>
      </c>
      <c r="M28" s="3" t="s">
        <v>83</v>
      </c>
      <c r="N28" s="3" t="s">
        <v>888</v>
      </c>
    </row>
    <row r="29" spans="1:14" ht="14.25">
      <c r="A29" s="3" t="s">
        <v>63</v>
      </c>
      <c r="B29" s="3" t="s">
        <v>64</v>
      </c>
      <c r="C29" s="3" t="s">
        <v>65</v>
      </c>
      <c r="D29" s="3" t="s">
        <v>66</v>
      </c>
      <c r="E29" s="3" t="s">
        <v>67</v>
      </c>
      <c r="F29" s="3" t="s">
        <v>68</v>
      </c>
      <c r="G29" s="3" t="s">
        <v>69</v>
      </c>
      <c r="H29" s="3" t="s">
        <v>66</v>
      </c>
      <c r="I29" s="3">
        <v>3</v>
      </c>
      <c r="J29" s="3" t="s">
        <v>70</v>
      </c>
      <c r="K29" s="3" t="s">
        <v>71</v>
      </c>
      <c r="L29" s="3" t="s">
        <v>72</v>
      </c>
      <c r="M29" s="3" t="s">
        <v>73</v>
      </c>
      <c r="N29" s="3" t="s">
        <v>74</v>
      </c>
    </row>
    <row r="30" spans="1:14" ht="14.25">
      <c r="A30" s="3" t="s">
        <v>84</v>
      </c>
      <c r="B30" s="3" t="s">
        <v>84</v>
      </c>
      <c r="C30" s="3" t="s">
        <v>85</v>
      </c>
      <c r="D30" s="3" t="s">
        <v>86</v>
      </c>
      <c r="E30" s="3" t="s">
        <v>67</v>
      </c>
      <c r="F30" s="3" t="s">
        <v>87</v>
      </c>
      <c r="G30" s="3" t="s">
        <v>88</v>
      </c>
      <c r="H30" s="3" t="s">
        <v>66</v>
      </c>
      <c r="I30" s="3">
        <v>3</v>
      </c>
      <c r="J30" s="3" t="s">
        <v>70</v>
      </c>
      <c r="K30" s="3" t="s">
        <v>59</v>
      </c>
      <c r="L30" s="3" t="s">
        <v>89</v>
      </c>
      <c r="M30" s="3" t="s">
        <v>90</v>
      </c>
      <c r="N30" s="3" t="s">
        <v>74</v>
      </c>
    </row>
    <row r="31" spans="1:14" ht="14.25">
      <c r="A31" s="3" t="s">
        <v>91</v>
      </c>
      <c r="B31" s="3" t="s">
        <v>92</v>
      </c>
      <c r="C31" s="3" t="s">
        <v>93</v>
      </c>
      <c r="D31" s="3" t="s">
        <v>94</v>
      </c>
      <c r="E31" s="3" t="s">
        <v>67</v>
      </c>
      <c r="F31" s="3" t="s">
        <v>95</v>
      </c>
      <c r="G31" s="3" t="s">
        <v>96</v>
      </c>
      <c r="H31" s="3" t="s">
        <v>66</v>
      </c>
      <c r="I31" s="3">
        <v>4</v>
      </c>
      <c r="J31" s="3" t="s">
        <v>70</v>
      </c>
      <c r="K31" s="3" t="s">
        <v>97</v>
      </c>
      <c r="L31" s="3" t="s">
        <v>72</v>
      </c>
      <c r="M31" s="3" t="s">
        <v>90</v>
      </c>
      <c r="N31" s="3" t="s">
        <v>74</v>
      </c>
    </row>
    <row r="32" spans="1:14" ht="14.25">
      <c r="A32" s="3" t="s">
        <v>98</v>
      </c>
      <c r="B32" s="3" t="s">
        <v>99</v>
      </c>
      <c r="C32" s="3" t="s">
        <v>100</v>
      </c>
      <c r="D32" s="3" t="s">
        <v>101</v>
      </c>
      <c r="E32" s="3" t="s">
        <v>67</v>
      </c>
      <c r="F32" s="3" t="s">
        <v>102</v>
      </c>
      <c r="G32" s="3" t="s">
        <v>103</v>
      </c>
      <c r="H32" s="3" t="s">
        <v>66</v>
      </c>
      <c r="I32" s="3">
        <v>3</v>
      </c>
      <c r="J32" s="3" t="s">
        <v>70</v>
      </c>
      <c r="K32" s="3" t="s">
        <v>104</v>
      </c>
      <c r="L32" s="3" t="s">
        <v>82</v>
      </c>
      <c r="M32" s="3" t="s">
        <v>105</v>
      </c>
      <c r="N32" s="3" t="s">
        <v>74</v>
      </c>
    </row>
    <row r="33" spans="1:14" ht="14.25">
      <c r="A33" s="3" t="s">
        <v>106</v>
      </c>
      <c r="B33" s="3" t="s">
        <v>107</v>
      </c>
      <c r="C33" s="3" t="s">
        <v>108</v>
      </c>
      <c r="D33" s="3" t="s">
        <v>66</v>
      </c>
      <c r="E33" s="3" t="s">
        <v>67</v>
      </c>
      <c r="F33" s="3" t="s">
        <v>109</v>
      </c>
      <c r="G33" s="3" t="s">
        <v>110</v>
      </c>
      <c r="H33" s="3" t="s">
        <v>66</v>
      </c>
      <c r="I33" s="3">
        <v>4</v>
      </c>
      <c r="J33" s="3" t="s">
        <v>70</v>
      </c>
      <c r="K33" s="3" t="s">
        <v>59</v>
      </c>
      <c r="L33" s="3" t="s">
        <v>82</v>
      </c>
      <c r="M33" s="3" t="s">
        <v>105</v>
      </c>
      <c r="N33" s="3" t="s">
        <v>74</v>
      </c>
    </row>
    <row r="34" spans="1:14" ht="14.25">
      <c r="A34" s="3" t="s">
        <v>111</v>
      </c>
      <c r="B34" s="3" t="s">
        <v>112</v>
      </c>
      <c r="C34" s="3" t="s">
        <v>113</v>
      </c>
      <c r="D34" s="3" t="s">
        <v>66</v>
      </c>
      <c r="E34" s="3" t="s">
        <v>67</v>
      </c>
      <c r="F34" s="3" t="s">
        <v>114</v>
      </c>
      <c r="G34" s="3" t="s">
        <v>115</v>
      </c>
      <c r="H34" s="3" t="s">
        <v>66</v>
      </c>
      <c r="I34" s="3">
        <v>4</v>
      </c>
      <c r="J34" s="3" t="s">
        <v>70</v>
      </c>
      <c r="K34" s="3" t="s">
        <v>116</v>
      </c>
      <c r="L34" s="3" t="s">
        <v>82</v>
      </c>
      <c r="M34" s="3" t="s">
        <v>117</v>
      </c>
      <c r="N34" s="3" t="s">
        <v>74</v>
      </c>
    </row>
    <row r="35" spans="1:14" ht="14.25">
      <c r="A35" s="3" t="s">
        <v>118</v>
      </c>
      <c r="B35" s="3" t="s">
        <v>119</v>
      </c>
      <c r="C35" s="3" t="s">
        <v>113</v>
      </c>
      <c r="D35" s="3" t="s">
        <v>66</v>
      </c>
      <c r="E35" s="3" t="s">
        <v>67</v>
      </c>
      <c r="F35" s="3" t="s">
        <v>120</v>
      </c>
      <c r="G35" s="3" t="s">
        <v>121</v>
      </c>
      <c r="H35" s="3" t="s">
        <v>66</v>
      </c>
      <c r="I35" s="3">
        <v>4</v>
      </c>
      <c r="J35" s="3" t="s">
        <v>70</v>
      </c>
      <c r="K35" s="3" t="s">
        <v>122</v>
      </c>
      <c r="L35" s="3" t="s">
        <v>82</v>
      </c>
      <c r="M35" s="3" t="s">
        <v>123</v>
      </c>
      <c r="N35" s="3" t="s">
        <v>74</v>
      </c>
    </row>
    <row r="36" spans="1:14" ht="14.25">
      <c r="A36" s="3" t="s">
        <v>124</v>
      </c>
      <c r="B36" s="3" t="s">
        <v>125</v>
      </c>
      <c r="C36" s="3" t="s">
        <v>113</v>
      </c>
      <c r="D36" s="3" t="s">
        <v>66</v>
      </c>
      <c r="E36" s="3" t="s">
        <v>67</v>
      </c>
      <c r="F36" s="3" t="s">
        <v>126</v>
      </c>
      <c r="G36" s="3" t="s">
        <v>127</v>
      </c>
      <c r="H36" s="3" t="s">
        <v>66</v>
      </c>
      <c r="I36" s="3">
        <v>3</v>
      </c>
      <c r="J36" s="3" t="s">
        <v>70</v>
      </c>
      <c r="K36" s="3" t="s">
        <v>116</v>
      </c>
      <c r="L36" s="3" t="s">
        <v>82</v>
      </c>
      <c r="M36" s="3" t="s">
        <v>105</v>
      </c>
      <c r="N36" s="3" t="s">
        <v>74</v>
      </c>
    </row>
    <row r="37" spans="1:14" ht="14.25">
      <c r="A37" s="3" t="s">
        <v>128</v>
      </c>
      <c r="B37" s="3" t="s">
        <v>119</v>
      </c>
      <c r="C37" s="3" t="s">
        <v>113</v>
      </c>
      <c r="D37" s="3" t="s">
        <v>66</v>
      </c>
      <c r="E37" s="3" t="s">
        <v>67</v>
      </c>
      <c r="F37" s="3" t="s">
        <v>120</v>
      </c>
      <c r="G37" s="3" t="s">
        <v>129</v>
      </c>
      <c r="H37" s="3" t="s">
        <v>66</v>
      </c>
      <c r="I37" s="3">
        <v>3</v>
      </c>
      <c r="J37" s="3" t="s">
        <v>70</v>
      </c>
      <c r="K37" s="3" t="s">
        <v>122</v>
      </c>
      <c r="L37" s="3" t="s">
        <v>82</v>
      </c>
      <c r="M37" s="3" t="s">
        <v>130</v>
      </c>
      <c r="N37" s="3" t="s">
        <v>74</v>
      </c>
    </row>
    <row r="38" spans="1:14" ht="14.25">
      <c r="A38" s="3" t="s">
        <v>137</v>
      </c>
      <c r="B38" s="3" t="s">
        <v>138</v>
      </c>
      <c r="C38" s="3" t="s">
        <v>139</v>
      </c>
      <c r="D38" s="3" t="s">
        <v>140</v>
      </c>
      <c r="E38" s="3" t="s">
        <v>67</v>
      </c>
      <c r="F38" s="3" t="s">
        <v>141</v>
      </c>
      <c r="G38" s="3" t="s">
        <v>142</v>
      </c>
      <c r="H38" s="3" t="s">
        <v>66</v>
      </c>
      <c r="I38" s="3">
        <v>3</v>
      </c>
      <c r="J38" s="3" t="s">
        <v>70</v>
      </c>
      <c r="K38" s="3" t="s">
        <v>59</v>
      </c>
      <c r="L38" s="3" t="s">
        <v>143</v>
      </c>
      <c r="M38" s="3" t="s">
        <v>73</v>
      </c>
      <c r="N38" s="3" t="s">
        <v>74</v>
      </c>
    </row>
    <row r="39" spans="1:14" ht="14.25">
      <c r="A39" s="3" t="s">
        <v>149</v>
      </c>
      <c r="B39" s="3" t="s">
        <v>150</v>
      </c>
      <c r="C39" s="3" t="s">
        <v>151</v>
      </c>
      <c r="D39" s="3" t="s">
        <v>66</v>
      </c>
      <c r="E39" s="3" t="s">
        <v>67</v>
      </c>
      <c r="F39" s="3" t="s">
        <v>152</v>
      </c>
      <c r="G39" s="3" t="s">
        <v>153</v>
      </c>
      <c r="H39" s="3" t="s">
        <v>66</v>
      </c>
      <c r="I39" s="3">
        <v>3</v>
      </c>
      <c r="J39" s="3" t="s">
        <v>70</v>
      </c>
      <c r="K39" s="3" t="s">
        <v>97</v>
      </c>
      <c r="L39" s="3" t="s">
        <v>82</v>
      </c>
      <c r="M39" s="3" t="s">
        <v>105</v>
      </c>
      <c r="N39" s="3" t="s">
        <v>74</v>
      </c>
    </row>
    <row r="40" spans="1:14" ht="14.25">
      <c r="A40" s="3" t="s">
        <v>154</v>
      </c>
      <c r="B40" s="3" t="s">
        <v>155</v>
      </c>
      <c r="C40" s="3" t="s">
        <v>151</v>
      </c>
      <c r="D40" s="3" t="s">
        <v>66</v>
      </c>
      <c r="E40" s="3" t="s">
        <v>67</v>
      </c>
      <c r="F40" s="3" t="s">
        <v>156</v>
      </c>
      <c r="G40" s="3" t="s">
        <v>157</v>
      </c>
      <c r="H40" s="3" t="s">
        <v>66</v>
      </c>
      <c r="I40" s="3">
        <v>3</v>
      </c>
      <c r="J40" s="3" t="s">
        <v>70</v>
      </c>
      <c r="K40" s="3" t="s">
        <v>136</v>
      </c>
      <c r="L40" s="3" t="s">
        <v>82</v>
      </c>
      <c r="M40" s="3" t="s">
        <v>105</v>
      </c>
      <c r="N40" s="3" t="s">
        <v>74</v>
      </c>
    </row>
    <row r="41" spans="1:14" ht="14.25">
      <c r="A41" s="3" t="s">
        <v>169</v>
      </c>
      <c r="B41" s="3" t="s">
        <v>170</v>
      </c>
      <c r="C41" s="3" t="s">
        <v>93</v>
      </c>
      <c r="D41" s="3" t="s">
        <v>66</v>
      </c>
      <c r="E41" s="3" t="s">
        <v>67</v>
      </c>
      <c r="F41" s="3" t="s">
        <v>171</v>
      </c>
      <c r="G41" s="3" t="s">
        <v>172</v>
      </c>
      <c r="H41" s="3" t="s">
        <v>66</v>
      </c>
      <c r="I41" s="3">
        <v>3</v>
      </c>
      <c r="J41" s="3" t="s">
        <v>70</v>
      </c>
      <c r="K41" s="3" t="s">
        <v>136</v>
      </c>
      <c r="L41" s="3" t="s">
        <v>82</v>
      </c>
      <c r="M41" s="3" t="s">
        <v>105</v>
      </c>
      <c r="N41" s="3" t="s">
        <v>74</v>
      </c>
    </row>
    <row r="42" spans="1:14" ht="14.25">
      <c r="A42" s="3" t="s">
        <v>173</v>
      </c>
      <c r="B42" s="3" t="s">
        <v>174</v>
      </c>
      <c r="C42" s="3" t="s">
        <v>175</v>
      </c>
      <c r="D42" s="3" t="s">
        <v>66</v>
      </c>
      <c r="E42" s="3" t="s">
        <v>67</v>
      </c>
      <c r="F42" s="3" t="s">
        <v>176</v>
      </c>
      <c r="G42" s="3" t="s">
        <v>177</v>
      </c>
      <c r="H42" s="3" t="s">
        <v>66</v>
      </c>
      <c r="I42" s="3">
        <v>5</v>
      </c>
      <c r="J42" s="3" t="s">
        <v>70</v>
      </c>
      <c r="K42" s="3" t="s">
        <v>81</v>
      </c>
      <c r="L42" s="3" t="s">
        <v>82</v>
      </c>
      <c r="M42" s="3" t="s">
        <v>105</v>
      </c>
      <c r="N42" s="3" t="s">
        <v>74</v>
      </c>
    </row>
    <row r="43" spans="1:14" ht="14.25">
      <c r="A43" s="3" t="s">
        <v>185</v>
      </c>
      <c r="B43" s="3" t="s">
        <v>186</v>
      </c>
      <c r="C43" s="3" t="s">
        <v>187</v>
      </c>
      <c r="D43" s="3" t="s">
        <v>66</v>
      </c>
      <c r="E43" s="3" t="s">
        <v>67</v>
      </c>
      <c r="F43" s="3" t="s">
        <v>188</v>
      </c>
      <c r="G43" s="3" t="s">
        <v>189</v>
      </c>
      <c r="H43" s="3" t="s">
        <v>66</v>
      </c>
      <c r="I43" s="3">
        <v>3</v>
      </c>
      <c r="J43" s="3" t="s">
        <v>70</v>
      </c>
      <c r="K43" s="3" t="s">
        <v>59</v>
      </c>
      <c r="L43" s="3" t="s">
        <v>190</v>
      </c>
      <c r="M43" s="3" t="s">
        <v>90</v>
      </c>
      <c r="N43" s="3" t="s">
        <v>74</v>
      </c>
    </row>
    <row r="44" spans="1:14" ht="14.25">
      <c r="A44" s="3" t="s">
        <v>191</v>
      </c>
      <c r="B44" s="3" t="s">
        <v>170</v>
      </c>
      <c r="C44" s="3" t="s">
        <v>93</v>
      </c>
      <c r="D44" s="3" t="s">
        <v>66</v>
      </c>
      <c r="E44" s="3" t="s">
        <v>67</v>
      </c>
      <c r="F44" s="3" t="s">
        <v>192</v>
      </c>
      <c r="G44" s="3" t="s">
        <v>193</v>
      </c>
      <c r="H44" s="3" t="s">
        <v>66</v>
      </c>
      <c r="I44" s="3">
        <v>3</v>
      </c>
      <c r="J44" s="3" t="s">
        <v>70</v>
      </c>
      <c r="K44" s="3" t="s">
        <v>136</v>
      </c>
      <c r="L44" s="3" t="s">
        <v>82</v>
      </c>
      <c r="M44" s="3" t="s">
        <v>105</v>
      </c>
      <c r="N44" s="3" t="s">
        <v>74</v>
      </c>
    </row>
    <row r="45" spans="1:14" ht="14.25">
      <c r="A45" s="3" t="s">
        <v>194</v>
      </c>
      <c r="B45" s="3" t="s">
        <v>195</v>
      </c>
      <c r="C45" s="3" t="s">
        <v>151</v>
      </c>
      <c r="D45" s="3" t="s">
        <v>196</v>
      </c>
      <c r="E45" s="3" t="s">
        <v>67</v>
      </c>
      <c r="F45" s="3" t="s">
        <v>197</v>
      </c>
      <c r="G45" s="3" t="s">
        <v>198</v>
      </c>
      <c r="H45" s="3" t="s">
        <v>66</v>
      </c>
      <c r="I45" s="3">
        <v>4</v>
      </c>
      <c r="J45" s="3" t="s">
        <v>70</v>
      </c>
      <c r="K45" s="3" t="s">
        <v>136</v>
      </c>
      <c r="L45" s="3" t="s">
        <v>199</v>
      </c>
      <c r="M45" s="3" t="s">
        <v>90</v>
      </c>
      <c r="N45" s="3" t="s">
        <v>74</v>
      </c>
    </row>
    <row r="46" spans="1:14" ht="14.25">
      <c r="A46" s="3" t="s">
        <v>200</v>
      </c>
      <c r="B46" s="3" t="s">
        <v>201</v>
      </c>
      <c r="C46" s="3" t="s">
        <v>108</v>
      </c>
      <c r="D46" s="3" t="s">
        <v>202</v>
      </c>
      <c r="E46" s="3" t="s">
        <v>67</v>
      </c>
      <c r="F46" s="3" t="s">
        <v>203</v>
      </c>
      <c r="G46" s="3" t="s">
        <v>204</v>
      </c>
      <c r="H46" s="3" t="s">
        <v>66</v>
      </c>
      <c r="I46" s="3">
        <v>3</v>
      </c>
      <c r="J46" s="3" t="s">
        <v>70</v>
      </c>
      <c r="K46" s="3" t="s">
        <v>136</v>
      </c>
      <c r="L46" s="3" t="s">
        <v>82</v>
      </c>
      <c r="M46" s="3" t="s">
        <v>105</v>
      </c>
      <c r="N46" s="3" t="s">
        <v>74</v>
      </c>
    </row>
    <row r="47" spans="1:14" ht="14.25">
      <c r="A47" s="3" t="s">
        <v>205</v>
      </c>
      <c r="B47" s="3" t="s">
        <v>206</v>
      </c>
      <c r="C47" s="3" t="s">
        <v>207</v>
      </c>
      <c r="D47" s="3" t="s">
        <v>66</v>
      </c>
      <c r="E47" s="3" t="s">
        <v>67</v>
      </c>
      <c r="F47" s="3" t="s">
        <v>208</v>
      </c>
      <c r="G47" s="3" t="s">
        <v>209</v>
      </c>
      <c r="H47" s="3" t="s">
        <v>66</v>
      </c>
      <c r="I47" s="3">
        <v>3</v>
      </c>
      <c r="J47" s="3" t="s">
        <v>70</v>
      </c>
      <c r="K47" s="3" t="s">
        <v>81</v>
      </c>
      <c r="L47" s="3" t="s">
        <v>82</v>
      </c>
      <c r="M47" s="3" t="s">
        <v>105</v>
      </c>
      <c r="N47" s="3" t="s">
        <v>74</v>
      </c>
    </row>
    <row r="48" spans="1:14" ht="14.25">
      <c r="A48" s="3" t="s">
        <v>210</v>
      </c>
      <c r="B48" s="3" t="s">
        <v>211</v>
      </c>
      <c r="C48" s="3" t="s">
        <v>100</v>
      </c>
      <c r="D48" s="3" t="s">
        <v>212</v>
      </c>
      <c r="E48" s="3" t="s">
        <v>67</v>
      </c>
      <c r="F48" s="3" t="s">
        <v>213</v>
      </c>
      <c r="G48" s="3" t="s">
        <v>214</v>
      </c>
      <c r="H48" s="3" t="s">
        <v>66</v>
      </c>
      <c r="I48" s="3">
        <v>3</v>
      </c>
      <c r="J48" s="3" t="s">
        <v>70</v>
      </c>
      <c r="K48" s="3" t="s">
        <v>81</v>
      </c>
      <c r="L48" s="3" t="s">
        <v>215</v>
      </c>
      <c r="M48" s="3" t="s">
        <v>90</v>
      </c>
      <c r="N48" s="3" t="s">
        <v>74</v>
      </c>
    </row>
    <row r="49" spans="1:14" ht="14.25">
      <c r="A49" s="3" t="s">
        <v>216</v>
      </c>
      <c r="B49" s="3" t="s">
        <v>217</v>
      </c>
      <c r="C49" s="3" t="s">
        <v>151</v>
      </c>
      <c r="D49" s="3" t="s">
        <v>218</v>
      </c>
      <c r="E49" s="3" t="s">
        <v>67</v>
      </c>
      <c r="F49" s="3" t="s">
        <v>219</v>
      </c>
      <c r="G49" s="3" t="s">
        <v>220</v>
      </c>
      <c r="H49" s="3" t="s">
        <v>66</v>
      </c>
      <c r="I49" s="3">
        <v>4</v>
      </c>
      <c r="J49" s="3" t="s">
        <v>70</v>
      </c>
      <c r="K49" s="3" t="s">
        <v>136</v>
      </c>
      <c r="L49" s="3" t="s">
        <v>82</v>
      </c>
      <c r="M49" s="3" t="s">
        <v>105</v>
      </c>
      <c r="N49" s="3" t="s">
        <v>74</v>
      </c>
    </row>
    <row r="50" spans="1:14" ht="14.25">
      <c r="A50" s="3" t="s">
        <v>221</v>
      </c>
      <c r="B50" s="3" t="s">
        <v>222</v>
      </c>
      <c r="C50" s="3" t="s">
        <v>223</v>
      </c>
      <c r="D50" s="3" t="s">
        <v>66</v>
      </c>
      <c r="E50" s="3" t="s">
        <v>67</v>
      </c>
      <c r="F50" s="3" t="s">
        <v>224</v>
      </c>
      <c r="G50" s="3" t="s">
        <v>225</v>
      </c>
      <c r="H50" s="3" t="s">
        <v>66</v>
      </c>
      <c r="I50" s="3">
        <v>4</v>
      </c>
      <c r="J50" s="3" t="s">
        <v>70</v>
      </c>
      <c r="K50" s="3" t="s">
        <v>81</v>
      </c>
      <c r="L50" s="3" t="s">
        <v>82</v>
      </c>
      <c r="M50" s="3" t="s">
        <v>105</v>
      </c>
      <c r="N50" s="3" t="s">
        <v>74</v>
      </c>
    </row>
    <row r="51" spans="1:14" ht="14.25">
      <c r="A51" s="3" t="s">
        <v>226</v>
      </c>
      <c r="B51" s="3" t="s">
        <v>227</v>
      </c>
      <c r="C51" s="3" t="s">
        <v>228</v>
      </c>
      <c r="D51" s="3" t="s">
        <v>66</v>
      </c>
      <c r="E51" s="3" t="s">
        <v>67</v>
      </c>
      <c r="F51" s="3" t="s">
        <v>229</v>
      </c>
      <c r="G51" s="3" t="s">
        <v>230</v>
      </c>
      <c r="H51" s="3" t="s">
        <v>66</v>
      </c>
      <c r="I51" s="3">
        <v>4</v>
      </c>
      <c r="J51" s="3" t="s">
        <v>70</v>
      </c>
      <c r="K51" s="3" t="s">
        <v>81</v>
      </c>
      <c r="L51" s="3" t="s">
        <v>82</v>
      </c>
      <c r="M51" s="3" t="s">
        <v>105</v>
      </c>
      <c r="N51" s="3" t="s">
        <v>74</v>
      </c>
    </row>
    <row r="52" spans="1:14" ht="14.25">
      <c r="A52" s="3" t="s">
        <v>231</v>
      </c>
      <c r="B52" s="3" t="s">
        <v>232</v>
      </c>
      <c r="C52" s="3" t="s">
        <v>233</v>
      </c>
      <c r="D52" s="3" t="s">
        <v>66</v>
      </c>
      <c r="E52" s="3" t="s">
        <v>67</v>
      </c>
      <c r="F52" s="3" t="s">
        <v>234</v>
      </c>
      <c r="G52" s="3" t="s">
        <v>235</v>
      </c>
      <c r="H52" s="3" t="s">
        <v>66</v>
      </c>
      <c r="I52" s="3">
        <v>3</v>
      </c>
      <c r="J52" s="3" t="s">
        <v>70</v>
      </c>
      <c r="K52" s="3" t="s">
        <v>81</v>
      </c>
      <c r="L52" s="3" t="s">
        <v>82</v>
      </c>
      <c r="M52" s="3" t="s">
        <v>105</v>
      </c>
      <c r="N52" s="3" t="s">
        <v>74</v>
      </c>
    </row>
    <row r="53" spans="1:14" ht="14.25">
      <c r="A53" s="3" t="s">
        <v>236</v>
      </c>
      <c r="B53" s="3" t="s">
        <v>237</v>
      </c>
      <c r="C53" s="3" t="s">
        <v>93</v>
      </c>
      <c r="D53" s="3" t="s">
        <v>66</v>
      </c>
      <c r="E53" s="3" t="s">
        <v>67</v>
      </c>
      <c r="F53" s="3" t="s">
        <v>238</v>
      </c>
      <c r="G53" s="3" t="s">
        <v>239</v>
      </c>
      <c r="H53" s="3" t="s">
        <v>66</v>
      </c>
      <c r="I53" s="3">
        <v>3</v>
      </c>
      <c r="J53" s="3" t="s">
        <v>70</v>
      </c>
      <c r="K53" s="3" t="s">
        <v>136</v>
      </c>
      <c r="L53" s="3" t="s">
        <v>82</v>
      </c>
      <c r="M53" s="3" t="s">
        <v>105</v>
      </c>
      <c r="N53" s="3" t="s">
        <v>74</v>
      </c>
    </row>
    <row r="54" spans="1:14" ht="14.25">
      <c r="A54" s="3" t="s">
        <v>240</v>
      </c>
      <c r="B54" s="3" t="s">
        <v>241</v>
      </c>
      <c r="C54" s="3" t="s">
        <v>242</v>
      </c>
      <c r="D54" s="3" t="s">
        <v>66</v>
      </c>
      <c r="E54" s="3" t="s">
        <v>67</v>
      </c>
      <c r="F54" s="3" t="s">
        <v>243</v>
      </c>
      <c r="G54" s="3" t="s">
        <v>244</v>
      </c>
      <c r="H54" s="3" t="s">
        <v>66</v>
      </c>
      <c r="I54" s="3">
        <v>3</v>
      </c>
      <c r="J54" s="3" t="s">
        <v>70</v>
      </c>
      <c r="K54" s="3" t="s">
        <v>81</v>
      </c>
      <c r="L54" s="3" t="s">
        <v>82</v>
      </c>
      <c r="M54" s="3" t="s">
        <v>105</v>
      </c>
      <c r="N54" s="3" t="s">
        <v>74</v>
      </c>
    </row>
    <row r="55" spans="1:14" ht="14.25">
      <c r="A55" s="3" t="s">
        <v>245</v>
      </c>
      <c r="B55" s="3" t="s">
        <v>246</v>
      </c>
      <c r="C55" s="3" t="s">
        <v>247</v>
      </c>
      <c r="D55" s="3" t="s">
        <v>66</v>
      </c>
      <c r="E55" s="3" t="s">
        <v>67</v>
      </c>
      <c r="F55" s="3" t="s">
        <v>248</v>
      </c>
      <c r="G55" s="3" t="s">
        <v>249</v>
      </c>
      <c r="H55" s="3" t="s">
        <v>66</v>
      </c>
      <c r="I55" s="3">
        <v>4</v>
      </c>
      <c r="J55" s="3" t="s">
        <v>250</v>
      </c>
      <c r="K55" s="3" t="s">
        <v>59</v>
      </c>
      <c r="L55" s="3" t="s">
        <v>82</v>
      </c>
      <c r="M55" s="3" t="s">
        <v>251</v>
      </c>
      <c r="N55" s="3" t="s">
        <v>74</v>
      </c>
    </row>
    <row r="56" spans="1:14" ht="14.25">
      <c r="A56" s="3" t="s">
        <v>252</v>
      </c>
      <c r="B56" s="3" t="s">
        <v>253</v>
      </c>
      <c r="C56" s="3" t="s">
        <v>254</v>
      </c>
      <c r="D56" s="3" t="s">
        <v>66</v>
      </c>
      <c r="E56" s="3" t="s">
        <v>67</v>
      </c>
      <c r="F56" s="3" t="s">
        <v>255</v>
      </c>
      <c r="G56" s="3" t="s">
        <v>256</v>
      </c>
      <c r="H56" s="3" t="s">
        <v>66</v>
      </c>
      <c r="I56" s="3">
        <v>4</v>
      </c>
      <c r="J56" s="3" t="s">
        <v>70</v>
      </c>
      <c r="K56" s="3" t="s">
        <v>81</v>
      </c>
      <c r="L56" s="3" t="s">
        <v>82</v>
      </c>
      <c r="M56" s="3" t="s">
        <v>105</v>
      </c>
      <c r="N56" s="3" t="s">
        <v>74</v>
      </c>
    </row>
    <row r="57" spans="1:14" ht="14.25">
      <c r="A57" s="3" t="s">
        <v>257</v>
      </c>
      <c r="B57" s="3" t="s">
        <v>258</v>
      </c>
      <c r="C57" s="3" t="s">
        <v>259</v>
      </c>
      <c r="D57" s="3" t="s">
        <v>66</v>
      </c>
      <c r="E57" s="3" t="s">
        <v>67</v>
      </c>
      <c r="F57" s="3" t="s">
        <v>260</v>
      </c>
      <c r="G57" s="3" t="s">
        <v>261</v>
      </c>
      <c r="H57" s="3" t="s">
        <v>66</v>
      </c>
      <c r="I57" s="3">
        <v>4</v>
      </c>
      <c r="J57" s="3" t="s">
        <v>70</v>
      </c>
      <c r="K57" s="3" t="s">
        <v>59</v>
      </c>
      <c r="L57" s="3" t="s">
        <v>82</v>
      </c>
      <c r="M57" s="3" t="s">
        <v>262</v>
      </c>
      <c r="N57" s="3" t="s">
        <v>74</v>
      </c>
    </row>
    <row r="58" spans="1:14" ht="14.25">
      <c r="A58" s="3" t="s">
        <v>263</v>
      </c>
      <c r="B58" s="3" t="s">
        <v>264</v>
      </c>
      <c r="C58" s="3" t="s">
        <v>265</v>
      </c>
      <c r="D58" s="3" t="s">
        <v>66</v>
      </c>
      <c r="E58" s="3" t="s">
        <v>67</v>
      </c>
      <c r="F58" s="3" t="s">
        <v>266</v>
      </c>
      <c r="G58" s="3" t="s">
        <v>267</v>
      </c>
      <c r="H58" s="3" t="s">
        <v>66</v>
      </c>
      <c r="I58" s="3">
        <v>4</v>
      </c>
      <c r="J58" s="3" t="s">
        <v>70</v>
      </c>
      <c r="K58" s="3" t="s">
        <v>81</v>
      </c>
      <c r="L58" s="3" t="s">
        <v>82</v>
      </c>
      <c r="M58" s="3" t="s">
        <v>105</v>
      </c>
      <c r="N58" s="3" t="s">
        <v>74</v>
      </c>
    </row>
    <row r="59" spans="1:14" ht="14.25">
      <c r="A59" s="3" t="s">
        <v>268</v>
      </c>
      <c r="B59" s="3" t="s">
        <v>269</v>
      </c>
      <c r="C59" s="3" t="s">
        <v>270</v>
      </c>
      <c r="D59" s="3" t="s">
        <v>66</v>
      </c>
      <c r="E59" s="3" t="s">
        <v>67</v>
      </c>
      <c r="F59" s="3" t="s">
        <v>271</v>
      </c>
      <c r="G59" s="3" t="s">
        <v>272</v>
      </c>
      <c r="H59" s="3" t="s">
        <v>66</v>
      </c>
      <c r="I59" s="3">
        <v>3</v>
      </c>
      <c r="J59" s="3" t="s">
        <v>70</v>
      </c>
      <c r="K59" s="3" t="s">
        <v>59</v>
      </c>
      <c r="L59" s="3" t="s">
        <v>82</v>
      </c>
      <c r="M59" s="3" t="s">
        <v>105</v>
      </c>
      <c r="N59" s="3" t="s">
        <v>74</v>
      </c>
    </row>
    <row r="60" spans="1:14" ht="14.25">
      <c r="A60" s="3" t="s">
        <v>273</v>
      </c>
      <c r="B60" s="3" t="s">
        <v>274</v>
      </c>
      <c r="C60" s="3" t="s">
        <v>275</v>
      </c>
      <c r="D60" s="3" t="s">
        <v>66</v>
      </c>
      <c r="E60" s="3" t="s">
        <v>67</v>
      </c>
      <c r="F60" s="3" t="s">
        <v>276</v>
      </c>
      <c r="G60" s="3" t="s">
        <v>277</v>
      </c>
      <c r="H60" s="3" t="s">
        <v>66</v>
      </c>
      <c r="I60" s="3">
        <v>4</v>
      </c>
      <c r="J60" s="3" t="s">
        <v>70</v>
      </c>
      <c r="K60" s="3" t="s">
        <v>81</v>
      </c>
      <c r="L60" s="3" t="s">
        <v>82</v>
      </c>
      <c r="M60" s="3" t="s">
        <v>105</v>
      </c>
      <c r="N60" s="3" t="s">
        <v>74</v>
      </c>
    </row>
    <row r="61" spans="1:14" ht="14.25">
      <c r="A61" s="3" t="s">
        <v>282</v>
      </c>
      <c r="B61" s="3" t="s">
        <v>283</v>
      </c>
      <c r="C61" s="3" t="s">
        <v>284</v>
      </c>
      <c r="D61" s="3" t="s">
        <v>66</v>
      </c>
      <c r="E61" s="3" t="s">
        <v>67</v>
      </c>
      <c r="F61" s="3" t="s">
        <v>285</v>
      </c>
      <c r="G61" s="3" t="s">
        <v>286</v>
      </c>
      <c r="H61" s="3" t="s">
        <v>66</v>
      </c>
      <c r="I61" s="3">
        <v>4</v>
      </c>
      <c r="J61" s="3" t="s">
        <v>70</v>
      </c>
      <c r="K61" s="3" t="s">
        <v>81</v>
      </c>
      <c r="L61" s="3" t="s">
        <v>82</v>
      </c>
      <c r="M61" s="3" t="s">
        <v>105</v>
      </c>
      <c r="N61" s="3" t="s">
        <v>74</v>
      </c>
    </row>
    <row r="62" spans="1:14" ht="14.25">
      <c r="A62" s="3" t="s">
        <v>287</v>
      </c>
      <c r="B62" s="3" t="s">
        <v>288</v>
      </c>
      <c r="C62" s="3" t="s">
        <v>289</v>
      </c>
      <c r="D62" s="3" t="s">
        <v>66</v>
      </c>
      <c r="E62" s="3" t="s">
        <v>67</v>
      </c>
      <c r="F62" s="3" t="s">
        <v>290</v>
      </c>
      <c r="G62" s="3" t="s">
        <v>291</v>
      </c>
      <c r="H62" s="3" t="s">
        <v>66</v>
      </c>
      <c r="I62" s="3">
        <v>4</v>
      </c>
      <c r="J62" s="3" t="s">
        <v>70</v>
      </c>
      <c r="K62" s="3" t="s">
        <v>59</v>
      </c>
      <c r="L62" s="3" t="s">
        <v>82</v>
      </c>
      <c r="M62" s="3" t="s">
        <v>105</v>
      </c>
      <c r="N62" s="3" t="s">
        <v>74</v>
      </c>
    </row>
    <row r="63" spans="1:14" ht="14.25">
      <c r="A63" s="3" t="s">
        <v>292</v>
      </c>
      <c r="B63" s="3" t="s">
        <v>293</v>
      </c>
      <c r="C63" s="3" t="s">
        <v>294</v>
      </c>
      <c r="D63" s="3" t="s">
        <v>66</v>
      </c>
      <c r="E63" s="3" t="s">
        <v>67</v>
      </c>
      <c r="F63" s="3" t="s">
        <v>295</v>
      </c>
      <c r="G63" s="3" t="s">
        <v>296</v>
      </c>
      <c r="H63" s="3" t="s">
        <v>66</v>
      </c>
      <c r="I63" s="3">
        <v>4</v>
      </c>
      <c r="J63" s="3" t="s">
        <v>70</v>
      </c>
      <c r="K63" s="3" t="s">
        <v>59</v>
      </c>
      <c r="L63" s="3" t="s">
        <v>82</v>
      </c>
      <c r="M63" s="3" t="s">
        <v>105</v>
      </c>
      <c r="N63" s="3" t="s">
        <v>74</v>
      </c>
    </row>
    <row r="64" spans="1:14" ht="14.25">
      <c r="A64" s="3" t="s">
        <v>297</v>
      </c>
      <c r="B64" s="3" t="s">
        <v>298</v>
      </c>
      <c r="C64" s="3" t="s">
        <v>299</v>
      </c>
      <c r="D64" s="3" t="s">
        <v>66</v>
      </c>
      <c r="E64" s="3" t="s">
        <v>67</v>
      </c>
      <c r="F64" s="3" t="s">
        <v>300</v>
      </c>
      <c r="G64" s="3" t="s">
        <v>301</v>
      </c>
      <c r="H64" s="3" t="s">
        <v>66</v>
      </c>
      <c r="I64" s="3">
        <v>4</v>
      </c>
      <c r="J64" s="3" t="s">
        <v>70</v>
      </c>
      <c r="K64" s="3" t="s">
        <v>81</v>
      </c>
      <c r="L64" s="3" t="s">
        <v>82</v>
      </c>
      <c r="M64" s="3" t="s">
        <v>105</v>
      </c>
      <c r="N64" s="3" t="s">
        <v>74</v>
      </c>
    </row>
    <row r="65" spans="1:14" ht="14.25">
      <c r="A65" s="3" t="s">
        <v>302</v>
      </c>
      <c r="B65" s="3" t="s">
        <v>303</v>
      </c>
      <c r="C65" s="3" t="s">
        <v>304</v>
      </c>
      <c r="D65" s="3" t="s">
        <v>66</v>
      </c>
      <c r="E65" s="3" t="s">
        <v>67</v>
      </c>
      <c r="F65" s="3" t="s">
        <v>305</v>
      </c>
      <c r="G65" s="3" t="s">
        <v>306</v>
      </c>
      <c r="H65" s="3" t="s">
        <v>66</v>
      </c>
      <c r="I65" s="3">
        <v>4</v>
      </c>
      <c r="J65" s="3" t="s">
        <v>70</v>
      </c>
      <c r="K65" s="3" t="s">
        <v>81</v>
      </c>
      <c r="L65" s="3" t="s">
        <v>82</v>
      </c>
      <c r="M65" s="3" t="s">
        <v>105</v>
      </c>
      <c r="N65" s="3" t="s">
        <v>74</v>
      </c>
    </row>
    <row r="66" spans="1:14" ht="14.25">
      <c r="A66" s="3" t="s">
        <v>313</v>
      </c>
      <c r="B66" s="3" t="s">
        <v>314</v>
      </c>
      <c r="C66" s="3" t="s">
        <v>315</v>
      </c>
      <c r="D66" s="3" t="s">
        <v>66</v>
      </c>
      <c r="E66" s="3" t="s">
        <v>67</v>
      </c>
      <c r="F66" s="3" t="s">
        <v>316</v>
      </c>
      <c r="G66" s="3" t="s">
        <v>317</v>
      </c>
      <c r="H66" s="3" t="s">
        <v>66</v>
      </c>
      <c r="I66" s="3">
        <v>4</v>
      </c>
      <c r="J66" s="3" t="s">
        <v>70</v>
      </c>
      <c r="K66" s="3" t="s">
        <v>59</v>
      </c>
      <c r="L66" s="3" t="s">
        <v>318</v>
      </c>
      <c r="M66" s="3" t="s">
        <v>90</v>
      </c>
      <c r="N66" s="3" t="s">
        <v>74</v>
      </c>
    </row>
    <row r="67" spans="1:14" ht="14.25">
      <c r="A67" s="3" t="s">
        <v>319</v>
      </c>
      <c r="B67" s="3" t="s">
        <v>320</v>
      </c>
      <c r="C67" s="3" t="s">
        <v>160</v>
      </c>
      <c r="D67" s="3" t="s">
        <v>66</v>
      </c>
      <c r="E67" s="3" t="s">
        <v>67</v>
      </c>
      <c r="F67" s="3" t="s">
        <v>321</v>
      </c>
      <c r="G67" s="3" t="s">
        <v>322</v>
      </c>
      <c r="H67" s="3" t="s">
        <v>66</v>
      </c>
      <c r="I67" s="3">
        <v>4</v>
      </c>
      <c r="J67" s="3" t="s">
        <v>70</v>
      </c>
      <c r="K67" s="3" t="s">
        <v>136</v>
      </c>
      <c r="L67" s="3" t="s">
        <v>82</v>
      </c>
      <c r="M67" s="3" t="s">
        <v>105</v>
      </c>
      <c r="N67" s="3" t="s">
        <v>74</v>
      </c>
    </row>
    <row r="68" spans="1:14" ht="14.25">
      <c r="A68" s="3" t="s">
        <v>323</v>
      </c>
      <c r="B68" s="3" t="s">
        <v>324</v>
      </c>
      <c r="C68" s="3" t="s">
        <v>325</v>
      </c>
      <c r="D68" s="3" t="s">
        <v>66</v>
      </c>
      <c r="E68" s="3" t="s">
        <v>67</v>
      </c>
      <c r="F68" s="3" t="s">
        <v>326</v>
      </c>
      <c r="G68" s="3" t="s">
        <v>327</v>
      </c>
      <c r="H68" s="3" t="s">
        <v>66</v>
      </c>
      <c r="I68" s="3">
        <v>4</v>
      </c>
      <c r="J68" s="3" t="s">
        <v>70</v>
      </c>
      <c r="K68" s="3" t="s">
        <v>81</v>
      </c>
      <c r="L68" s="3" t="s">
        <v>82</v>
      </c>
      <c r="M68" s="3" t="s">
        <v>105</v>
      </c>
      <c r="N68" s="3" t="s">
        <v>74</v>
      </c>
    </row>
    <row r="69" spans="1:14" ht="14.25">
      <c r="A69" s="3" t="s">
        <v>328</v>
      </c>
      <c r="B69" s="3" t="s">
        <v>329</v>
      </c>
      <c r="C69" s="3" t="s">
        <v>93</v>
      </c>
      <c r="D69" s="3" t="s">
        <v>330</v>
      </c>
      <c r="E69" s="3" t="s">
        <v>67</v>
      </c>
      <c r="F69" s="3" t="s">
        <v>331</v>
      </c>
      <c r="G69" s="3" t="s">
        <v>332</v>
      </c>
      <c r="H69" s="3" t="s">
        <v>66</v>
      </c>
      <c r="I69" s="3">
        <v>4</v>
      </c>
      <c r="J69" s="3" t="s">
        <v>70</v>
      </c>
      <c r="K69" s="3" t="s">
        <v>97</v>
      </c>
      <c r="L69" s="3" t="s">
        <v>333</v>
      </c>
      <c r="M69" s="3" t="s">
        <v>90</v>
      </c>
      <c r="N69" s="3" t="s">
        <v>74</v>
      </c>
    </row>
    <row r="70" spans="1:14" ht="14.25">
      <c r="A70" s="3" t="s">
        <v>334</v>
      </c>
      <c r="B70" s="3" t="s">
        <v>335</v>
      </c>
      <c r="C70" s="3" t="s">
        <v>336</v>
      </c>
      <c r="D70" s="3" t="s">
        <v>66</v>
      </c>
      <c r="E70" s="3" t="s">
        <v>67</v>
      </c>
      <c r="F70" s="3" t="s">
        <v>337</v>
      </c>
      <c r="G70" s="3" t="s">
        <v>338</v>
      </c>
      <c r="H70" s="3" t="s">
        <v>66</v>
      </c>
      <c r="I70" s="3">
        <v>4</v>
      </c>
      <c r="J70" s="3" t="s">
        <v>70</v>
      </c>
      <c r="K70" s="3" t="s">
        <v>81</v>
      </c>
      <c r="L70" s="3" t="s">
        <v>82</v>
      </c>
      <c r="M70" s="3" t="s">
        <v>105</v>
      </c>
      <c r="N70" s="3" t="s">
        <v>74</v>
      </c>
    </row>
    <row r="71" spans="1:14" ht="14.25">
      <c r="A71" s="3" t="s">
        <v>344</v>
      </c>
      <c r="B71" s="3" t="s">
        <v>345</v>
      </c>
      <c r="C71" s="3" t="s">
        <v>93</v>
      </c>
      <c r="D71" s="3" t="s">
        <v>66</v>
      </c>
      <c r="E71" s="3" t="s">
        <v>67</v>
      </c>
      <c r="F71" s="3" t="s">
        <v>346</v>
      </c>
      <c r="G71" s="3" t="s">
        <v>347</v>
      </c>
      <c r="H71" s="3" t="s">
        <v>66</v>
      </c>
      <c r="I71" s="3">
        <v>3</v>
      </c>
      <c r="J71" s="3" t="s">
        <v>70</v>
      </c>
      <c r="K71" s="3" t="s">
        <v>136</v>
      </c>
      <c r="L71" s="3" t="s">
        <v>82</v>
      </c>
      <c r="M71" s="3" t="s">
        <v>105</v>
      </c>
      <c r="N71" s="3" t="s">
        <v>74</v>
      </c>
    </row>
    <row r="72" spans="1:14" ht="14.25">
      <c r="A72" s="3" t="s">
        <v>348</v>
      </c>
      <c r="B72" s="3" t="s">
        <v>349</v>
      </c>
      <c r="C72" s="3" t="s">
        <v>151</v>
      </c>
      <c r="D72" s="3" t="s">
        <v>350</v>
      </c>
      <c r="E72" s="3" t="s">
        <v>67</v>
      </c>
      <c r="F72" s="3" t="s">
        <v>351</v>
      </c>
      <c r="G72" s="3" t="s">
        <v>352</v>
      </c>
      <c r="H72" s="3" t="s">
        <v>66</v>
      </c>
      <c r="I72" s="3">
        <v>4</v>
      </c>
      <c r="J72" s="3" t="s">
        <v>70</v>
      </c>
      <c r="K72" s="3" t="s">
        <v>97</v>
      </c>
      <c r="L72" s="3" t="s">
        <v>353</v>
      </c>
      <c r="M72" s="3" t="s">
        <v>90</v>
      </c>
      <c r="N72" s="3" t="s">
        <v>74</v>
      </c>
    </row>
    <row r="73" spans="1:14" ht="14.25">
      <c r="A73" s="3" t="s">
        <v>354</v>
      </c>
      <c r="B73" s="3" t="s">
        <v>298</v>
      </c>
      <c r="C73" s="3" t="s">
        <v>151</v>
      </c>
      <c r="D73" s="3" t="s">
        <v>355</v>
      </c>
      <c r="E73" s="3" t="s">
        <v>67</v>
      </c>
      <c r="F73" s="3" t="s">
        <v>356</v>
      </c>
      <c r="G73" s="3" t="s">
        <v>357</v>
      </c>
      <c r="H73" s="3" t="s">
        <v>66</v>
      </c>
      <c r="I73" s="3">
        <v>4</v>
      </c>
      <c r="J73" s="3" t="s">
        <v>358</v>
      </c>
      <c r="K73" s="3" t="s">
        <v>97</v>
      </c>
      <c r="L73" s="3" t="s">
        <v>359</v>
      </c>
      <c r="M73" s="3" t="s">
        <v>184</v>
      </c>
      <c r="N73" s="3" t="s">
        <v>74</v>
      </c>
    </row>
    <row r="74" spans="1:14" ht="14.25">
      <c r="A74" s="3" t="s">
        <v>360</v>
      </c>
      <c r="B74" s="3" t="s">
        <v>361</v>
      </c>
      <c r="C74" s="3" t="s">
        <v>362</v>
      </c>
      <c r="D74" s="3" t="s">
        <v>66</v>
      </c>
      <c r="E74" s="3" t="s">
        <v>67</v>
      </c>
      <c r="F74" s="3" t="s">
        <v>363</v>
      </c>
      <c r="G74" s="3" t="s">
        <v>364</v>
      </c>
      <c r="H74" s="3" t="s">
        <v>66</v>
      </c>
      <c r="I74" s="3">
        <v>3</v>
      </c>
      <c r="J74" s="3" t="s">
        <v>70</v>
      </c>
      <c r="K74" s="3" t="s">
        <v>81</v>
      </c>
      <c r="L74" s="3" t="s">
        <v>365</v>
      </c>
      <c r="M74" s="3" t="s">
        <v>90</v>
      </c>
      <c r="N74" s="3" t="s">
        <v>74</v>
      </c>
    </row>
    <row r="75" spans="1:14" ht="14.25">
      <c r="A75" s="3" t="s">
        <v>366</v>
      </c>
      <c r="B75" s="3" t="s">
        <v>367</v>
      </c>
      <c r="C75" s="3" t="s">
        <v>151</v>
      </c>
      <c r="D75" s="3" t="s">
        <v>66</v>
      </c>
      <c r="E75" s="3" t="s">
        <v>67</v>
      </c>
      <c r="F75" s="3" t="s">
        <v>368</v>
      </c>
      <c r="G75" s="3" t="s">
        <v>369</v>
      </c>
      <c r="H75" s="3" t="s">
        <v>66</v>
      </c>
      <c r="I75" s="3">
        <v>3</v>
      </c>
      <c r="J75" s="3" t="s">
        <v>70</v>
      </c>
      <c r="K75" s="3" t="s">
        <v>59</v>
      </c>
      <c r="L75" s="3" t="s">
        <v>82</v>
      </c>
      <c r="M75" s="3" t="s">
        <v>105</v>
      </c>
      <c r="N75" s="3" t="s">
        <v>74</v>
      </c>
    </row>
    <row r="76" spans="1:14" ht="14.25">
      <c r="A76" s="3" t="s">
        <v>374</v>
      </c>
      <c r="B76" s="3" t="s">
        <v>375</v>
      </c>
      <c r="C76" s="3" t="s">
        <v>376</v>
      </c>
      <c r="D76" s="3" t="s">
        <v>66</v>
      </c>
      <c r="E76" s="3" t="s">
        <v>67</v>
      </c>
      <c r="F76" s="3" t="s">
        <v>377</v>
      </c>
      <c r="G76" s="3" t="s">
        <v>378</v>
      </c>
      <c r="H76" s="3" t="s">
        <v>66</v>
      </c>
      <c r="I76" s="3">
        <v>3</v>
      </c>
      <c r="J76" s="3" t="s">
        <v>379</v>
      </c>
      <c r="K76" s="3" t="s">
        <v>59</v>
      </c>
      <c r="L76" s="3" t="s">
        <v>82</v>
      </c>
      <c r="M76" s="3" t="s">
        <v>251</v>
      </c>
      <c r="N76" s="3" t="s">
        <v>74</v>
      </c>
    </row>
    <row r="77" spans="1:14" ht="14.25">
      <c r="A77" s="3" t="s">
        <v>380</v>
      </c>
      <c r="B77" s="3" t="s">
        <v>381</v>
      </c>
      <c r="C77" s="3" t="s">
        <v>382</v>
      </c>
      <c r="D77" s="3" t="s">
        <v>383</v>
      </c>
      <c r="E77" s="3" t="s">
        <v>67</v>
      </c>
      <c r="F77" s="3" t="s">
        <v>384</v>
      </c>
      <c r="G77" s="3" t="s">
        <v>385</v>
      </c>
      <c r="H77" s="3" t="s">
        <v>66</v>
      </c>
      <c r="I77" s="3">
        <v>4</v>
      </c>
      <c r="J77" s="3" t="s">
        <v>70</v>
      </c>
      <c r="K77" s="3" t="s">
        <v>81</v>
      </c>
      <c r="L77" s="3" t="s">
        <v>386</v>
      </c>
      <c r="M77" s="3" t="s">
        <v>90</v>
      </c>
      <c r="N77" s="3" t="s">
        <v>74</v>
      </c>
    </row>
    <row r="78" spans="1:14" ht="14.25">
      <c r="A78" s="3" t="s">
        <v>387</v>
      </c>
      <c r="B78" s="3" t="s">
        <v>388</v>
      </c>
      <c r="C78" s="3" t="s">
        <v>389</v>
      </c>
      <c r="D78" s="3" t="s">
        <v>66</v>
      </c>
      <c r="E78" s="3" t="s">
        <v>67</v>
      </c>
      <c r="F78" s="3" t="s">
        <v>390</v>
      </c>
      <c r="G78" s="3" t="s">
        <v>391</v>
      </c>
      <c r="H78" s="3" t="s">
        <v>66</v>
      </c>
      <c r="I78" s="3">
        <v>3</v>
      </c>
      <c r="J78" s="3" t="s">
        <v>70</v>
      </c>
      <c r="K78" s="3" t="s">
        <v>81</v>
      </c>
      <c r="L78" s="3" t="s">
        <v>82</v>
      </c>
      <c r="M78" s="3" t="s">
        <v>105</v>
      </c>
      <c r="N78" s="3" t="s">
        <v>74</v>
      </c>
    </row>
    <row r="79" spans="1:14" ht="14.25">
      <c r="A79" s="3" t="s">
        <v>392</v>
      </c>
      <c r="B79" s="3" t="s">
        <v>393</v>
      </c>
      <c r="C79" s="3" t="s">
        <v>394</v>
      </c>
      <c r="D79" s="3" t="s">
        <v>66</v>
      </c>
      <c r="E79" s="3" t="s">
        <v>67</v>
      </c>
      <c r="F79" s="3" t="s">
        <v>395</v>
      </c>
      <c r="G79" s="3" t="s">
        <v>396</v>
      </c>
      <c r="H79" s="3" t="s">
        <v>66</v>
      </c>
      <c r="I79" s="3">
        <v>4</v>
      </c>
      <c r="J79" s="3" t="s">
        <v>70</v>
      </c>
      <c r="K79" s="3" t="s">
        <v>81</v>
      </c>
      <c r="L79" s="3" t="s">
        <v>82</v>
      </c>
      <c r="M79" s="3" t="s">
        <v>105</v>
      </c>
      <c r="N79" s="3" t="s">
        <v>74</v>
      </c>
    </row>
    <row r="80" spans="1:14" ht="14.25">
      <c r="A80" s="3" t="s">
        <v>397</v>
      </c>
      <c r="B80" s="3" t="s">
        <v>398</v>
      </c>
      <c r="C80" s="3" t="s">
        <v>399</v>
      </c>
      <c r="D80" s="3" t="s">
        <v>66</v>
      </c>
      <c r="E80" s="3" t="s">
        <v>67</v>
      </c>
      <c r="F80" s="3" t="s">
        <v>400</v>
      </c>
      <c r="G80" s="3" t="s">
        <v>401</v>
      </c>
      <c r="H80" s="3" t="s">
        <v>66</v>
      </c>
      <c r="I80" s="3">
        <v>4</v>
      </c>
      <c r="J80" s="3" t="s">
        <v>70</v>
      </c>
      <c r="K80" s="3" t="s">
        <v>81</v>
      </c>
      <c r="L80" s="3" t="s">
        <v>82</v>
      </c>
      <c r="M80" s="3" t="s">
        <v>105</v>
      </c>
      <c r="N80" s="3" t="s">
        <v>74</v>
      </c>
    </row>
    <row r="81" spans="1:14" ht="14.25">
      <c r="A81" s="3" t="s">
        <v>402</v>
      </c>
      <c r="B81" s="3" t="s">
        <v>403</v>
      </c>
      <c r="C81" s="3" t="s">
        <v>404</v>
      </c>
      <c r="D81" s="3" t="s">
        <v>66</v>
      </c>
      <c r="E81" s="3" t="s">
        <v>67</v>
      </c>
      <c r="F81" s="3" t="s">
        <v>405</v>
      </c>
      <c r="G81" s="3" t="s">
        <v>406</v>
      </c>
      <c r="H81" s="3" t="s">
        <v>66</v>
      </c>
      <c r="I81" s="3">
        <v>4</v>
      </c>
      <c r="J81" s="3" t="s">
        <v>70</v>
      </c>
      <c r="K81" s="3" t="s">
        <v>81</v>
      </c>
      <c r="L81" s="3" t="s">
        <v>82</v>
      </c>
      <c r="M81" s="3" t="s">
        <v>105</v>
      </c>
      <c r="N81" s="3" t="s">
        <v>74</v>
      </c>
    </row>
    <row r="82" spans="1:14" ht="14.25">
      <c r="A82" s="3" t="s">
        <v>412</v>
      </c>
      <c r="B82" s="3" t="s">
        <v>413</v>
      </c>
      <c r="C82" s="3" t="s">
        <v>414</v>
      </c>
      <c r="D82" s="3" t="s">
        <v>66</v>
      </c>
      <c r="E82" s="3" t="s">
        <v>67</v>
      </c>
      <c r="F82" s="3" t="s">
        <v>415</v>
      </c>
      <c r="G82" s="3" t="s">
        <v>416</v>
      </c>
      <c r="H82" s="3" t="s">
        <v>66</v>
      </c>
      <c r="I82" s="3">
        <v>3</v>
      </c>
      <c r="J82" s="3" t="s">
        <v>70</v>
      </c>
      <c r="K82" s="3" t="s">
        <v>104</v>
      </c>
      <c r="L82" s="3" t="s">
        <v>190</v>
      </c>
      <c r="M82" s="3" t="s">
        <v>90</v>
      </c>
      <c r="N82" s="3" t="s">
        <v>74</v>
      </c>
    </row>
    <row r="83" spans="1:14" ht="14.25">
      <c r="A83" s="3" t="s">
        <v>417</v>
      </c>
      <c r="B83" s="3" t="s">
        <v>418</v>
      </c>
      <c r="C83" s="3" t="s">
        <v>419</v>
      </c>
      <c r="D83" s="3" t="s">
        <v>66</v>
      </c>
      <c r="E83" s="3" t="s">
        <v>67</v>
      </c>
      <c r="F83" s="3" t="s">
        <v>420</v>
      </c>
      <c r="G83" s="3" t="s">
        <v>421</v>
      </c>
      <c r="H83" s="3" t="s">
        <v>66</v>
      </c>
      <c r="I83" s="3">
        <v>3</v>
      </c>
      <c r="J83" s="3" t="s">
        <v>70</v>
      </c>
      <c r="K83" s="3" t="s">
        <v>81</v>
      </c>
      <c r="L83" s="3" t="s">
        <v>82</v>
      </c>
      <c r="M83" s="3" t="s">
        <v>105</v>
      </c>
      <c r="N83" s="3" t="s">
        <v>74</v>
      </c>
    </row>
    <row r="84" spans="1:14" ht="14.25">
      <c r="A84" s="3" t="s">
        <v>422</v>
      </c>
      <c r="B84" s="3" t="s">
        <v>423</v>
      </c>
      <c r="C84" s="3" t="s">
        <v>93</v>
      </c>
      <c r="D84" s="3" t="s">
        <v>66</v>
      </c>
      <c r="E84" s="3" t="s">
        <v>67</v>
      </c>
      <c r="F84" s="3" t="s">
        <v>424</v>
      </c>
      <c r="G84" s="3" t="s">
        <v>425</v>
      </c>
      <c r="H84" s="3" t="s">
        <v>66</v>
      </c>
      <c r="I84" s="3">
        <v>3</v>
      </c>
      <c r="J84" s="3" t="s">
        <v>70</v>
      </c>
      <c r="K84" s="3" t="s">
        <v>97</v>
      </c>
      <c r="L84" s="3" t="s">
        <v>426</v>
      </c>
      <c r="M84" s="3" t="s">
        <v>90</v>
      </c>
      <c r="N84" s="3" t="s">
        <v>74</v>
      </c>
    </row>
    <row r="85" spans="1:14" ht="14.25">
      <c r="A85" s="3" t="s">
        <v>427</v>
      </c>
      <c r="B85" s="3" t="s">
        <v>418</v>
      </c>
      <c r="C85" s="3" t="s">
        <v>428</v>
      </c>
      <c r="D85" s="3" t="s">
        <v>66</v>
      </c>
      <c r="E85" s="3" t="s">
        <v>67</v>
      </c>
      <c r="F85" s="3" t="s">
        <v>429</v>
      </c>
      <c r="G85" s="3" t="s">
        <v>430</v>
      </c>
      <c r="H85" s="3" t="s">
        <v>66</v>
      </c>
      <c r="I85" s="3">
        <v>3</v>
      </c>
      <c r="J85" s="3" t="s">
        <v>70</v>
      </c>
      <c r="K85" s="3" t="s">
        <v>81</v>
      </c>
      <c r="L85" s="3" t="s">
        <v>82</v>
      </c>
      <c r="M85" s="3" t="s">
        <v>105</v>
      </c>
      <c r="N85" s="3" t="s">
        <v>74</v>
      </c>
    </row>
    <row r="86" spans="1:14" ht="14.25">
      <c r="A86" s="3" t="s">
        <v>431</v>
      </c>
      <c r="B86" s="3" t="s">
        <v>432</v>
      </c>
      <c r="C86" s="3" t="s">
        <v>433</v>
      </c>
      <c r="D86" s="3" t="s">
        <v>66</v>
      </c>
      <c r="E86" s="3" t="s">
        <v>67</v>
      </c>
      <c r="F86" s="3" t="s">
        <v>434</v>
      </c>
      <c r="G86" s="3" t="s">
        <v>435</v>
      </c>
      <c r="H86" s="3" t="s">
        <v>66</v>
      </c>
      <c r="I86" s="3">
        <v>3</v>
      </c>
      <c r="J86" s="3" t="s">
        <v>70</v>
      </c>
      <c r="K86" s="3" t="s">
        <v>136</v>
      </c>
      <c r="L86" s="3" t="s">
        <v>436</v>
      </c>
      <c r="M86" s="3" t="s">
        <v>90</v>
      </c>
      <c r="N86" s="3" t="s">
        <v>74</v>
      </c>
    </row>
    <row r="87" spans="1:14" ht="14.25">
      <c r="A87" s="3" t="s">
        <v>437</v>
      </c>
      <c r="B87" s="3" t="s">
        <v>438</v>
      </c>
      <c r="C87" s="3" t="s">
        <v>439</v>
      </c>
      <c r="D87" s="3" t="s">
        <v>66</v>
      </c>
      <c r="E87" s="3" t="s">
        <v>67</v>
      </c>
      <c r="F87" s="3" t="s">
        <v>440</v>
      </c>
      <c r="G87" s="3" t="s">
        <v>441</v>
      </c>
      <c r="H87" s="3" t="s">
        <v>66</v>
      </c>
      <c r="I87" s="3">
        <v>3</v>
      </c>
      <c r="J87" s="3" t="s">
        <v>70</v>
      </c>
      <c r="K87" s="3" t="s">
        <v>59</v>
      </c>
      <c r="L87" s="3" t="s">
        <v>442</v>
      </c>
      <c r="M87" s="3" t="s">
        <v>90</v>
      </c>
      <c r="N87" s="3" t="s">
        <v>74</v>
      </c>
    </row>
    <row r="88" spans="1:14" ht="14.25">
      <c r="A88" s="3" t="s">
        <v>443</v>
      </c>
      <c r="B88" s="3" t="s">
        <v>444</v>
      </c>
      <c r="C88" s="3" t="s">
        <v>445</v>
      </c>
      <c r="D88" s="3" t="s">
        <v>66</v>
      </c>
      <c r="E88" s="3" t="s">
        <v>67</v>
      </c>
      <c r="F88" s="3" t="s">
        <v>446</v>
      </c>
      <c r="G88" s="3" t="s">
        <v>447</v>
      </c>
      <c r="H88" s="3" t="s">
        <v>66</v>
      </c>
      <c r="I88" s="3">
        <v>4</v>
      </c>
      <c r="J88" s="3" t="s">
        <v>70</v>
      </c>
      <c r="K88" s="3" t="s">
        <v>59</v>
      </c>
      <c r="L88" s="3" t="s">
        <v>82</v>
      </c>
      <c r="M88" s="3" t="s">
        <v>105</v>
      </c>
      <c r="N88" s="3" t="s">
        <v>74</v>
      </c>
    </row>
    <row r="89" spans="1:14" ht="14.25">
      <c r="A89" s="3" t="s">
        <v>448</v>
      </c>
      <c r="B89" s="3" t="s">
        <v>449</v>
      </c>
      <c r="C89" s="3" t="s">
        <v>450</v>
      </c>
      <c r="D89" s="3" t="s">
        <v>66</v>
      </c>
      <c r="E89" s="3" t="s">
        <v>67</v>
      </c>
      <c r="F89" s="3" t="s">
        <v>451</v>
      </c>
      <c r="G89" s="3" t="s">
        <v>452</v>
      </c>
      <c r="H89" s="3" t="s">
        <v>66</v>
      </c>
      <c r="I89" s="3">
        <v>3</v>
      </c>
      <c r="J89" s="3" t="s">
        <v>70</v>
      </c>
      <c r="K89" s="3" t="s">
        <v>81</v>
      </c>
      <c r="L89" s="3" t="s">
        <v>82</v>
      </c>
      <c r="M89" s="3" t="s">
        <v>105</v>
      </c>
      <c r="N89" s="3" t="s">
        <v>74</v>
      </c>
    </row>
    <row r="90" spans="1:14" ht="14.25">
      <c r="A90" s="3" t="s">
        <v>458</v>
      </c>
      <c r="B90" s="3" t="s">
        <v>459</v>
      </c>
      <c r="C90" s="3" t="s">
        <v>460</v>
      </c>
      <c r="D90" s="3" t="s">
        <v>66</v>
      </c>
      <c r="E90" s="3" t="s">
        <v>67</v>
      </c>
      <c r="F90" s="3" t="s">
        <v>461</v>
      </c>
      <c r="G90" s="3" t="s">
        <v>462</v>
      </c>
      <c r="H90" s="3" t="s">
        <v>66</v>
      </c>
      <c r="I90" s="3">
        <v>4</v>
      </c>
      <c r="J90" s="3" t="s">
        <v>70</v>
      </c>
      <c r="K90" s="3" t="s">
        <v>136</v>
      </c>
      <c r="L90" s="3" t="s">
        <v>82</v>
      </c>
      <c r="M90" s="3" t="s">
        <v>105</v>
      </c>
      <c r="N90" s="3" t="s">
        <v>74</v>
      </c>
    </row>
    <row r="91" spans="1:14" ht="14.25">
      <c r="A91" s="3" t="s">
        <v>463</v>
      </c>
      <c r="B91" s="3" t="s">
        <v>464</v>
      </c>
      <c r="C91" s="3" t="s">
        <v>160</v>
      </c>
      <c r="D91" s="3" t="s">
        <v>465</v>
      </c>
      <c r="E91" s="3" t="s">
        <v>67</v>
      </c>
      <c r="F91" s="3" t="s">
        <v>466</v>
      </c>
      <c r="G91" s="3" t="s">
        <v>467</v>
      </c>
      <c r="H91" s="3" t="s">
        <v>66</v>
      </c>
      <c r="I91" s="3">
        <v>3</v>
      </c>
      <c r="J91" s="3" t="s">
        <v>70</v>
      </c>
      <c r="K91" s="3" t="s">
        <v>97</v>
      </c>
      <c r="L91" s="3" t="s">
        <v>468</v>
      </c>
      <c r="M91" s="3" t="s">
        <v>90</v>
      </c>
      <c r="N91" s="3" t="s">
        <v>74</v>
      </c>
    </row>
    <row r="92" spans="1:14" ht="14.25">
      <c r="A92" s="3" t="s">
        <v>474</v>
      </c>
      <c r="B92" s="3" t="s">
        <v>475</v>
      </c>
      <c r="C92" s="3" t="s">
        <v>476</v>
      </c>
      <c r="D92" s="3" t="s">
        <v>66</v>
      </c>
      <c r="E92" s="3" t="s">
        <v>67</v>
      </c>
      <c r="F92" s="3" t="s">
        <v>477</v>
      </c>
      <c r="G92" s="3" t="s">
        <v>478</v>
      </c>
      <c r="H92" s="3" t="s">
        <v>66</v>
      </c>
      <c r="I92" s="3">
        <v>3</v>
      </c>
      <c r="J92" s="3" t="s">
        <v>70</v>
      </c>
      <c r="K92" s="3" t="s">
        <v>59</v>
      </c>
      <c r="L92" s="3" t="s">
        <v>82</v>
      </c>
      <c r="M92" s="3" t="s">
        <v>105</v>
      </c>
      <c r="N92" s="3" t="s">
        <v>74</v>
      </c>
    </row>
    <row r="93" spans="1:14" ht="14.25">
      <c r="A93" s="3" t="s">
        <v>479</v>
      </c>
      <c r="B93" s="3" t="s">
        <v>480</v>
      </c>
      <c r="C93" s="3" t="s">
        <v>139</v>
      </c>
      <c r="D93" s="3" t="s">
        <v>481</v>
      </c>
      <c r="E93" s="3" t="s">
        <v>67</v>
      </c>
      <c r="F93" s="3" t="s">
        <v>482</v>
      </c>
      <c r="G93" s="3" t="s">
        <v>483</v>
      </c>
      <c r="H93" s="3" t="s">
        <v>66</v>
      </c>
      <c r="I93" s="3">
        <v>5</v>
      </c>
      <c r="J93" s="3" t="s">
        <v>70</v>
      </c>
      <c r="K93" s="3" t="s">
        <v>97</v>
      </c>
      <c r="L93" s="3" t="s">
        <v>484</v>
      </c>
      <c r="M93" s="3" t="s">
        <v>90</v>
      </c>
      <c r="N93" s="3" t="s">
        <v>74</v>
      </c>
    </row>
    <row r="94" spans="1:14" ht="14.25">
      <c r="A94" s="3" t="s">
        <v>485</v>
      </c>
      <c r="B94" s="3" t="s">
        <v>486</v>
      </c>
      <c r="C94" s="3" t="s">
        <v>487</v>
      </c>
      <c r="D94" s="3" t="s">
        <v>66</v>
      </c>
      <c r="E94" s="3" t="s">
        <v>67</v>
      </c>
      <c r="F94" s="3" t="s">
        <v>488</v>
      </c>
      <c r="G94" s="3" t="s">
        <v>489</v>
      </c>
      <c r="H94" s="3" t="s">
        <v>66</v>
      </c>
      <c r="I94" s="3">
        <v>4</v>
      </c>
      <c r="J94" s="3" t="s">
        <v>70</v>
      </c>
      <c r="K94" s="3" t="s">
        <v>81</v>
      </c>
      <c r="L94" s="3" t="s">
        <v>82</v>
      </c>
      <c r="M94" s="3" t="s">
        <v>105</v>
      </c>
      <c r="N94" s="3" t="s">
        <v>74</v>
      </c>
    </row>
    <row r="95" spans="1:14" ht="14.25">
      <c r="A95" s="3" t="s">
        <v>490</v>
      </c>
      <c r="B95" s="3" t="s">
        <v>491</v>
      </c>
      <c r="C95" s="3" t="s">
        <v>492</v>
      </c>
      <c r="D95" s="3" t="s">
        <v>66</v>
      </c>
      <c r="E95" s="3" t="s">
        <v>67</v>
      </c>
      <c r="F95" s="3" t="s">
        <v>493</v>
      </c>
      <c r="G95" s="3" t="s">
        <v>494</v>
      </c>
      <c r="H95" s="3" t="s">
        <v>66</v>
      </c>
      <c r="I95" s="3">
        <v>4</v>
      </c>
      <c r="J95" s="3" t="s">
        <v>70</v>
      </c>
      <c r="K95" s="3" t="s">
        <v>81</v>
      </c>
      <c r="L95" s="3" t="s">
        <v>82</v>
      </c>
      <c r="M95" s="3" t="s">
        <v>105</v>
      </c>
      <c r="N95" s="3" t="s">
        <v>74</v>
      </c>
    </row>
    <row r="96" spans="1:14" ht="14.25">
      <c r="A96" s="3" t="s">
        <v>495</v>
      </c>
      <c r="B96" s="3" t="s">
        <v>496</v>
      </c>
      <c r="C96" s="3" t="s">
        <v>151</v>
      </c>
      <c r="D96" s="3" t="s">
        <v>497</v>
      </c>
      <c r="E96" s="3" t="s">
        <v>67</v>
      </c>
      <c r="F96" s="3" t="s">
        <v>498</v>
      </c>
      <c r="G96" s="3" t="s">
        <v>499</v>
      </c>
      <c r="H96" s="3" t="s">
        <v>66</v>
      </c>
      <c r="I96" s="3">
        <v>4</v>
      </c>
      <c r="J96" s="3" t="s">
        <v>70</v>
      </c>
      <c r="K96" s="3" t="s">
        <v>136</v>
      </c>
      <c r="L96" s="3" t="s">
        <v>82</v>
      </c>
      <c r="M96" s="3" t="s">
        <v>105</v>
      </c>
      <c r="N96" s="3" t="s">
        <v>74</v>
      </c>
    </row>
    <row r="97" spans="1:14" ht="14.25">
      <c r="A97" s="3" t="s">
        <v>500</v>
      </c>
      <c r="B97" s="3" t="s">
        <v>501</v>
      </c>
      <c r="C97" s="3" t="s">
        <v>502</v>
      </c>
      <c r="D97" s="3" t="s">
        <v>66</v>
      </c>
      <c r="E97" s="3" t="s">
        <v>67</v>
      </c>
      <c r="F97" s="3" t="s">
        <v>503</v>
      </c>
      <c r="G97" s="3" t="s">
        <v>504</v>
      </c>
      <c r="H97" s="3" t="s">
        <v>66</v>
      </c>
      <c r="I97" s="3">
        <v>4</v>
      </c>
      <c r="J97" s="3" t="s">
        <v>70</v>
      </c>
      <c r="K97" s="3" t="s">
        <v>59</v>
      </c>
      <c r="L97" s="3" t="s">
        <v>386</v>
      </c>
      <c r="M97" s="3" t="s">
        <v>90</v>
      </c>
      <c r="N97" s="3" t="s">
        <v>74</v>
      </c>
    </row>
    <row r="98" spans="1:14" ht="14.25">
      <c r="A98" s="3" t="s">
        <v>505</v>
      </c>
      <c r="B98" s="3" t="s">
        <v>506</v>
      </c>
      <c r="C98" s="3" t="s">
        <v>507</v>
      </c>
      <c r="D98" s="3" t="s">
        <v>508</v>
      </c>
      <c r="E98" s="3" t="s">
        <v>67</v>
      </c>
      <c r="F98" s="3" t="s">
        <v>509</v>
      </c>
      <c r="G98" s="3" t="s">
        <v>510</v>
      </c>
      <c r="H98" s="3" t="s">
        <v>66</v>
      </c>
      <c r="I98" s="3">
        <v>3</v>
      </c>
      <c r="J98" s="3" t="s">
        <v>70</v>
      </c>
      <c r="K98" s="3" t="s">
        <v>81</v>
      </c>
      <c r="L98" s="3" t="s">
        <v>82</v>
      </c>
      <c r="M98" s="3" t="s">
        <v>105</v>
      </c>
      <c r="N98" s="3" t="s">
        <v>74</v>
      </c>
    </row>
    <row r="99" spans="1:14" ht="14.25">
      <c r="A99" s="3" t="s">
        <v>515</v>
      </c>
      <c r="B99" s="3" t="s">
        <v>516</v>
      </c>
      <c r="C99" s="3" t="s">
        <v>517</v>
      </c>
      <c r="D99" s="3" t="s">
        <v>66</v>
      </c>
      <c r="E99" s="3" t="s">
        <v>67</v>
      </c>
      <c r="F99" s="3" t="s">
        <v>518</v>
      </c>
      <c r="G99" s="3" t="s">
        <v>519</v>
      </c>
      <c r="H99" s="3" t="s">
        <v>66</v>
      </c>
      <c r="I99" s="3">
        <v>4</v>
      </c>
      <c r="J99" s="3" t="s">
        <v>70</v>
      </c>
      <c r="K99" s="3" t="s">
        <v>59</v>
      </c>
      <c r="L99" s="3" t="s">
        <v>82</v>
      </c>
      <c r="M99" s="3" t="s">
        <v>105</v>
      </c>
      <c r="N99" s="3" t="s">
        <v>74</v>
      </c>
    </row>
    <row r="100" spans="1:14" ht="14.25">
      <c r="A100" s="3" t="s">
        <v>520</v>
      </c>
      <c r="B100" s="3" t="s">
        <v>521</v>
      </c>
      <c r="C100" s="3" t="s">
        <v>108</v>
      </c>
      <c r="D100" s="3" t="s">
        <v>66</v>
      </c>
      <c r="E100" s="3" t="s">
        <v>67</v>
      </c>
      <c r="F100" s="3" t="s">
        <v>522</v>
      </c>
      <c r="G100" s="3" t="s">
        <v>523</v>
      </c>
      <c r="H100" s="3" t="s">
        <v>66</v>
      </c>
      <c r="I100" s="3">
        <v>3</v>
      </c>
      <c r="J100" s="3" t="s">
        <v>70</v>
      </c>
      <c r="K100" s="3" t="s">
        <v>136</v>
      </c>
      <c r="L100" s="3" t="s">
        <v>82</v>
      </c>
      <c r="M100" s="3" t="s">
        <v>105</v>
      </c>
      <c r="N100" s="3" t="s">
        <v>74</v>
      </c>
    </row>
    <row r="101" spans="1:14" ht="14.25">
      <c r="A101" s="3" t="s">
        <v>524</v>
      </c>
      <c r="B101" s="3" t="s">
        <v>525</v>
      </c>
      <c r="C101" s="3" t="s">
        <v>526</v>
      </c>
      <c r="D101" s="3" t="s">
        <v>66</v>
      </c>
      <c r="E101" s="3" t="s">
        <v>67</v>
      </c>
      <c r="F101" s="3" t="s">
        <v>527</v>
      </c>
      <c r="G101" s="3" t="s">
        <v>528</v>
      </c>
      <c r="H101" s="3" t="s">
        <v>66</v>
      </c>
      <c r="I101" s="3">
        <v>4</v>
      </c>
      <c r="J101" s="3" t="s">
        <v>70</v>
      </c>
      <c r="K101" s="3" t="s">
        <v>59</v>
      </c>
      <c r="L101" s="3" t="s">
        <v>529</v>
      </c>
      <c r="M101" s="3" t="s">
        <v>73</v>
      </c>
      <c r="N101" s="3" t="s">
        <v>74</v>
      </c>
    </row>
    <row r="102" spans="1:14" ht="14.25">
      <c r="A102" s="3" t="s">
        <v>530</v>
      </c>
      <c r="B102" s="3" t="s">
        <v>531</v>
      </c>
      <c r="C102" s="3" t="s">
        <v>532</v>
      </c>
      <c r="D102" s="3" t="s">
        <v>66</v>
      </c>
      <c r="E102" s="3" t="s">
        <v>67</v>
      </c>
      <c r="F102" s="3" t="s">
        <v>533</v>
      </c>
      <c r="G102" s="3" t="s">
        <v>534</v>
      </c>
      <c r="H102" s="3" t="s">
        <v>66</v>
      </c>
      <c r="I102" s="3">
        <v>3</v>
      </c>
      <c r="J102" s="3" t="s">
        <v>70</v>
      </c>
      <c r="K102" s="3" t="s">
        <v>59</v>
      </c>
      <c r="L102" s="3" t="s">
        <v>82</v>
      </c>
      <c r="M102" s="3" t="s">
        <v>105</v>
      </c>
      <c r="N102" s="3" t="s">
        <v>74</v>
      </c>
    </row>
    <row r="103" spans="1:14" ht="14.25">
      <c r="A103" s="3" t="s">
        <v>535</v>
      </c>
      <c r="B103" s="3" t="s">
        <v>536</v>
      </c>
      <c r="C103" s="3" t="s">
        <v>537</v>
      </c>
      <c r="D103" s="3" t="s">
        <v>66</v>
      </c>
      <c r="E103" s="3" t="s">
        <v>67</v>
      </c>
      <c r="F103" s="3" t="s">
        <v>538</v>
      </c>
      <c r="G103" s="3" t="s">
        <v>539</v>
      </c>
      <c r="H103" s="3" t="s">
        <v>66</v>
      </c>
      <c r="I103" s="3">
        <v>3</v>
      </c>
      <c r="J103" s="3" t="s">
        <v>70</v>
      </c>
      <c r="K103" s="3" t="s">
        <v>81</v>
      </c>
      <c r="L103" s="3" t="s">
        <v>82</v>
      </c>
      <c r="M103" s="3" t="s">
        <v>105</v>
      </c>
      <c r="N103" s="3" t="s">
        <v>74</v>
      </c>
    </row>
    <row r="104" spans="1:14" ht="14.25">
      <c r="A104" s="3" t="s">
        <v>540</v>
      </c>
      <c r="B104" s="3" t="s">
        <v>541</v>
      </c>
      <c r="C104" s="3" t="s">
        <v>542</v>
      </c>
      <c r="D104" s="3" t="s">
        <v>66</v>
      </c>
      <c r="E104" s="3" t="s">
        <v>67</v>
      </c>
      <c r="F104" s="3" t="s">
        <v>543</v>
      </c>
      <c r="G104" s="3" t="s">
        <v>544</v>
      </c>
      <c r="H104" s="3" t="s">
        <v>66</v>
      </c>
      <c r="I104" s="3">
        <v>3</v>
      </c>
      <c r="J104" s="3" t="s">
        <v>70</v>
      </c>
      <c r="K104" s="3" t="s">
        <v>59</v>
      </c>
      <c r="L104" s="3" t="s">
        <v>82</v>
      </c>
      <c r="M104" s="3" t="s">
        <v>545</v>
      </c>
      <c r="N104" s="3" t="s">
        <v>74</v>
      </c>
    </row>
    <row r="105" spans="1:14" ht="14.25">
      <c r="A105" s="3" t="s">
        <v>546</v>
      </c>
      <c r="B105" s="3" t="s">
        <v>547</v>
      </c>
      <c r="C105" s="3" t="s">
        <v>548</v>
      </c>
      <c r="D105" s="3">
        <v>2.2080000000000002</v>
      </c>
      <c r="E105" s="3" t="s">
        <v>67</v>
      </c>
      <c r="F105" s="3" t="s">
        <v>549</v>
      </c>
      <c r="G105" s="3" t="s">
        <v>550</v>
      </c>
      <c r="H105" s="3" t="s">
        <v>66</v>
      </c>
      <c r="I105" s="3">
        <v>3</v>
      </c>
      <c r="J105" s="3" t="s">
        <v>70</v>
      </c>
      <c r="K105" s="3" t="s">
        <v>136</v>
      </c>
      <c r="L105" s="3" t="s">
        <v>82</v>
      </c>
      <c r="M105" s="3" t="s">
        <v>105</v>
      </c>
      <c r="N105" s="3" t="s">
        <v>74</v>
      </c>
    </row>
    <row r="106" spans="1:14" ht="14.25">
      <c r="A106" s="3" t="s">
        <v>551</v>
      </c>
      <c r="B106" s="3" t="s">
        <v>552</v>
      </c>
      <c r="C106" s="3" t="s">
        <v>187</v>
      </c>
      <c r="D106" s="3" t="s">
        <v>66</v>
      </c>
      <c r="E106" s="3" t="s">
        <v>67</v>
      </c>
      <c r="F106" s="3" t="s">
        <v>553</v>
      </c>
      <c r="G106" s="3" t="s">
        <v>554</v>
      </c>
      <c r="H106" s="3" t="s">
        <v>66</v>
      </c>
      <c r="I106" s="3">
        <v>3</v>
      </c>
      <c r="J106" s="3" t="s">
        <v>70</v>
      </c>
      <c r="K106" s="3" t="s">
        <v>97</v>
      </c>
      <c r="L106" s="3" t="s">
        <v>82</v>
      </c>
      <c r="M106" s="3" t="s">
        <v>105</v>
      </c>
      <c r="N106" s="3" t="s">
        <v>74</v>
      </c>
    </row>
    <row r="107" spans="1:14" ht="14.25">
      <c r="A107" s="3" t="s">
        <v>561</v>
      </c>
      <c r="B107" s="3" t="s">
        <v>562</v>
      </c>
      <c r="C107" s="3" t="s">
        <v>563</v>
      </c>
      <c r="D107" s="3">
        <v>6.0830000000000002</v>
      </c>
      <c r="E107" s="3" t="s">
        <v>67</v>
      </c>
      <c r="F107" s="3" t="s">
        <v>564</v>
      </c>
      <c r="G107" s="3" t="s">
        <v>565</v>
      </c>
      <c r="H107" s="3" t="s">
        <v>66</v>
      </c>
      <c r="I107" s="3">
        <v>4</v>
      </c>
      <c r="J107" s="3" t="s">
        <v>70</v>
      </c>
      <c r="K107" s="3" t="s">
        <v>136</v>
      </c>
      <c r="L107" s="3" t="s">
        <v>566</v>
      </c>
      <c r="M107" s="3" t="s">
        <v>90</v>
      </c>
      <c r="N107" s="3" t="s">
        <v>74</v>
      </c>
    </row>
    <row r="108" spans="1:14" ht="14.25">
      <c r="A108" s="3" t="s">
        <v>572</v>
      </c>
      <c r="B108" s="3" t="s">
        <v>573</v>
      </c>
      <c r="C108" s="3" t="s">
        <v>574</v>
      </c>
      <c r="D108" s="3" t="s">
        <v>66</v>
      </c>
      <c r="E108" s="3" t="s">
        <v>67</v>
      </c>
      <c r="F108" s="3" t="s">
        <v>575</v>
      </c>
      <c r="G108" s="3" t="s">
        <v>576</v>
      </c>
      <c r="H108" s="3" t="s">
        <v>66</v>
      </c>
      <c r="I108" s="3">
        <v>4</v>
      </c>
      <c r="J108" s="3" t="s">
        <v>70</v>
      </c>
      <c r="K108" s="3" t="s">
        <v>59</v>
      </c>
      <c r="L108" s="3" t="s">
        <v>577</v>
      </c>
      <c r="M108" s="3" t="s">
        <v>90</v>
      </c>
      <c r="N108" s="3" t="s">
        <v>74</v>
      </c>
    </row>
    <row r="109" spans="1:14" ht="14.25">
      <c r="A109" s="3" t="s">
        <v>578</v>
      </c>
      <c r="B109" s="3" t="s">
        <v>579</v>
      </c>
      <c r="C109" s="3" t="s">
        <v>580</v>
      </c>
      <c r="D109" s="3" t="s">
        <v>66</v>
      </c>
      <c r="E109" s="3" t="s">
        <v>67</v>
      </c>
      <c r="F109" s="3" t="s">
        <v>581</v>
      </c>
      <c r="G109" s="3" t="s">
        <v>582</v>
      </c>
      <c r="H109" s="3" t="s">
        <v>66</v>
      </c>
      <c r="I109" s="3">
        <v>4</v>
      </c>
      <c r="J109" s="3" t="s">
        <v>70</v>
      </c>
      <c r="K109" s="3" t="s">
        <v>59</v>
      </c>
      <c r="L109" s="3" t="s">
        <v>583</v>
      </c>
      <c r="M109" s="3" t="s">
        <v>90</v>
      </c>
      <c r="N109" s="3" t="s">
        <v>74</v>
      </c>
    </row>
    <row r="110" spans="1:14" ht="14.25">
      <c r="A110" s="3" t="s">
        <v>584</v>
      </c>
      <c r="B110" s="3" t="s">
        <v>585</v>
      </c>
      <c r="C110" s="3" t="s">
        <v>586</v>
      </c>
      <c r="D110" s="3" t="s">
        <v>66</v>
      </c>
      <c r="E110" s="3" t="s">
        <v>67</v>
      </c>
      <c r="F110" s="3" t="s">
        <v>587</v>
      </c>
      <c r="G110" s="3" t="s">
        <v>588</v>
      </c>
      <c r="H110" s="3" t="s">
        <v>66</v>
      </c>
      <c r="I110" s="3">
        <v>4</v>
      </c>
      <c r="J110" s="3" t="s">
        <v>70</v>
      </c>
      <c r="K110" s="3" t="s">
        <v>59</v>
      </c>
      <c r="L110" s="3" t="s">
        <v>82</v>
      </c>
      <c r="M110" s="3" t="s">
        <v>105</v>
      </c>
      <c r="N110" s="3" t="s">
        <v>74</v>
      </c>
    </row>
    <row r="111" spans="1:14" ht="14.25">
      <c r="A111" s="3" t="s">
        <v>589</v>
      </c>
      <c r="B111" s="3" t="s">
        <v>590</v>
      </c>
      <c r="C111" s="3" t="s">
        <v>591</v>
      </c>
      <c r="D111" s="3" t="s">
        <v>66</v>
      </c>
      <c r="E111" s="3" t="s">
        <v>67</v>
      </c>
      <c r="F111" s="3" t="s">
        <v>592</v>
      </c>
      <c r="G111" s="3" t="s">
        <v>593</v>
      </c>
      <c r="H111" s="3" t="s">
        <v>66</v>
      </c>
      <c r="I111" s="3">
        <v>4</v>
      </c>
      <c r="J111" s="3" t="s">
        <v>70</v>
      </c>
      <c r="K111" s="3" t="s">
        <v>81</v>
      </c>
      <c r="L111" s="3" t="s">
        <v>82</v>
      </c>
      <c r="M111" s="3" t="s">
        <v>105</v>
      </c>
      <c r="N111" s="3" t="s">
        <v>74</v>
      </c>
    </row>
    <row r="112" spans="1:14" ht="14.25">
      <c r="A112" s="3" t="s">
        <v>594</v>
      </c>
      <c r="B112" s="3" t="s">
        <v>595</v>
      </c>
      <c r="C112" s="3" t="s">
        <v>175</v>
      </c>
      <c r="D112" s="3" t="s">
        <v>66</v>
      </c>
      <c r="E112" s="3" t="s">
        <v>67</v>
      </c>
      <c r="F112" s="3" t="s">
        <v>596</v>
      </c>
      <c r="G112" s="3" t="s">
        <v>597</v>
      </c>
      <c r="H112" s="3" t="s">
        <v>66</v>
      </c>
      <c r="I112" s="3">
        <v>5</v>
      </c>
      <c r="J112" s="3" t="s">
        <v>70</v>
      </c>
      <c r="K112" s="3" t="s">
        <v>81</v>
      </c>
      <c r="L112" s="3" t="s">
        <v>82</v>
      </c>
      <c r="M112" s="3" t="s">
        <v>105</v>
      </c>
      <c r="N112" s="3" t="s">
        <v>74</v>
      </c>
    </row>
    <row r="113" spans="1:14" ht="14.25">
      <c r="A113" s="3" t="s">
        <v>598</v>
      </c>
      <c r="B113" s="3" t="s">
        <v>599</v>
      </c>
      <c r="C113" s="3" t="s">
        <v>600</v>
      </c>
      <c r="D113" s="3" t="s">
        <v>66</v>
      </c>
      <c r="E113" s="3" t="s">
        <v>67</v>
      </c>
      <c r="F113" s="3" t="s">
        <v>601</v>
      </c>
      <c r="G113" s="3" t="s">
        <v>602</v>
      </c>
      <c r="H113" s="3" t="s">
        <v>66</v>
      </c>
      <c r="I113" s="3">
        <v>4</v>
      </c>
      <c r="J113" s="3" t="s">
        <v>70</v>
      </c>
      <c r="K113" s="3" t="s">
        <v>81</v>
      </c>
      <c r="L113" s="3" t="s">
        <v>82</v>
      </c>
      <c r="M113" s="3" t="s">
        <v>105</v>
      </c>
      <c r="N113" s="3" t="s">
        <v>74</v>
      </c>
    </row>
    <row r="114" spans="1:14" ht="14.25">
      <c r="A114" s="3" t="s">
        <v>603</v>
      </c>
      <c r="B114" s="3" t="s">
        <v>604</v>
      </c>
      <c r="C114" s="3" t="s">
        <v>139</v>
      </c>
      <c r="D114" s="3" t="s">
        <v>605</v>
      </c>
      <c r="E114" s="3" t="s">
        <v>67</v>
      </c>
      <c r="F114" s="3" t="s">
        <v>606</v>
      </c>
      <c r="G114" s="3" t="s">
        <v>607</v>
      </c>
      <c r="H114" s="3" t="s">
        <v>66</v>
      </c>
      <c r="I114" s="3">
        <v>4</v>
      </c>
      <c r="J114" s="3" t="s">
        <v>70</v>
      </c>
      <c r="K114" s="3" t="s">
        <v>136</v>
      </c>
      <c r="L114" s="3" t="s">
        <v>436</v>
      </c>
      <c r="M114" s="3" t="s">
        <v>90</v>
      </c>
      <c r="N114" s="3" t="s">
        <v>74</v>
      </c>
    </row>
    <row r="115" spans="1:14" ht="14.25">
      <c r="A115" s="3" t="s">
        <v>608</v>
      </c>
      <c r="B115" s="3" t="s">
        <v>609</v>
      </c>
      <c r="C115" s="3" t="s">
        <v>160</v>
      </c>
      <c r="D115" s="3" t="s">
        <v>66</v>
      </c>
      <c r="E115" s="3" t="s">
        <v>67</v>
      </c>
      <c r="F115" s="3" t="s">
        <v>610</v>
      </c>
      <c r="G115" s="3" t="s">
        <v>611</v>
      </c>
      <c r="H115" s="3" t="s">
        <v>66</v>
      </c>
      <c r="I115" s="3">
        <v>4</v>
      </c>
      <c r="J115" s="3" t="s">
        <v>70</v>
      </c>
      <c r="K115" s="3" t="s">
        <v>136</v>
      </c>
      <c r="L115" s="3" t="s">
        <v>82</v>
      </c>
      <c r="M115" s="3" t="s">
        <v>105</v>
      </c>
      <c r="N115" s="3" t="s">
        <v>74</v>
      </c>
    </row>
    <row r="116" spans="1:14" ht="14.25">
      <c r="A116" s="3" t="s">
        <v>612</v>
      </c>
      <c r="B116" s="3" t="s">
        <v>613</v>
      </c>
      <c r="C116" s="3" t="s">
        <v>614</v>
      </c>
      <c r="D116" s="3" t="s">
        <v>66</v>
      </c>
      <c r="E116" s="3" t="s">
        <v>67</v>
      </c>
      <c r="F116" s="3" t="s">
        <v>615</v>
      </c>
      <c r="G116" s="3" t="s">
        <v>616</v>
      </c>
      <c r="H116" s="3" t="s">
        <v>66</v>
      </c>
      <c r="I116" s="3">
        <v>4</v>
      </c>
      <c r="J116" s="3" t="s">
        <v>70</v>
      </c>
      <c r="K116" s="3" t="s">
        <v>97</v>
      </c>
      <c r="L116" s="3" t="s">
        <v>82</v>
      </c>
      <c r="M116" s="3" t="s">
        <v>105</v>
      </c>
      <c r="N116" s="3" t="s">
        <v>74</v>
      </c>
    </row>
    <row r="117" spans="1:14" ht="14.25">
      <c r="A117" s="3" t="s">
        <v>617</v>
      </c>
      <c r="B117" s="3" t="s">
        <v>618</v>
      </c>
      <c r="C117" s="3" t="s">
        <v>619</v>
      </c>
      <c r="D117" s="3" t="s">
        <v>66</v>
      </c>
      <c r="E117" s="3" t="s">
        <v>67</v>
      </c>
      <c r="F117" s="3" t="s">
        <v>620</v>
      </c>
      <c r="G117" s="3" t="s">
        <v>621</v>
      </c>
      <c r="H117" s="3" t="s">
        <v>66</v>
      </c>
      <c r="I117" s="3">
        <v>4</v>
      </c>
      <c r="J117" s="3" t="s">
        <v>70</v>
      </c>
      <c r="K117" s="3" t="s">
        <v>81</v>
      </c>
      <c r="L117" s="3" t="s">
        <v>82</v>
      </c>
      <c r="M117" s="3" t="s">
        <v>105</v>
      </c>
      <c r="N117" s="3" t="s">
        <v>74</v>
      </c>
    </row>
    <row r="118" spans="1:14" ht="14.25">
      <c r="A118" s="3" t="s">
        <v>622</v>
      </c>
      <c r="B118" s="3" t="s">
        <v>623</v>
      </c>
      <c r="C118" s="3" t="s">
        <v>624</v>
      </c>
      <c r="D118" s="3" t="s">
        <v>66</v>
      </c>
      <c r="E118" s="3" t="s">
        <v>67</v>
      </c>
      <c r="F118" s="3" t="s">
        <v>625</v>
      </c>
      <c r="G118" s="3" t="s">
        <v>626</v>
      </c>
      <c r="H118" s="3" t="s">
        <v>66</v>
      </c>
      <c r="I118" s="3">
        <v>4</v>
      </c>
      <c r="J118" s="3" t="s">
        <v>70</v>
      </c>
      <c r="K118" s="3" t="s">
        <v>81</v>
      </c>
      <c r="L118" s="3" t="s">
        <v>82</v>
      </c>
      <c r="M118" s="3" t="s">
        <v>105</v>
      </c>
      <c r="N118" s="3" t="s">
        <v>74</v>
      </c>
    </row>
    <row r="119" spans="1:14" ht="14.25">
      <c r="A119" s="3" t="s">
        <v>627</v>
      </c>
      <c r="B119" s="3" t="s">
        <v>628</v>
      </c>
      <c r="C119" s="3" t="s">
        <v>629</v>
      </c>
      <c r="D119" s="3" t="s">
        <v>66</v>
      </c>
      <c r="E119" s="3" t="s">
        <v>67</v>
      </c>
      <c r="F119" s="3" t="s">
        <v>630</v>
      </c>
      <c r="G119" s="3" t="s">
        <v>631</v>
      </c>
      <c r="H119" s="3" t="s">
        <v>66</v>
      </c>
      <c r="I119" s="3">
        <v>4</v>
      </c>
      <c r="J119" s="3" t="s">
        <v>70</v>
      </c>
      <c r="K119" s="3" t="s">
        <v>122</v>
      </c>
      <c r="L119" s="3" t="s">
        <v>82</v>
      </c>
      <c r="M119" s="3" t="s">
        <v>632</v>
      </c>
      <c r="N119" s="3" t="s">
        <v>74</v>
      </c>
    </row>
    <row r="120" spans="1:14" ht="14.25">
      <c r="A120" s="3" t="s">
        <v>633</v>
      </c>
      <c r="B120" s="3" t="s">
        <v>634</v>
      </c>
      <c r="C120" s="3" t="s">
        <v>635</v>
      </c>
      <c r="D120" s="3" t="s">
        <v>66</v>
      </c>
      <c r="E120" s="3" t="s">
        <v>67</v>
      </c>
      <c r="F120" s="3" t="s">
        <v>636</v>
      </c>
      <c r="G120" s="3" t="s">
        <v>637</v>
      </c>
      <c r="H120" s="3" t="s">
        <v>66</v>
      </c>
      <c r="I120" s="3">
        <v>4</v>
      </c>
      <c r="J120" s="3" t="s">
        <v>70</v>
      </c>
      <c r="K120" s="3" t="s">
        <v>59</v>
      </c>
      <c r="L120" s="3" t="s">
        <v>82</v>
      </c>
      <c r="M120" s="3" t="s">
        <v>105</v>
      </c>
      <c r="N120" s="3" t="s">
        <v>74</v>
      </c>
    </row>
    <row r="121" spans="1:14" ht="14.25">
      <c r="A121" s="3" t="s">
        <v>638</v>
      </c>
      <c r="B121" s="3" t="s">
        <v>639</v>
      </c>
      <c r="C121" s="3" t="s">
        <v>640</v>
      </c>
      <c r="D121" s="3" t="s">
        <v>66</v>
      </c>
      <c r="E121" s="3" t="s">
        <v>67</v>
      </c>
      <c r="F121" s="3" t="s">
        <v>641</v>
      </c>
      <c r="G121" s="3" t="s">
        <v>642</v>
      </c>
      <c r="H121" s="3" t="s">
        <v>66</v>
      </c>
      <c r="I121" s="3">
        <v>4</v>
      </c>
      <c r="J121" s="3" t="s">
        <v>70</v>
      </c>
      <c r="K121" s="3" t="s">
        <v>81</v>
      </c>
      <c r="L121" s="3" t="s">
        <v>82</v>
      </c>
      <c r="M121" s="3" t="s">
        <v>105</v>
      </c>
      <c r="N121" s="3" t="s">
        <v>74</v>
      </c>
    </row>
    <row r="122" spans="1:14" ht="14.25">
      <c r="A122" s="3" t="s">
        <v>643</v>
      </c>
      <c r="B122" s="3" t="s">
        <v>644</v>
      </c>
      <c r="C122" s="3" t="s">
        <v>645</v>
      </c>
      <c r="D122" s="3" t="s">
        <v>66</v>
      </c>
      <c r="E122" s="3" t="s">
        <v>67</v>
      </c>
      <c r="F122" s="3" t="s">
        <v>646</v>
      </c>
      <c r="G122" s="3" t="s">
        <v>647</v>
      </c>
      <c r="H122" s="3" t="s">
        <v>66</v>
      </c>
      <c r="I122" s="3">
        <v>4</v>
      </c>
      <c r="J122" s="3" t="s">
        <v>70</v>
      </c>
      <c r="K122" s="3" t="s">
        <v>81</v>
      </c>
      <c r="L122" s="3" t="s">
        <v>82</v>
      </c>
      <c r="M122" s="3" t="s">
        <v>105</v>
      </c>
      <c r="N122" s="3" t="s">
        <v>74</v>
      </c>
    </row>
    <row r="123" spans="1:14" ht="14.25">
      <c r="A123" s="3" t="s">
        <v>648</v>
      </c>
      <c r="B123" s="3" t="s">
        <v>628</v>
      </c>
      <c r="C123" s="3" t="s">
        <v>649</v>
      </c>
      <c r="D123" s="3" t="s">
        <v>66</v>
      </c>
      <c r="E123" s="3" t="s">
        <v>67</v>
      </c>
      <c r="F123" s="3" t="s">
        <v>650</v>
      </c>
      <c r="G123" s="3" t="s">
        <v>651</v>
      </c>
      <c r="H123" s="3" t="s">
        <v>66</v>
      </c>
      <c r="I123" s="3">
        <v>4</v>
      </c>
      <c r="J123" s="3" t="s">
        <v>70</v>
      </c>
      <c r="K123" s="3" t="s">
        <v>81</v>
      </c>
      <c r="L123" s="3" t="s">
        <v>82</v>
      </c>
      <c r="M123" s="3" t="s">
        <v>105</v>
      </c>
      <c r="N123" s="3" t="s">
        <v>74</v>
      </c>
    </row>
    <row r="124" spans="1:14" ht="14.25">
      <c r="A124" s="3" t="s">
        <v>652</v>
      </c>
      <c r="B124" s="3" t="s">
        <v>653</v>
      </c>
      <c r="C124" s="3" t="s">
        <v>654</v>
      </c>
      <c r="D124" s="3" t="s">
        <v>655</v>
      </c>
      <c r="E124" s="3" t="s">
        <v>67</v>
      </c>
      <c r="F124" s="3" t="s">
        <v>656</v>
      </c>
      <c r="G124" s="3" t="s">
        <v>657</v>
      </c>
      <c r="H124" s="3" t="s">
        <v>66</v>
      </c>
      <c r="I124" s="3">
        <v>4</v>
      </c>
      <c r="J124" s="3" t="s">
        <v>70</v>
      </c>
      <c r="K124" s="3" t="s">
        <v>81</v>
      </c>
      <c r="L124" s="3" t="s">
        <v>658</v>
      </c>
      <c r="M124" s="3" t="s">
        <v>90</v>
      </c>
      <c r="N124" s="3" t="s">
        <v>74</v>
      </c>
    </row>
    <row r="125" spans="1:14" ht="14.25">
      <c r="A125" s="3" t="s">
        <v>659</v>
      </c>
      <c r="B125" s="3" t="s">
        <v>660</v>
      </c>
      <c r="C125" s="3" t="s">
        <v>629</v>
      </c>
      <c r="D125" s="3" t="s">
        <v>66</v>
      </c>
      <c r="E125" s="3" t="s">
        <v>67</v>
      </c>
      <c r="F125" s="3" t="s">
        <v>661</v>
      </c>
      <c r="G125" s="3" t="s">
        <v>662</v>
      </c>
      <c r="H125" s="3" t="s">
        <v>66</v>
      </c>
      <c r="I125" s="3">
        <v>4</v>
      </c>
      <c r="J125" s="3" t="s">
        <v>70</v>
      </c>
      <c r="K125" s="3" t="s">
        <v>122</v>
      </c>
      <c r="L125" s="3" t="s">
        <v>82</v>
      </c>
      <c r="M125" s="3" t="s">
        <v>663</v>
      </c>
      <c r="N125" s="3" t="s">
        <v>74</v>
      </c>
    </row>
    <row r="126" spans="1:14" ht="14.25">
      <c r="A126" s="3" t="s">
        <v>664</v>
      </c>
      <c r="B126" s="3" t="s">
        <v>665</v>
      </c>
      <c r="C126" s="3" t="s">
        <v>666</v>
      </c>
      <c r="D126" s="3" t="s">
        <v>66</v>
      </c>
      <c r="E126" s="3" t="s">
        <v>67</v>
      </c>
      <c r="F126" s="3" t="s">
        <v>667</v>
      </c>
      <c r="G126" s="3" t="s">
        <v>668</v>
      </c>
      <c r="H126" s="3" t="s">
        <v>66</v>
      </c>
      <c r="I126" s="3">
        <v>3</v>
      </c>
      <c r="J126" s="3" t="s">
        <v>70</v>
      </c>
      <c r="K126" s="3" t="s">
        <v>81</v>
      </c>
      <c r="L126" s="3" t="s">
        <v>82</v>
      </c>
      <c r="M126" s="3" t="s">
        <v>105</v>
      </c>
      <c r="N126" s="3" t="s">
        <v>74</v>
      </c>
    </row>
    <row r="127" spans="1:14" ht="14.25">
      <c r="A127" s="3" t="s">
        <v>673</v>
      </c>
      <c r="B127" s="3" t="s">
        <v>674</v>
      </c>
      <c r="C127" s="3" t="s">
        <v>675</v>
      </c>
      <c r="D127" s="3" t="s">
        <v>66</v>
      </c>
      <c r="E127" s="3" t="s">
        <v>67</v>
      </c>
      <c r="F127" s="3" t="s">
        <v>676</v>
      </c>
      <c r="G127" s="3" t="s">
        <v>677</v>
      </c>
      <c r="H127" s="3" t="s">
        <v>66</v>
      </c>
      <c r="I127" s="3">
        <v>4</v>
      </c>
      <c r="J127" s="3" t="s">
        <v>70</v>
      </c>
      <c r="K127" s="3" t="s">
        <v>116</v>
      </c>
      <c r="L127" s="3" t="s">
        <v>82</v>
      </c>
      <c r="M127" s="3" t="s">
        <v>105</v>
      </c>
      <c r="N127" s="3" t="s">
        <v>74</v>
      </c>
    </row>
    <row r="128" spans="1:14" ht="14.25">
      <c r="A128" s="3" t="s">
        <v>678</v>
      </c>
      <c r="B128" s="3" t="s">
        <v>679</v>
      </c>
      <c r="C128" s="3" t="s">
        <v>680</v>
      </c>
      <c r="D128" s="3" t="s">
        <v>66</v>
      </c>
      <c r="E128" s="3" t="s">
        <v>67</v>
      </c>
      <c r="F128" s="3" t="s">
        <v>681</v>
      </c>
      <c r="G128" s="3" t="s">
        <v>682</v>
      </c>
      <c r="H128" s="3" t="s">
        <v>66</v>
      </c>
      <c r="I128" s="3">
        <v>4</v>
      </c>
      <c r="J128" s="3" t="s">
        <v>70</v>
      </c>
      <c r="K128" s="3" t="s">
        <v>59</v>
      </c>
      <c r="L128" s="3" t="s">
        <v>82</v>
      </c>
      <c r="M128" s="3" t="s">
        <v>105</v>
      </c>
      <c r="N128" s="3" t="s">
        <v>74</v>
      </c>
    </row>
    <row r="129" spans="1:14" ht="14.25">
      <c r="A129" s="3" t="s">
        <v>683</v>
      </c>
      <c r="B129" s="3" t="s">
        <v>684</v>
      </c>
      <c r="C129" s="3" t="s">
        <v>685</v>
      </c>
      <c r="D129" s="3" t="s">
        <v>66</v>
      </c>
      <c r="E129" s="3" t="s">
        <v>67</v>
      </c>
      <c r="F129" s="3" t="s">
        <v>686</v>
      </c>
      <c r="G129" s="3" t="s">
        <v>687</v>
      </c>
      <c r="H129" s="3" t="s">
        <v>66</v>
      </c>
      <c r="I129" s="3">
        <v>5</v>
      </c>
      <c r="J129" s="3" t="s">
        <v>70</v>
      </c>
      <c r="K129" s="3" t="s">
        <v>116</v>
      </c>
      <c r="L129" s="3" t="s">
        <v>82</v>
      </c>
      <c r="M129" s="3" t="s">
        <v>105</v>
      </c>
      <c r="N129" s="3" t="s">
        <v>74</v>
      </c>
    </row>
    <row r="130" spans="1:14" ht="14.25">
      <c r="A130" s="3" t="s">
        <v>692</v>
      </c>
      <c r="B130" s="3" t="s">
        <v>693</v>
      </c>
      <c r="C130" s="3" t="s">
        <v>694</v>
      </c>
      <c r="D130" s="3" t="s">
        <v>66</v>
      </c>
      <c r="E130" s="3" t="s">
        <v>67</v>
      </c>
      <c r="F130" s="3" t="s">
        <v>695</v>
      </c>
      <c r="G130" s="3" t="s">
        <v>696</v>
      </c>
      <c r="H130" s="3" t="s">
        <v>66</v>
      </c>
      <c r="I130" s="3">
        <v>3</v>
      </c>
      <c r="J130" s="3" t="s">
        <v>70</v>
      </c>
      <c r="K130" s="3" t="s">
        <v>136</v>
      </c>
      <c r="L130" s="3" t="s">
        <v>82</v>
      </c>
      <c r="M130" s="3" t="s">
        <v>105</v>
      </c>
      <c r="N130" s="3" t="s">
        <v>74</v>
      </c>
    </row>
    <row r="131" spans="1:14" ht="14.25">
      <c r="A131" s="3" t="s">
        <v>697</v>
      </c>
      <c r="B131" s="3" t="s">
        <v>698</v>
      </c>
      <c r="C131" s="3" t="s">
        <v>699</v>
      </c>
      <c r="D131" s="3" t="s">
        <v>66</v>
      </c>
      <c r="E131" s="3" t="s">
        <v>67</v>
      </c>
      <c r="F131" s="3" t="s">
        <v>700</v>
      </c>
      <c r="G131" s="3" t="s">
        <v>701</v>
      </c>
      <c r="H131" s="3" t="s">
        <v>66</v>
      </c>
      <c r="I131" s="3">
        <v>3</v>
      </c>
      <c r="J131" s="3" t="s">
        <v>70</v>
      </c>
      <c r="K131" s="3" t="s">
        <v>81</v>
      </c>
      <c r="L131" s="3" t="s">
        <v>82</v>
      </c>
      <c r="M131" s="3" t="s">
        <v>105</v>
      </c>
      <c r="N131" s="3" t="s">
        <v>74</v>
      </c>
    </row>
    <row r="132" spans="1:14" ht="14.25">
      <c r="A132" s="3" t="s">
        <v>702</v>
      </c>
      <c r="B132" s="3" t="s">
        <v>703</v>
      </c>
      <c r="C132" s="3" t="s">
        <v>704</v>
      </c>
      <c r="D132" s="3" t="s">
        <v>66</v>
      </c>
      <c r="E132" s="3" t="s">
        <v>67</v>
      </c>
      <c r="F132" s="3" t="s">
        <v>705</v>
      </c>
      <c r="G132" s="3" t="s">
        <v>706</v>
      </c>
      <c r="H132" s="3" t="s">
        <v>66</v>
      </c>
      <c r="I132" s="3">
        <v>4</v>
      </c>
      <c r="J132" s="3" t="s">
        <v>70</v>
      </c>
      <c r="K132" s="3" t="s">
        <v>59</v>
      </c>
      <c r="L132" s="3" t="s">
        <v>82</v>
      </c>
      <c r="M132" s="3" t="s">
        <v>83</v>
      </c>
      <c r="N132" s="3" t="s">
        <v>74</v>
      </c>
    </row>
    <row r="133" spans="1:14" ht="14.25">
      <c r="A133" s="3" t="s">
        <v>730</v>
      </c>
      <c r="B133" s="3" t="s">
        <v>731</v>
      </c>
      <c r="C133" s="3" t="s">
        <v>732</v>
      </c>
      <c r="D133" s="3" t="s">
        <v>66</v>
      </c>
      <c r="E133" s="3" t="s">
        <v>67</v>
      </c>
      <c r="F133" s="3" t="s">
        <v>733</v>
      </c>
      <c r="G133" s="3" t="s">
        <v>734</v>
      </c>
      <c r="H133" s="3" t="s">
        <v>66</v>
      </c>
      <c r="I133" s="3">
        <v>4</v>
      </c>
      <c r="J133" s="3" t="s">
        <v>70</v>
      </c>
      <c r="K133" s="3" t="s">
        <v>59</v>
      </c>
      <c r="L133" s="3" t="s">
        <v>82</v>
      </c>
      <c r="M133" s="3" t="s">
        <v>105</v>
      </c>
      <c r="N133" s="3" t="s">
        <v>74</v>
      </c>
    </row>
    <row r="134" spans="1:14" ht="14.25">
      <c r="A134" s="3" t="s">
        <v>735</v>
      </c>
      <c r="B134" s="3" t="s">
        <v>736</v>
      </c>
      <c r="C134" s="3" t="s">
        <v>93</v>
      </c>
      <c r="D134" s="3" t="s">
        <v>66</v>
      </c>
      <c r="E134" s="3" t="s">
        <v>67</v>
      </c>
      <c r="F134" s="3" t="s">
        <v>737</v>
      </c>
      <c r="G134" s="3" t="s">
        <v>738</v>
      </c>
      <c r="H134" s="3" t="s">
        <v>66</v>
      </c>
      <c r="I134" s="3">
        <v>5</v>
      </c>
      <c r="J134" s="3" t="s">
        <v>70</v>
      </c>
      <c r="K134" s="3" t="s">
        <v>97</v>
      </c>
      <c r="L134" s="3" t="s">
        <v>468</v>
      </c>
      <c r="M134" s="3" t="s">
        <v>90</v>
      </c>
      <c r="N134" s="3" t="s">
        <v>74</v>
      </c>
    </row>
    <row r="135" spans="1:14" ht="14.25">
      <c r="A135" s="3" t="s">
        <v>739</v>
      </c>
      <c r="B135" s="3" t="s">
        <v>739</v>
      </c>
      <c r="C135" s="3" t="s">
        <v>740</v>
      </c>
      <c r="D135" s="3" t="s">
        <v>66</v>
      </c>
      <c r="E135" s="3" t="s">
        <v>67</v>
      </c>
      <c r="F135" s="3" t="s">
        <v>741</v>
      </c>
      <c r="G135" s="3" t="s">
        <v>742</v>
      </c>
      <c r="H135" s="3" t="s">
        <v>66</v>
      </c>
      <c r="I135" s="3">
        <v>4</v>
      </c>
      <c r="J135" s="3" t="s">
        <v>70</v>
      </c>
      <c r="K135" s="3" t="s">
        <v>59</v>
      </c>
      <c r="L135" s="3" t="s">
        <v>82</v>
      </c>
      <c r="M135" s="3" t="s">
        <v>105</v>
      </c>
      <c r="N135" s="3" t="s">
        <v>74</v>
      </c>
    </row>
    <row r="136" spans="1:14" ht="14.25">
      <c r="A136" s="3" t="s">
        <v>743</v>
      </c>
      <c r="B136" s="3" t="s">
        <v>744</v>
      </c>
      <c r="C136" s="3" t="s">
        <v>108</v>
      </c>
      <c r="D136" s="3" t="s">
        <v>745</v>
      </c>
      <c r="E136" s="3" t="s">
        <v>67</v>
      </c>
      <c r="F136" s="3" t="s">
        <v>746</v>
      </c>
      <c r="G136" s="3" t="s">
        <v>747</v>
      </c>
      <c r="H136" s="3" t="s">
        <v>66</v>
      </c>
      <c r="I136" s="3">
        <v>3</v>
      </c>
      <c r="J136" s="3" t="s">
        <v>70</v>
      </c>
      <c r="K136" s="3" t="s">
        <v>97</v>
      </c>
      <c r="L136" s="3" t="s">
        <v>82</v>
      </c>
      <c r="M136" s="3" t="s">
        <v>105</v>
      </c>
      <c r="N136" s="3" t="s">
        <v>74</v>
      </c>
    </row>
    <row r="137" spans="1:14" ht="14.25">
      <c r="A137" s="3" t="s">
        <v>748</v>
      </c>
      <c r="B137" s="3" t="s">
        <v>525</v>
      </c>
      <c r="C137" s="3" t="s">
        <v>526</v>
      </c>
      <c r="D137" s="3" t="s">
        <v>66</v>
      </c>
      <c r="E137" s="3" t="s">
        <v>67</v>
      </c>
      <c r="F137" s="3" t="s">
        <v>749</v>
      </c>
      <c r="G137" s="3" t="s">
        <v>528</v>
      </c>
      <c r="H137" s="3" t="s">
        <v>66</v>
      </c>
      <c r="I137" s="3">
        <v>4</v>
      </c>
      <c r="J137" s="3" t="s">
        <v>70</v>
      </c>
      <c r="K137" s="3" t="s">
        <v>59</v>
      </c>
      <c r="L137" s="3" t="s">
        <v>529</v>
      </c>
      <c r="M137" s="3" t="s">
        <v>73</v>
      </c>
      <c r="N137" s="3" t="s">
        <v>74</v>
      </c>
    </row>
    <row r="138" spans="1:14" ht="14.25">
      <c r="A138" s="3" t="s">
        <v>750</v>
      </c>
      <c r="B138" s="3" t="s">
        <v>751</v>
      </c>
      <c r="C138" s="3" t="s">
        <v>752</v>
      </c>
      <c r="D138" s="3" t="s">
        <v>753</v>
      </c>
      <c r="E138" s="3" t="s">
        <v>67</v>
      </c>
      <c r="F138" s="3" t="s">
        <v>754</v>
      </c>
      <c r="G138" s="3" t="s">
        <v>755</v>
      </c>
      <c r="H138" s="3" t="s">
        <v>66</v>
      </c>
      <c r="I138" s="3">
        <v>4</v>
      </c>
      <c r="J138" s="3" t="s">
        <v>70</v>
      </c>
      <c r="K138" s="3" t="s">
        <v>136</v>
      </c>
      <c r="L138" s="3" t="s">
        <v>82</v>
      </c>
      <c r="M138" s="3" t="s">
        <v>105</v>
      </c>
      <c r="N138" s="3" t="s">
        <v>74</v>
      </c>
    </row>
    <row r="139" spans="1:14" ht="14.25">
      <c r="A139" s="3" t="s">
        <v>756</v>
      </c>
      <c r="B139" s="3" t="s">
        <v>757</v>
      </c>
      <c r="C139" s="3" t="s">
        <v>758</v>
      </c>
      <c r="D139" s="3" t="s">
        <v>759</v>
      </c>
      <c r="E139" s="3" t="s">
        <v>67</v>
      </c>
      <c r="F139" s="3" t="s">
        <v>760</v>
      </c>
      <c r="G139" s="3" t="s">
        <v>761</v>
      </c>
      <c r="H139" s="3" t="s">
        <v>66</v>
      </c>
      <c r="I139" s="3">
        <v>4</v>
      </c>
      <c r="J139" s="3" t="s">
        <v>70</v>
      </c>
      <c r="K139" s="3" t="s">
        <v>97</v>
      </c>
      <c r="L139" s="3" t="s">
        <v>762</v>
      </c>
      <c r="M139" s="3" t="s">
        <v>90</v>
      </c>
      <c r="N139" s="3" t="s">
        <v>74</v>
      </c>
    </row>
    <row r="140" spans="1:14" ht="14.25">
      <c r="A140" s="3" t="s">
        <v>763</v>
      </c>
      <c r="B140" s="3" t="s">
        <v>228</v>
      </c>
      <c r="C140" s="3" t="s">
        <v>763</v>
      </c>
      <c r="D140" s="3" t="s">
        <v>66</v>
      </c>
      <c r="E140" s="3" t="s">
        <v>67</v>
      </c>
      <c r="F140" s="3" t="s">
        <v>764</v>
      </c>
      <c r="G140" s="3" t="s">
        <v>765</v>
      </c>
      <c r="H140" s="3" t="s">
        <v>66</v>
      </c>
      <c r="I140" s="3">
        <v>3</v>
      </c>
      <c r="J140" s="3" t="s">
        <v>70</v>
      </c>
      <c r="K140" s="3" t="s">
        <v>81</v>
      </c>
      <c r="L140" s="3" t="s">
        <v>82</v>
      </c>
      <c r="M140" s="3" t="s">
        <v>105</v>
      </c>
      <c r="N140" s="3" t="s">
        <v>74</v>
      </c>
    </row>
    <row r="141" spans="1:14" ht="14.25">
      <c r="A141" s="3" t="s">
        <v>770</v>
      </c>
      <c r="B141" s="3" t="s">
        <v>771</v>
      </c>
      <c r="C141" s="3" t="s">
        <v>100</v>
      </c>
      <c r="D141" s="3">
        <v>13.551</v>
      </c>
      <c r="E141" s="3" t="s">
        <v>67</v>
      </c>
      <c r="F141" s="3" t="s">
        <v>772</v>
      </c>
      <c r="G141" s="3" t="s">
        <v>773</v>
      </c>
      <c r="H141" s="3" t="s">
        <v>66</v>
      </c>
      <c r="I141" s="3">
        <v>3</v>
      </c>
      <c r="J141" s="3" t="s">
        <v>70</v>
      </c>
      <c r="K141" s="3" t="s">
        <v>97</v>
      </c>
      <c r="L141" s="3" t="s">
        <v>82</v>
      </c>
      <c r="M141" s="3" t="s">
        <v>105</v>
      </c>
      <c r="N141" s="3" t="s">
        <v>74</v>
      </c>
    </row>
    <row r="142" spans="1:14" ht="14.25">
      <c r="A142" s="3" t="s">
        <v>774</v>
      </c>
      <c r="B142" s="3" t="s">
        <v>775</v>
      </c>
      <c r="C142" s="3" t="s">
        <v>100</v>
      </c>
      <c r="D142" s="3" t="s">
        <v>776</v>
      </c>
      <c r="E142" s="3" t="s">
        <v>67</v>
      </c>
      <c r="F142" s="3" t="s">
        <v>777</v>
      </c>
      <c r="G142" s="3" t="s">
        <v>778</v>
      </c>
      <c r="H142" s="3" t="s">
        <v>66</v>
      </c>
      <c r="I142" s="3">
        <v>3</v>
      </c>
      <c r="J142" s="3" t="s">
        <v>70</v>
      </c>
      <c r="K142" s="3" t="s">
        <v>97</v>
      </c>
      <c r="L142" s="3" t="s">
        <v>82</v>
      </c>
      <c r="M142" s="3" t="s">
        <v>105</v>
      </c>
      <c r="N142" s="3" t="s">
        <v>74</v>
      </c>
    </row>
    <row r="143" spans="1:14" ht="14.25">
      <c r="A143" s="3" t="s">
        <v>783</v>
      </c>
      <c r="B143" s="3" t="s">
        <v>525</v>
      </c>
      <c r="C143" s="3" t="s">
        <v>784</v>
      </c>
      <c r="D143" s="3" t="s">
        <v>66</v>
      </c>
      <c r="E143" s="3" t="s">
        <v>67</v>
      </c>
      <c r="F143" s="3" t="s">
        <v>785</v>
      </c>
      <c r="G143" s="3" t="s">
        <v>786</v>
      </c>
      <c r="H143" s="3" t="s">
        <v>66</v>
      </c>
      <c r="I143" s="3">
        <v>4</v>
      </c>
      <c r="J143" s="3" t="s">
        <v>70</v>
      </c>
      <c r="K143" s="3" t="s">
        <v>81</v>
      </c>
      <c r="L143" s="3" t="s">
        <v>82</v>
      </c>
      <c r="M143" s="3" t="s">
        <v>105</v>
      </c>
      <c r="N143" s="3" t="s">
        <v>74</v>
      </c>
    </row>
    <row r="144" spans="1:14" ht="14.25">
      <c r="A144" s="3" t="s">
        <v>787</v>
      </c>
      <c r="B144" s="3" t="s">
        <v>788</v>
      </c>
      <c r="C144" s="3" t="s">
        <v>789</v>
      </c>
      <c r="D144" s="3" t="s">
        <v>66</v>
      </c>
      <c r="E144" s="3" t="s">
        <v>67</v>
      </c>
      <c r="F144" s="3" t="s">
        <v>790</v>
      </c>
      <c r="G144" s="3" t="s">
        <v>791</v>
      </c>
      <c r="H144" s="3" t="s">
        <v>66</v>
      </c>
      <c r="I144" s="3">
        <v>5</v>
      </c>
      <c r="J144" s="3" t="s">
        <v>70</v>
      </c>
      <c r="K144" s="3" t="s">
        <v>81</v>
      </c>
      <c r="L144" s="3" t="s">
        <v>82</v>
      </c>
      <c r="M144" s="3" t="s">
        <v>83</v>
      </c>
      <c r="N144" s="3" t="s">
        <v>74</v>
      </c>
    </row>
    <row r="145" spans="1:14" ht="14.25">
      <c r="A145" s="3" t="s">
        <v>792</v>
      </c>
      <c r="B145" s="3" t="s">
        <v>793</v>
      </c>
      <c r="C145" s="3" t="s">
        <v>789</v>
      </c>
      <c r="D145" s="3" t="s">
        <v>66</v>
      </c>
      <c r="E145" s="3" t="s">
        <v>67</v>
      </c>
      <c r="F145" s="3" t="s">
        <v>794</v>
      </c>
      <c r="G145" s="3" t="s">
        <v>795</v>
      </c>
      <c r="H145" s="3" t="s">
        <v>796</v>
      </c>
      <c r="I145" s="3">
        <v>5</v>
      </c>
      <c r="J145" s="3" t="s">
        <v>70</v>
      </c>
      <c r="K145" s="3" t="s">
        <v>81</v>
      </c>
      <c r="L145" s="3" t="s">
        <v>82</v>
      </c>
      <c r="M145" s="3" t="s">
        <v>83</v>
      </c>
      <c r="N145" s="3" t="s">
        <v>74</v>
      </c>
    </row>
    <row r="146" spans="1:14" ht="14.25">
      <c r="A146" s="3" t="s">
        <v>797</v>
      </c>
      <c r="B146" s="3" t="s">
        <v>797</v>
      </c>
      <c r="C146" s="3" t="s">
        <v>798</v>
      </c>
      <c r="D146" s="3" t="s">
        <v>66</v>
      </c>
      <c r="E146" s="3" t="s">
        <v>67</v>
      </c>
      <c r="F146" s="3" t="s">
        <v>799</v>
      </c>
      <c r="G146" s="3" t="s">
        <v>800</v>
      </c>
      <c r="H146" s="3" t="s">
        <v>66</v>
      </c>
      <c r="I146" s="3">
        <v>5</v>
      </c>
      <c r="J146" s="3" t="s">
        <v>70</v>
      </c>
      <c r="K146" s="3" t="s">
        <v>81</v>
      </c>
      <c r="L146" s="3" t="s">
        <v>82</v>
      </c>
      <c r="M146" s="3" t="s">
        <v>105</v>
      </c>
      <c r="N146" s="3" t="s">
        <v>74</v>
      </c>
    </row>
    <row r="147" spans="1:14" ht="14.25">
      <c r="A147" s="3" t="s">
        <v>801</v>
      </c>
      <c r="B147" s="3" t="s">
        <v>802</v>
      </c>
      <c r="C147" s="3" t="s">
        <v>803</v>
      </c>
      <c r="D147" s="3" t="s">
        <v>804</v>
      </c>
      <c r="E147" s="3" t="s">
        <v>67</v>
      </c>
      <c r="F147" s="3" t="s">
        <v>805</v>
      </c>
      <c r="G147" s="3" t="s">
        <v>806</v>
      </c>
      <c r="H147" s="3" t="s">
        <v>66</v>
      </c>
      <c r="I147" s="3">
        <v>3</v>
      </c>
      <c r="J147" s="3" t="s">
        <v>807</v>
      </c>
      <c r="K147" s="3" t="s">
        <v>97</v>
      </c>
      <c r="L147" s="3" t="s">
        <v>436</v>
      </c>
      <c r="M147" s="3" t="s">
        <v>808</v>
      </c>
      <c r="N147" s="3" t="s">
        <v>74</v>
      </c>
    </row>
    <row r="148" spans="1:14" ht="14.25">
      <c r="A148" s="3" t="s">
        <v>813</v>
      </c>
      <c r="B148" s="3" t="s">
        <v>814</v>
      </c>
      <c r="C148" s="3" t="s">
        <v>139</v>
      </c>
      <c r="D148" s="3">
        <v>3.1429999999999998</v>
      </c>
      <c r="E148" s="3" t="s">
        <v>67</v>
      </c>
      <c r="F148" s="3" t="s">
        <v>815</v>
      </c>
      <c r="G148" s="3" t="s">
        <v>816</v>
      </c>
      <c r="H148" s="3" t="s">
        <v>66</v>
      </c>
      <c r="I148" s="3">
        <v>3</v>
      </c>
      <c r="J148" s="3" t="s">
        <v>70</v>
      </c>
      <c r="K148" s="3" t="s">
        <v>104</v>
      </c>
      <c r="L148" s="3" t="s">
        <v>82</v>
      </c>
      <c r="M148" s="3" t="s">
        <v>105</v>
      </c>
      <c r="N148" s="3" t="s">
        <v>74</v>
      </c>
    </row>
    <row r="149" spans="1:14" ht="14.25">
      <c r="A149" s="3" t="s">
        <v>817</v>
      </c>
      <c r="B149" s="3" t="s">
        <v>818</v>
      </c>
      <c r="C149" s="3" t="s">
        <v>819</v>
      </c>
      <c r="D149" s="3" t="s">
        <v>66</v>
      </c>
      <c r="E149" s="3" t="s">
        <v>67</v>
      </c>
      <c r="F149" s="3" t="s">
        <v>820</v>
      </c>
      <c r="G149" s="3" t="s">
        <v>821</v>
      </c>
      <c r="H149" s="3" t="s">
        <v>66</v>
      </c>
      <c r="I149" s="3">
        <v>3</v>
      </c>
      <c r="J149" s="3" t="s">
        <v>70</v>
      </c>
      <c r="K149" s="3" t="s">
        <v>59</v>
      </c>
      <c r="L149" s="3" t="s">
        <v>82</v>
      </c>
      <c r="M149" s="3" t="s">
        <v>105</v>
      </c>
      <c r="N149" s="3" t="s">
        <v>74</v>
      </c>
    </row>
    <row r="150" spans="1:14" ht="14.25">
      <c r="A150" s="3" t="s">
        <v>822</v>
      </c>
      <c r="B150" s="3" t="s">
        <v>823</v>
      </c>
      <c r="C150" s="3" t="s">
        <v>160</v>
      </c>
      <c r="D150" s="3" t="s">
        <v>824</v>
      </c>
      <c r="E150" s="3" t="s">
        <v>67</v>
      </c>
      <c r="F150" s="3" t="s">
        <v>825</v>
      </c>
      <c r="G150" s="3" t="s">
        <v>826</v>
      </c>
      <c r="H150" s="3" t="s">
        <v>66</v>
      </c>
      <c r="I150" s="3">
        <v>3</v>
      </c>
      <c r="J150" s="3" t="s">
        <v>827</v>
      </c>
      <c r="K150" s="3" t="s">
        <v>97</v>
      </c>
      <c r="L150" s="3" t="s">
        <v>828</v>
      </c>
      <c r="M150" s="3" t="s">
        <v>808</v>
      </c>
      <c r="N150" s="3" t="s">
        <v>74</v>
      </c>
    </row>
    <row r="151" spans="1:14" ht="14.25">
      <c r="A151" s="3" t="s">
        <v>829</v>
      </c>
      <c r="B151" s="3" t="s">
        <v>830</v>
      </c>
      <c r="C151" s="3" t="s">
        <v>645</v>
      </c>
      <c r="D151" s="3" t="s">
        <v>66</v>
      </c>
      <c r="E151" s="3" t="s">
        <v>67</v>
      </c>
      <c r="F151" s="3" t="s">
        <v>831</v>
      </c>
      <c r="G151" s="3" t="s">
        <v>832</v>
      </c>
      <c r="H151" s="3" t="s">
        <v>66</v>
      </c>
      <c r="I151" s="3">
        <v>3</v>
      </c>
      <c r="J151" s="3" t="s">
        <v>70</v>
      </c>
      <c r="K151" s="3" t="s">
        <v>122</v>
      </c>
      <c r="L151" s="3" t="s">
        <v>82</v>
      </c>
      <c r="M151" s="3" t="s">
        <v>663</v>
      </c>
      <c r="N151" s="3" t="s">
        <v>74</v>
      </c>
    </row>
    <row r="152" spans="1:14" ht="14.25">
      <c r="A152" s="3" t="s">
        <v>833</v>
      </c>
      <c r="B152" s="3" t="s">
        <v>834</v>
      </c>
      <c r="C152" s="3" t="s">
        <v>835</v>
      </c>
      <c r="D152" s="3" t="s">
        <v>66</v>
      </c>
      <c r="E152" s="3" t="s">
        <v>67</v>
      </c>
      <c r="F152" s="3" t="s">
        <v>836</v>
      </c>
      <c r="G152" s="3" t="s">
        <v>837</v>
      </c>
      <c r="H152" s="3" t="s">
        <v>66</v>
      </c>
      <c r="I152" s="3">
        <v>4</v>
      </c>
      <c r="J152" s="3" t="s">
        <v>70</v>
      </c>
      <c r="K152" s="3" t="s">
        <v>81</v>
      </c>
      <c r="L152" s="3" t="s">
        <v>82</v>
      </c>
      <c r="M152" s="3" t="s">
        <v>105</v>
      </c>
      <c r="N152" s="3" t="s">
        <v>74</v>
      </c>
    </row>
    <row r="153" spans="1:14" ht="14.25">
      <c r="A153" s="3" t="s">
        <v>838</v>
      </c>
      <c r="B153" s="3" t="s">
        <v>839</v>
      </c>
      <c r="C153" s="3" t="s">
        <v>840</v>
      </c>
      <c r="D153" s="3" t="s">
        <v>804</v>
      </c>
      <c r="E153" s="3" t="s">
        <v>67</v>
      </c>
      <c r="F153" s="3" t="s">
        <v>841</v>
      </c>
      <c r="G153" s="3" t="s">
        <v>842</v>
      </c>
      <c r="H153" s="3" t="s">
        <v>66</v>
      </c>
      <c r="I153" s="3">
        <v>5</v>
      </c>
      <c r="J153" s="3" t="s">
        <v>70</v>
      </c>
      <c r="K153" s="3" t="s">
        <v>59</v>
      </c>
      <c r="L153" s="3" t="s">
        <v>82</v>
      </c>
      <c r="M153" s="3" t="s">
        <v>105</v>
      </c>
      <c r="N153" s="3" t="s">
        <v>74</v>
      </c>
    </row>
    <row r="154" spans="1:14" ht="14.25">
      <c r="A154" s="3" t="s">
        <v>843</v>
      </c>
      <c r="B154" s="3" t="s">
        <v>844</v>
      </c>
      <c r="C154" s="3" t="s">
        <v>845</v>
      </c>
      <c r="D154" s="3" t="s">
        <v>66</v>
      </c>
      <c r="E154" s="3" t="s">
        <v>67</v>
      </c>
      <c r="F154" s="3" t="s">
        <v>846</v>
      </c>
      <c r="G154" s="3" t="s">
        <v>847</v>
      </c>
      <c r="H154" s="3" t="s">
        <v>66</v>
      </c>
      <c r="I154" s="3">
        <v>4</v>
      </c>
      <c r="J154" s="3" t="s">
        <v>70</v>
      </c>
      <c r="K154" s="3" t="s">
        <v>59</v>
      </c>
      <c r="L154" s="3" t="s">
        <v>82</v>
      </c>
      <c r="M154" s="3" t="s">
        <v>105</v>
      </c>
      <c r="N154" s="3" t="s">
        <v>74</v>
      </c>
    </row>
    <row r="155" spans="1:14" ht="14.25">
      <c r="A155" s="3" t="s">
        <v>848</v>
      </c>
      <c r="B155" s="3" t="s">
        <v>849</v>
      </c>
      <c r="C155" s="3" t="s">
        <v>93</v>
      </c>
      <c r="D155" s="3">
        <v>0.4</v>
      </c>
      <c r="E155" s="3" t="s">
        <v>67</v>
      </c>
      <c r="F155" s="3" t="s">
        <v>850</v>
      </c>
      <c r="G155" s="3" t="s">
        <v>851</v>
      </c>
      <c r="H155" s="3" t="s">
        <v>852</v>
      </c>
      <c r="I155" s="3">
        <v>5</v>
      </c>
      <c r="J155" s="3" t="s">
        <v>70</v>
      </c>
      <c r="K155" s="3" t="s">
        <v>136</v>
      </c>
      <c r="L155" s="3" t="s">
        <v>82</v>
      </c>
      <c r="M155" s="3" t="s">
        <v>83</v>
      </c>
      <c r="N155" s="3" t="s">
        <v>74</v>
      </c>
    </row>
    <row r="156" spans="1:14" ht="14.25">
      <c r="A156" s="3" t="s">
        <v>853</v>
      </c>
      <c r="B156" s="3" t="s">
        <v>854</v>
      </c>
      <c r="C156" s="3" t="s">
        <v>93</v>
      </c>
      <c r="D156" s="3">
        <v>0.45</v>
      </c>
      <c r="E156" s="3" t="s">
        <v>67</v>
      </c>
      <c r="F156" s="3" t="s">
        <v>855</v>
      </c>
      <c r="G156" s="3" t="s">
        <v>856</v>
      </c>
      <c r="H156" s="3" t="s">
        <v>857</v>
      </c>
      <c r="I156" s="3">
        <v>5</v>
      </c>
      <c r="J156" s="3" t="s">
        <v>70</v>
      </c>
      <c r="K156" s="3" t="s">
        <v>136</v>
      </c>
      <c r="L156" s="3" t="s">
        <v>82</v>
      </c>
      <c r="M156" s="3" t="s">
        <v>83</v>
      </c>
      <c r="N156" s="3" t="s">
        <v>74</v>
      </c>
    </row>
    <row r="157" spans="1:14" ht="14.25">
      <c r="A157" s="3" t="s">
        <v>858</v>
      </c>
      <c r="B157" s="3" t="s">
        <v>859</v>
      </c>
      <c r="C157" s="3" t="s">
        <v>860</v>
      </c>
      <c r="D157" s="3">
        <v>0.4</v>
      </c>
      <c r="E157" s="3" t="s">
        <v>67</v>
      </c>
      <c r="F157" s="3" t="s">
        <v>861</v>
      </c>
      <c r="G157" s="3" t="s">
        <v>862</v>
      </c>
      <c r="H157" s="3" t="s">
        <v>863</v>
      </c>
      <c r="I157" s="3">
        <v>5</v>
      </c>
      <c r="J157" s="3" t="s">
        <v>70</v>
      </c>
      <c r="K157" s="3" t="s">
        <v>136</v>
      </c>
      <c r="L157" s="3" t="s">
        <v>82</v>
      </c>
      <c r="M157" s="3" t="s">
        <v>83</v>
      </c>
      <c r="N157" s="3" t="s">
        <v>74</v>
      </c>
    </row>
    <row r="158" spans="1:14" ht="14.25">
      <c r="A158" s="3" t="s">
        <v>864</v>
      </c>
      <c r="B158" s="3" t="s">
        <v>609</v>
      </c>
      <c r="C158" s="3" t="s">
        <v>865</v>
      </c>
      <c r="D158" s="3" t="s">
        <v>66</v>
      </c>
      <c r="E158" s="3" t="s">
        <v>67</v>
      </c>
      <c r="F158" s="3" t="s">
        <v>866</v>
      </c>
      <c r="G158" s="3" t="s">
        <v>867</v>
      </c>
      <c r="H158" s="3" t="s">
        <v>66</v>
      </c>
      <c r="I158" s="3">
        <v>4</v>
      </c>
      <c r="J158" s="3" t="s">
        <v>70</v>
      </c>
      <c r="K158" s="3" t="s">
        <v>59</v>
      </c>
      <c r="L158" s="3" t="s">
        <v>868</v>
      </c>
      <c r="M158" s="3" t="s">
        <v>90</v>
      </c>
      <c r="N158" s="3" t="s">
        <v>74</v>
      </c>
    </row>
    <row r="159" spans="1:14" ht="14.25">
      <c r="A159" s="3" t="s">
        <v>869</v>
      </c>
      <c r="B159" s="3" t="s">
        <v>609</v>
      </c>
      <c r="C159" s="3" t="s">
        <v>870</v>
      </c>
      <c r="D159" s="3" t="s">
        <v>66</v>
      </c>
      <c r="E159" s="3" t="s">
        <v>67</v>
      </c>
      <c r="F159" s="3" t="s">
        <v>871</v>
      </c>
      <c r="G159" s="3" t="s">
        <v>872</v>
      </c>
      <c r="H159" s="3" t="s">
        <v>66</v>
      </c>
      <c r="I159" s="3">
        <v>4</v>
      </c>
      <c r="J159" s="3" t="s">
        <v>70</v>
      </c>
      <c r="K159" s="3" t="s">
        <v>81</v>
      </c>
      <c r="L159" s="3" t="s">
        <v>873</v>
      </c>
      <c r="M159" s="3" t="s">
        <v>90</v>
      </c>
      <c r="N159" s="3" t="s">
        <v>74</v>
      </c>
    </row>
    <row r="160" spans="1:14" ht="14.25">
      <c r="A160" s="3" t="s">
        <v>874</v>
      </c>
      <c r="B160" s="3" t="s">
        <v>875</v>
      </c>
      <c r="C160" s="3" t="s">
        <v>876</v>
      </c>
      <c r="D160" s="3" t="s">
        <v>66</v>
      </c>
      <c r="E160" s="3" t="s">
        <v>67</v>
      </c>
      <c r="F160" s="3" t="s">
        <v>877</v>
      </c>
      <c r="G160" s="3" t="s">
        <v>878</v>
      </c>
      <c r="H160" s="3" t="s">
        <v>66</v>
      </c>
      <c r="I160" s="3">
        <v>4</v>
      </c>
      <c r="J160" s="3" t="s">
        <v>70</v>
      </c>
      <c r="K160" s="3" t="s">
        <v>81</v>
      </c>
      <c r="L160" s="3" t="s">
        <v>82</v>
      </c>
      <c r="M160" s="3" t="s">
        <v>105</v>
      </c>
      <c r="N160" s="3" t="s">
        <v>74</v>
      </c>
    </row>
    <row r="161" spans="1:14" ht="14.25">
      <c r="A161" s="3" t="s">
        <v>879</v>
      </c>
      <c r="B161" s="3" t="s">
        <v>880</v>
      </c>
      <c r="C161" s="3" t="s">
        <v>881</v>
      </c>
      <c r="D161" s="3" t="s">
        <v>66</v>
      </c>
      <c r="E161" s="3" t="s">
        <v>67</v>
      </c>
      <c r="F161" s="3" t="s">
        <v>882</v>
      </c>
      <c r="G161" s="3" t="s">
        <v>883</v>
      </c>
      <c r="H161" s="3" t="s">
        <v>66</v>
      </c>
      <c r="I161" s="3">
        <v>3</v>
      </c>
      <c r="J161" s="3" t="s">
        <v>884</v>
      </c>
      <c r="K161" s="3" t="s">
        <v>59</v>
      </c>
      <c r="L161" s="3" t="s">
        <v>82</v>
      </c>
      <c r="M161" s="3" t="s">
        <v>251</v>
      </c>
      <c r="N161" s="3" t="s">
        <v>74</v>
      </c>
    </row>
    <row r="162" spans="1:14" ht="14.25">
      <c r="A162" s="3" t="s">
        <v>889</v>
      </c>
      <c r="B162" s="3" t="s">
        <v>890</v>
      </c>
      <c r="C162" s="3" t="s">
        <v>891</v>
      </c>
      <c r="D162" s="3">
        <v>1.9</v>
      </c>
      <c r="E162" s="3" t="s">
        <v>67</v>
      </c>
      <c r="F162" s="3" t="s">
        <v>892</v>
      </c>
      <c r="G162" s="3" t="s">
        <v>893</v>
      </c>
      <c r="H162" s="3" t="s">
        <v>66</v>
      </c>
      <c r="I162" s="3">
        <v>3</v>
      </c>
      <c r="J162" s="3" t="s">
        <v>70</v>
      </c>
      <c r="K162" s="3" t="s">
        <v>97</v>
      </c>
      <c r="L162" s="3" t="s">
        <v>82</v>
      </c>
      <c r="M162" s="3" t="s">
        <v>105</v>
      </c>
      <c r="N162" s="3" t="s">
        <v>74</v>
      </c>
    </row>
    <row r="163" spans="1:14" ht="14.25">
      <c r="A163" s="3" t="s">
        <v>894</v>
      </c>
      <c r="B163" s="3" t="s">
        <v>895</v>
      </c>
      <c r="C163" s="3" t="s">
        <v>896</v>
      </c>
      <c r="D163" s="3" t="s">
        <v>66</v>
      </c>
      <c r="E163" s="3" t="s">
        <v>67</v>
      </c>
      <c r="F163" s="3" t="s">
        <v>897</v>
      </c>
      <c r="G163" s="3" t="s">
        <v>898</v>
      </c>
      <c r="H163" s="3" t="s">
        <v>66</v>
      </c>
      <c r="I163" s="3">
        <v>4</v>
      </c>
      <c r="J163" s="3" t="s">
        <v>70</v>
      </c>
      <c r="K163" s="3" t="s">
        <v>59</v>
      </c>
      <c r="L163" s="3" t="s">
        <v>82</v>
      </c>
      <c r="M163" s="3" t="s">
        <v>105</v>
      </c>
      <c r="N163" s="3" t="s">
        <v>74</v>
      </c>
    </row>
    <row r="164" spans="1:14" ht="14.25">
      <c r="A164" s="3" t="s">
        <v>899</v>
      </c>
      <c r="B164" s="3" t="s">
        <v>900</v>
      </c>
      <c r="C164" s="3" t="s">
        <v>901</v>
      </c>
      <c r="D164" s="3" t="s">
        <v>66</v>
      </c>
      <c r="E164" s="3" t="s">
        <v>67</v>
      </c>
      <c r="F164" s="3" t="s">
        <v>902</v>
      </c>
      <c r="G164" s="3" t="s">
        <v>903</v>
      </c>
      <c r="H164" s="3" t="s">
        <v>66</v>
      </c>
      <c r="I164" s="3">
        <v>4</v>
      </c>
      <c r="J164" s="3" t="s">
        <v>70</v>
      </c>
      <c r="K164" s="3" t="s">
        <v>59</v>
      </c>
      <c r="L164" s="3" t="s">
        <v>82</v>
      </c>
      <c r="M164" s="3" t="s">
        <v>83</v>
      </c>
      <c r="N164" s="3" t="s">
        <v>74</v>
      </c>
    </row>
    <row r="165" spans="1:14" ht="14.25">
      <c r="A165" s="3" t="s">
        <v>904</v>
      </c>
      <c r="B165" s="3" t="s">
        <v>905</v>
      </c>
      <c r="C165" s="3" t="s">
        <v>906</v>
      </c>
      <c r="D165" s="3" t="s">
        <v>66</v>
      </c>
      <c r="E165" s="3" t="s">
        <v>67</v>
      </c>
      <c r="F165" s="3" t="s">
        <v>907</v>
      </c>
      <c r="G165" s="3" t="s">
        <v>908</v>
      </c>
      <c r="H165" s="3" t="s">
        <v>66</v>
      </c>
      <c r="I165" s="3">
        <v>4</v>
      </c>
      <c r="J165" s="3" t="s">
        <v>70</v>
      </c>
      <c r="K165" s="3" t="s">
        <v>59</v>
      </c>
      <c r="L165" s="3" t="s">
        <v>82</v>
      </c>
      <c r="M165" s="3" t="s">
        <v>105</v>
      </c>
      <c r="N165" s="3" t="s">
        <v>74</v>
      </c>
    </row>
    <row r="166" spans="1:14" ht="14.25">
      <c r="A166" s="3" t="s">
        <v>909</v>
      </c>
      <c r="B166" s="3" t="s">
        <v>910</v>
      </c>
      <c r="C166" s="3" t="s">
        <v>911</v>
      </c>
      <c r="D166" s="3" t="s">
        <v>66</v>
      </c>
      <c r="E166" s="3" t="s">
        <v>67</v>
      </c>
      <c r="F166" s="3" t="s">
        <v>912</v>
      </c>
      <c r="G166" s="3" t="s">
        <v>913</v>
      </c>
      <c r="H166" s="3" t="s">
        <v>66</v>
      </c>
      <c r="I166" s="3">
        <v>4</v>
      </c>
      <c r="J166" s="3" t="s">
        <v>70</v>
      </c>
      <c r="K166" s="3" t="s">
        <v>116</v>
      </c>
      <c r="L166" s="3" t="s">
        <v>82</v>
      </c>
      <c r="M166" s="3" t="s">
        <v>105</v>
      </c>
      <c r="N166" s="3" t="s">
        <v>74</v>
      </c>
    </row>
    <row r="167" spans="1:14" ht="14.25">
      <c r="A167" s="3" t="s">
        <v>914</v>
      </c>
      <c r="B167" s="3" t="s">
        <v>915</v>
      </c>
      <c r="C167" s="3" t="s">
        <v>419</v>
      </c>
      <c r="D167" s="3" t="s">
        <v>66</v>
      </c>
      <c r="E167" s="3" t="s">
        <v>67</v>
      </c>
      <c r="F167" s="3" t="s">
        <v>916</v>
      </c>
      <c r="G167" s="3" t="s">
        <v>917</v>
      </c>
      <c r="H167" s="3" t="s">
        <v>66</v>
      </c>
      <c r="I167" s="3">
        <v>3</v>
      </c>
      <c r="J167" s="3" t="s">
        <v>70</v>
      </c>
      <c r="K167" s="3" t="s">
        <v>81</v>
      </c>
      <c r="L167" s="3" t="s">
        <v>82</v>
      </c>
      <c r="M167" s="3" t="s">
        <v>105</v>
      </c>
      <c r="N167" s="3" t="s">
        <v>74</v>
      </c>
    </row>
    <row r="168" spans="1:14" ht="14.25">
      <c r="A168" s="3" t="s">
        <v>918</v>
      </c>
      <c r="B168" s="3" t="s">
        <v>919</v>
      </c>
      <c r="C168" s="3" t="s">
        <v>151</v>
      </c>
      <c r="D168" s="3">
        <v>3.1040000000000001</v>
      </c>
      <c r="E168" s="3" t="s">
        <v>67</v>
      </c>
      <c r="F168" s="3" t="s">
        <v>920</v>
      </c>
      <c r="G168" s="3" t="s">
        <v>921</v>
      </c>
      <c r="H168" s="3" t="s">
        <v>66</v>
      </c>
      <c r="I168" s="3">
        <v>4</v>
      </c>
      <c r="J168" s="3" t="s">
        <v>70</v>
      </c>
      <c r="K168" s="3" t="s">
        <v>59</v>
      </c>
      <c r="L168" s="3" t="s">
        <v>922</v>
      </c>
      <c r="M168" s="3" t="s">
        <v>90</v>
      </c>
      <c r="N168" s="3" t="s">
        <v>74</v>
      </c>
    </row>
  </sheetData>
  <autoFilter ref="A1:N168" xr:uid="{00000000-0001-0000-02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Dashboard</vt:lpstr>
      <vt:lpstr>Matriz</vt:lpstr>
      <vt:lpstr>Periódicos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Osvaldo Luiz Santos Pereira</cp:lastModifiedBy>
  <dcterms:created xsi:type="dcterms:W3CDTF">2026-08-11T16:15:18Z</dcterms:created>
  <dcterms:modified xsi:type="dcterms:W3CDTF">2026-08-14T23:07:07Z</dcterms:modified>
</cp:coreProperties>
</file>