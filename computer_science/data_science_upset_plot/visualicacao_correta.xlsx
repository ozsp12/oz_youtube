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valdo\Downloads\"/>
    </mc:Choice>
  </mc:AlternateContent>
  <xr:revisionPtr revIDLastSave="0" documentId="13_ncr:1_{444EA0CB-D9C2-4BF0-9A92-CD2F402F7E74}" xr6:coauthVersionLast="47" xr6:coauthVersionMax="47" xr10:uidLastSave="{00000000-0000-0000-0000-000000000000}"/>
  <bookViews>
    <workbookView xWindow="-98" yWindow="-98" windowWidth="28996" windowHeight="15675" activeTab="1" xr2:uid="{29CDEB6B-E2BD-4BCD-BC2B-2498640C21A1}"/>
  </bookViews>
  <sheets>
    <sheet name="Planilha1" sheetId="1" r:id="rId1"/>
    <sheet name="Up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C43" i="2" l="1"/>
  <c r="C44" i="2"/>
  <c r="C45" i="2"/>
  <c r="C46" i="2"/>
  <c r="B35" i="2"/>
  <c r="B36" i="2"/>
  <c r="B37" i="2"/>
  <c r="B38" i="2"/>
  <c r="B6" i="1"/>
  <c r="F3" i="2"/>
  <c r="G3" i="2" s="1"/>
  <c r="F4" i="2"/>
  <c r="G4" i="2" s="1"/>
  <c r="F5" i="2"/>
  <c r="G5" i="2" s="1"/>
  <c r="F6" i="2"/>
  <c r="G6" i="2" s="1"/>
  <c r="F7" i="2"/>
  <c r="G7" i="2" s="1"/>
  <c r="F8" i="2"/>
  <c r="G8" i="2" s="1"/>
  <c r="F9" i="2"/>
  <c r="G9" i="2" s="1"/>
  <c r="F10" i="2"/>
  <c r="G10" i="2" s="1"/>
  <c r="F11" i="2"/>
  <c r="G11" i="2" s="1"/>
  <c r="F12" i="2"/>
  <c r="G12" i="2" s="1"/>
  <c r="F13" i="2"/>
  <c r="G13" i="2" s="1"/>
  <c r="F14" i="2"/>
  <c r="G14" i="2" s="1"/>
  <c r="F15" i="2"/>
  <c r="G15" i="2" s="1"/>
  <c r="F16" i="2"/>
  <c r="G16" i="2" s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F2" i="2"/>
  <c r="G2" i="2" s="1"/>
  <c r="A2" i="2"/>
  <c r="N15" i="1"/>
  <c r="N14" i="1"/>
  <c r="N13" i="1"/>
  <c r="N12" i="1"/>
  <c r="N11" i="1"/>
  <c r="N10" i="1"/>
  <c r="E104" i="1"/>
  <c r="D104" i="1"/>
  <c r="K104" i="1" s="1"/>
  <c r="C104" i="1"/>
  <c r="B104" i="1"/>
  <c r="A104" i="1"/>
  <c r="E103" i="1"/>
  <c r="D103" i="1"/>
  <c r="C103" i="1"/>
  <c r="B103" i="1"/>
  <c r="A103" i="1"/>
  <c r="E102" i="1"/>
  <c r="D102" i="1"/>
  <c r="K102" i="1" s="1"/>
  <c r="C102" i="1"/>
  <c r="B102" i="1"/>
  <c r="A102" i="1"/>
  <c r="E101" i="1"/>
  <c r="D101" i="1"/>
  <c r="K101" i="1" s="1"/>
  <c r="C101" i="1"/>
  <c r="B101" i="1"/>
  <c r="A101" i="1"/>
  <c r="E100" i="1"/>
  <c r="D100" i="1"/>
  <c r="K100" i="1" s="1"/>
  <c r="C100" i="1"/>
  <c r="B100" i="1"/>
  <c r="A100" i="1"/>
  <c r="E99" i="1"/>
  <c r="D99" i="1"/>
  <c r="C99" i="1"/>
  <c r="B99" i="1"/>
  <c r="A99" i="1"/>
  <c r="E98" i="1"/>
  <c r="D98" i="1"/>
  <c r="C98" i="1"/>
  <c r="B98" i="1"/>
  <c r="A98" i="1"/>
  <c r="E97" i="1"/>
  <c r="D97" i="1"/>
  <c r="K97" i="1" s="1"/>
  <c r="C97" i="1"/>
  <c r="B97" i="1"/>
  <c r="A97" i="1"/>
  <c r="E96" i="1"/>
  <c r="D96" i="1"/>
  <c r="K96" i="1" s="1"/>
  <c r="C96" i="1"/>
  <c r="B96" i="1"/>
  <c r="A96" i="1"/>
  <c r="E95" i="1"/>
  <c r="D95" i="1"/>
  <c r="C95" i="1"/>
  <c r="B95" i="1"/>
  <c r="A95" i="1"/>
  <c r="E94" i="1"/>
  <c r="D94" i="1"/>
  <c r="C94" i="1"/>
  <c r="B94" i="1"/>
  <c r="A94" i="1"/>
  <c r="E93" i="1"/>
  <c r="D93" i="1"/>
  <c r="K93" i="1" s="1"/>
  <c r="C93" i="1"/>
  <c r="B93" i="1"/>
  <c r="A93" i="1"/>
  <c r="E92" i="1"/>
  <c r="D92" i="1"/>
  <c r="C92" i="1"/>
  <c r="B92" i="1"/>
  <c r="A92" i="1"/>
  <c r="E91" i="1"/>
  <c r="D91" i="1"/>
  <c r="C91" i="1"/>
  <c r="B91" i="1"/>
  <c r="A91" i="1"/>
  <c r="E90" i="1"/>
  <c r="D90" i="1"/>
  <c r="K90" i="1" s="1"/>
  <c r="C90" i="1"/>
  <c r="B90" i="1"/>
  <c r="A90" i="1"/>
  <c r="E89" i="1"/>
  <c r="D89" i="1"/>
  <c r="C89" i="1"/>
  <c r="B89" i="1"/>
  <c r="A89" i="1"/>
  <c r="E88" i="1"/>
  <c r="D88" i="1"/>
  <c r="K88" i="1" s="1"/>
  <c r="C88" i="1"/>
  <c r="B88" i="1"/>
  <c r="A88" i="1"/>
  <c r="E87" i="1"/>
  <c r="D87" i="1"/>
  <c r="K87" i="1" s="1"/>
  <c r="C87" i="1"/>
  <c r="B87" i="1"/>
  <c r="A87" i="1"/>
  <c r="E86" i="1"/>
  <c r="D86" i="1"/>
  <c r="K86" i="1" s="1"/>
  <c r="C86" i="1"/>
  <c r="B86" i="1"/>
  <c r="A86" i="1"/>
  <c r="E85" i="1"/>
  <c r="D85" i="1"/>
  <c r="K85" i="1" s="1"/>
  <c r="C85" i="1"/>
  <c r="B85" i="1"/>
  <c r="A85" i="1"/>
  <c r="E84" i="1"/>
  <c r="D84" i="1"/>
  <c r="K84" i="1" s="1"/>
  <c r="C84" i="1"/>
  <c r="B84" i="1"/>
  <c r="A84" i="1"/>
  <c r="E83" i="1"/>
  <c r="D83" i="1"/>
  <c r="C83" i="1"/>
  <c r="B83" i="1"/>
  <c r="A83" i="1"/>
  <c r="E82" i="1"/>
  <c r="D82" i="1"/>
  <c r="C82" i="1"/>
  <c r="B82" i="1"/>
  <c r="A82" i="1"/>
  <c r="E81" i="1"/>
  <c r="D81" i="1"/>
  <c r="K81" i="1" s="1"/>
  <c r="C81" i="1"/>
  <c r="B81" i="1"/>
  <c r="A81" i="1"/>
  <c r="E80" i="1"/>
  <c r="D80" i="1"/>
  <c r="K80" i="1" s="1"/>
  <c r="C80" i="1"/>
  <c r="B80" i="1"/>
  <c r="A80" i="1"/>
  <c r="E79" i="1"/>
  <c r="D79" i="1"/>
  <c r="K79" i="1" s="1"/>
  <c r="C79" i="1"/>
  <c r="B79" i="1"/>
  <c r="A79" i="1"/>
  <c r="E78" i="1"/>
  <c r="D78" i="1"/>
  <c r="K78" i="1" s="1"/>
  <c r="C78" i="1"/>
  <c r="B78" i="1"/>
  <c r="A78" i="1"/>
  <c r="E77" i="1"/>
  <c r="D77" i="1"/>
  <c r="K77" i="1" s="1"/>
  <c r="C77" i="1"/>
  <c r="B77" i="1"/>
  <c r="A77" i="1"/>
  <c r="E76" i="1"/>
  <c r="D76" i="1"/>
  <c r="C76" i="1"/>
  <c r="B76" i="1"/>
  <c r="A76" i="1"/>
  <c r="E75" i="1"/>
  <c r="D75" i="1"/>
  <c r="C75" i="1"/>
  <c r="B75" i="1"/>
  <c r="A75" i="1"/>
  <c r="E74" i="1"/>
  <c r="D74" i="1"/>
  <c r="K74" i="1" s="1"/>
  <c r="C74" i="1"/>
  <c r="B74" i="1"/>
  <c r="A74" i="1"/>
  <c r="E73" i="1"/>
  <c r="D73" i="1"/>
  <c r="C73" i="1"/>
  <c r="B73" i="1"/>
  <c r="A73" i="1"/>
  <c r="E72" i="1"/>
  <c r="D72" i="1"/>
  <c r="K72" i="1" s="1"/>
  <c r="C72" i="1"/>
  <c r="B72" i="1"/>
  <c r="A72" i="1"/>
  <c r="E71" i="1"/>
  <c r="D71" i="1"/>
  <c r="K71" i="1" s="1"/>
  <c r="C71" i="1"/>
  <c r="B71" i="1"/>
  <c r="A71" i="1"/>
  <c r="E70" i="1"/>
  <c r="D70" i="1"/>
  <c r="K70" i="1" s="1"/>
  <c r="C70" i="1"/>
  <c r="B70" i="1"/>
  <c r="A70" i="1"/>
  <c r="E69" i="1"/>
  <c r="D69" i="1"/>
  <c r="K69" i="1" s="1"/>
  <c r="C69" i="1"/>
  <c r="B69" i="1"/>
  <c r="A69" i="1"/>
  <c r="E68" i="1"/>
  <c r="D68" i="1"/>
  <c r="K68" i="1" s="1"/>
  <c r="C68" i="1"/>
  <c r="B68" i="1"/>
  <c r="A68" i="1"/>
  <c r="E67" i="1"/>
  <c r="D67" i="1"/>
  <c r="K67" i="1" s="1"/>
  <c r="C67" i="1"/>
  <c r="B67" i="1"/>
  <c r="A67" i="1"/>
  <c r="E66" i="1"/>
  <c r="D66" i="1"/>
  <c r="K66" i="1" s="1"/>
  <c r="C66" i="1"/>
  <c r="B66" i="1"/>
  <c r="A66" i="1"/>
  <c r="E65" i="1"/>
  <c r="D65" i="1"/>
  <c r="K65" i="1" s="1"/>
  <c r="C65" i="1"/>
  <c r="B65" i="1"/>
  <c r="A65" i="1"/>
  <c r="E64" i="1"/>
  <c r="D64" i="1"/>
  <c r="K64" i="1" s="1"/>
  <c r="C64" i="1"/>
  <c r="B64" i="1"/>
  <c r="A64" i="1"/>
  <c r="E63" i="1"/>
  <c r="D63" i="1"/>
  <c r="K63" i="1" s="1"/>
  <c r="C63" i="1"/>
  <c r="B63" i="1"/>
  <c r="A63" i="1"/>
  <c r="E62" i="1"/>
  <c r="D62" i="1"/>
  <c r="K62" i="1" s="1"/>
  <c r="C62" i="1"/>
  <c r="B62" i="1"/>
  <c r="A62" i="1"/>
  <c r="E61" i="1"/>
  <c r="D61" i="1"/>
  <c r="K61" i="1" s="1"/>
  <c r="C61" i="1"/>
  <c r="B61" i="1"/>
  <c r="A61" i="1"/>
  <c r="E60" i="1"/>
  <c r="D60" i="1"/>
  <c r="K60" i="1" s="1"/>
  <c r="C60" i="1"/>
  <c r="B60" i="1"/>
  <c r="A60" i="1"/>
  <c r="E59" i="1"/>
  <c r="D59" i="1"/>
  <c r="K59" i="1" s="1"/>
  <c r="C59" i="1"/>
  <c r="B59" i="1"/>
  <c r="A59" i="1"/>
  <c r="E58" i="1"/>
  <c r="D58" i="1"/>
  <c r="K58" i="1" s="1"/>
  <c r="C58" i="1"/>
  <c r="B58" i="1"/>
  <c r="A58" i="1"/>
  <c r="E57" i="1"/>
  <c r="D57" i="1"/>
  <c r="K57" i="1" s="1"/>
  <c r="C57" i="1"/>
  <c r="B57" i="1"/>
  <c r="A57" i="1"/>
  <c r="E56" i="1"/>
  <c r="D56" i="1"/>
  <c r="K56" i="1" s="1"/>
  <c r="C56" i="1"/>
  <c r="B56" i="1"/>
  <c r="A56" i="1"/>
  <c r="E55" i="1"/>
  <c r="D55" i="1"/>
  <c r="K55" i="1" s="1"/>
  <c r="C55" i="1"/>
  <c r="B55" i="1"/>
  <c r="A55" i="1"/>
  <c r="E54" i="1"/>
  <c r="D54" i="1"/>
  <c r="K54" i="1" s="1"/>
  <c r="C54" i="1"/>
  <c r="B54" i="1"/>
  <c r="A54" i="1"/>
  <c r="E53" i="1"/>
  <c r="D53" i="1"/>
  <c r="K53" i="1" s="1"/>
  <c r="C53" i="1"/>
  <c r="B53" i="1"/>
  <c r="A53" i="1"/>
  <c r="E52" i="1"/>
  <c r="D52" i="1"/>
  <c r="K52" i="1" s="1"/>
  <c r="C52" i="1"/>
  <c r="B52" i="1"/>
  <c r="A52" i="1"/>
  <c r="E51" i="1"/>
  <c r="D51" i="1"/>
  <c r="K51" i="1" s="1"/>
  <c r="C51" i="1"/>
  <c r="B51" i="1"/>
  <c r="A51" i="1"/>
  <c r="E50" i="1"/>
  <c r="D50" i="1"/>
  <c r="K50" i="1" s="1"/>
  <c r="C50" i="1"/>
  <c r="B50" i="1"/>
  <c r="A50" i="1"/>
  <c r="E49" i="1"/>
  <c r="D49" i="1"/>
  <c r="K49" i="1" s="1"/>
  <c r="C49" i="1"/>
  <c r="B49" i="1"/>
  <c r="A49" i="1"/>
  <c r="E48" i="1"/>
  <c r="D48" i="1"/>
  <c r="K48" i="1" s="1"/>
  <c r="C48" i="1"/>
  <c r="B48" i="1"/>
  <c r="A48" i="1"/>
  <c r="E47" i="1"/>
  <c r="D47" i="1"/>
  <c r="K47" i="1" s="1"/>
  <c r="C47" i="1"/>
  <c r="B47" i="1"/>
  <c r="A47" i="1"/>
  <c r="E46" i="1"/>
  <c r="D46" i="1"/>
  <c r="K46" i="1" s="1"/>
  <c r="C46" i="1"/>
  <c r="B46" i="1"/>
  <c r="A46" i="1"/>
  <c r="E45" i="1"/>
  <c r="D45" i="1"/>
  <c r="K45" i="1" s="1"/>
  <c r="C45" i="1"/>
  <c r="B45" i="1"/>
  <c r="A45" i="1"/>
  <c r="E44" i="1"/>
  <c r="D44" i="1"/>
  <c r="K44" i="1" s="1"/>
  <c r="C44" i="1"/>
  <c r="B44" i="1"/>
  <c r="A44" i="1"/>
  <c r="E43" i="1"/>
  <c r="D43" i="1"/>
  <c r="C43" i="1"/>
  <c r="B43" i="1"/>
  <c r="A43" i="1"/>
  <c r="E42" i="1"/>
  <c r="D42" i="1"/>
  <c r="K42" i="1" s="1"/>
  <c r="C42" i="1"/>
  <c r="B42" i="1"/>
  <c r="A42" i="1"/>
  <c r="E41" i="1"/>
  <c r="D41" i="1"/>
  <c r="C41" i="1"/>
  <c r="B41" i="1"/>
  <c r="A41" i="1"/>
  <c r="E40" i="1"/>
  <c r="D40" i="1"/>
  <c r="K40" i="1" s="1"/>
  <c r="C40" i="1"/>
  <c r="B40" i="1"/>
  <c r="A40" i="1"/>
  <c r="E39" i="1"/>
  <c r="D39" i="1"/>
  <c r="K39" i="1" s="1"/>
  <c r="C39" i="1"/>
  <c r="B39" i="1"/>
  <c r="A39" i="1"/>
  <c r="E38" i="1"/>
  <c r="D38" i="1"/>
  <c r="K38" i="1" s="1"/>
  <c r="C38" i="1"/>
  <c r="B38" i="1"/>
  <c r="A38" i="1"/>
  <c r="E37" i="1"/>
  <c r="D37" i="1"/>
  <c r="K37" i="1" s="1"/>
  <c r="C37" i="1"/>
  <c r="B37" i="1"/>
  <c r="A37" i="1"/>
  <c r="E36" i="1"/>
  <c r="D36" i="1"/>
  <c r="K36" i="1" s="1"/>
  <c r="C36" i="1"/>
  <c r="B36" i="1"/>
  <c r="A36" i="1"/>
  <c r="E35" i="1"/>
  <c r="D35" i="1"/>
  <c r="K35" i="1" s="1"/>
  <c r="C35" i="1"/>
  <c r="B35" i="1"/>
  <c r="A35" i="1"/>
  <c r="E34" i="1"/>
  <c r="D34" i="1"/>
  <c r="K34" i="1" s="1"/>
  <c r="C34" i="1"/>
  <c r="B34" i="1"/>
  <c r="A34" i="1"/>
  <c r="E33" i="1"/>
  <c r="D33" i="1"/>
  <c r="K33" i="1" s="1"/>
  <c r="C33" i="1"/>
  <c r="B33" i="1"/>
  <c r="A33" i="1"/>
  <c r="E32" i="1"/>
  <c r="D32" i="1"/>
  <c r="K32" i="1" s="1"/>
  <c r="C32" i="1"/>
  <c r="B32" i="1"/>
  <c r="A32" i="1"/>
  <c r="E31" i="1"/>
  <c r="D31" i="1"/>
  <c r="K31" i="1" s="1"/>
  <c r="C31" i="1"/>
  <c r="B31" i="1"/>
  <c r="A31" i="1"/>
  <c r="E30" i="1"/>
  <c r="D30" i="1"/>
  <c r="C30" i="1"/>
  <c r="B30" i="1"/>
  <c r="A30" i="1"/>
  <c r="E29" i="1"/>
  <c r="D29" i="1"/>
  <c r="K29" i="1" s="1"/>
  <c r="C29" i="1"/>
  <c r="B29" i="1"/>
  <c r="A29" i="1"/>
  <c r="E28" i="1"/>
  <c r="D28" i="1"/>
  <c r="K28" i="1" s="1"/>
  <c r="C28" i="1"/>
  <c r="B28" i="1"/>
  <c r="A28" i="1"/>
  <c r="E27" i="1"/>
  <c r="D27" i="1"/>
  <c r="C27" i="1"/>
  <c r="B27" i="1"/>
  <c r="A27" i="1"/>
  <c r="E26" i="1"/>
  <c r="D26" i="1"/>
  <c r="C26" i="1"/>
  <c r="B26" i="1"/>
  <c r="A26" i="1"/>
  <c r="E25" i="1"/>
  <c r="D25" i="1"/>
  <c r="C25" i="1"/>
  <c r="B25" i="1"/>
  <c r="A25" i="1"/>
  <c r="E24" i="1"/>
  <c r="D24" i="1"/>
  <c r="K24" i="1" s="1"/>
  <c r="C24" i="1"/>
  <c r="B24" i="1"/>
  <c r="A24" i="1"/>
  <c r="E23" i="1"/>
  <c r="D23" i="1"/>
  <c r="K23" i="1" s="1"/>
  <c r="C23" i="1"/>
  <c r="B23" i="1"/>
  <c r="A23" i="1"/>
  <c r="E22" i="1"/>
  <c r="D22" i="1"/>
  <c r="K22" i="1" s="1"/>
  <c r="C22" i="1"/>
  <c r="B22" i="1"/>
  <c r="A22" i="1"/>
  <c r="E21" i="1"/>
  <c r="D21" i="1"/>
  <c r="K21" i="1" s="1"/>
  <c r="C21" i="1"/>
  <c r="B21" i="1"/>
  <c r="A21" i="1"/>
  <c r="E20" i="1"/>
  <c r="D20" i="1"/>
  <c r="K20" i="1" s="1"/>
  <c r="C20" i="1"/>
  <c r="B20" i="1"/>
  <c r="A20" i="1"/>
  <c r="E19" i="1"/>
  <c r="D19" i="1"/>
  <c r="K19" i="1" s="1"/>
  <c r="C19" i="1"/>
  <c r="B19" i="1"/>
  <c r="A19" i="1"/>
  <c r="E18" i="1"/>
  <c r="D18" i="1"/>
  <c r="K18" i="1" s="1"/>
  <c r="C18" i="1"/>
  <c r="B18" i="1"/>
  <c r="A18" i="1"/>
  <c r="E17" i="1"/>
  <c r="D17" i="1"/>
  <c r="K17" i="1" s="1"/>
  <c r="C17" i="1"/>
  <c r="B17" i="1"/>
  <c r="A17" i="1"/>
  <c r="E16" i="1"/>
  <c r="D16" i="1"/>
  <c r="K16" i="1" s="1"/>
  <c r="C16" i="1"/>
  <c r="B16" i="1"/>
  <c r="A16" i="1"/>
  <c r="E15" i="1"/>
  <c r="D15" i="1"/>
  <c r="K15" i="1" s="1"/>
  <c r="C15" i="1"/>
  <c r="B15" i="1"/>
  <c r="A15" i="1"/>
  <c r="E14" i="1"/>
  <c r="D14" i="1"/>
  <c r="K14" i="1" s="1"/>
  <c r="C14" i="1"/>
  <c r="B14" i="1"/>
  <c r="A14" i="1"/>
  <c r="E13" i="1"/>
  <c r="D13" i="1"/>
  <c r="K13" i="1" s="1"/>
  <c r="C13" i="1"/>
  <c r="B13" i="1"/>
  <c r="A13" i="1"/>
  <c r="E12" i="1"/>
  <c r="D12" i="1"/>
  <c r="C12" i="1"/>
  <c r="B12" i="1"/>
  <c r="A12" i="1"/>
  <c r="E11" i="1"/>
  <c r="D11" i="1"/>
  <c r="K11" i="1" s="1"/>
  <c r="C11" i="1"/>
  <c r="B11" i="1"/>
  <c r="A11" i="1"/>
  <c r="E10" i="1"/>
  <c r="D10" i="1"/>
  <c r="K10" i="1" s="1"/>
  <c r="C10" i="1"/>
  <c r="B10" i="1"/>
  <c r="A10" i="1"/>
  <c r="E9" i="1"/>
  <c r="D9" i="1"/>
  <c r="C9" i="1"/>
  <c r="B9" i="1"/>
  <c r="A9" i="1"/>
  <c r="E8" i="1"/>
  <c r="D8" i="1"/>
  <c r="K8" i="1" s="1"/>
  <c r="C8" i="1"/>
  <c r="B8" i="1"/>
  <c r="A8" i="1"/>
  <c r="E7" i="1"/>
  <c r="D7" i="1"/>
  <c r="K7" i="1" s="1"/>
  <c r="C7" i="1"/>
  <c r="B7" i="1"/>
  <c r="A7" i="1"/>
  <c r="E6" i="1"/>
  <c r="D6" i="1"/>
  <c r="C6" i="1"/>
  <c r="A6" i="1"/>
  <c r="Z21" i="2" l="1"/>
  <c r="X22" i="2"/>
  <c r="AB21" i="2"/>
  <c r="AA21" i="2"/>
  <c r="Y21" i="2"/>
  <c r="X21" i="2"/>
  <c r="W21" i="2"/>
  <c r="V21" i="2"/>
  <c r="U21" i="2"/>
  <c r="T21" i="2"/>
  <c r="R21" i="2"/>
  <c r="AB22" i="2"/>
  <c r="AA22" i="2"/>
  <c r="Z22" i="2"/>
  <c r="Y22" i="2"/>
  <c r="W22" i="2"/>
  <c r="V22" i="2"/>
  <c r="U22" i="2"/>
  <c r="T22" i="2"/>
  <c r="R22" i="2"/>
  <c r="S21" i="2"/>
  <c r="S22" i="2"/>
  <c r="K82" i="1"/>
  <c r="K9" i="1"/>
  <c r="K89" i="1"/>
  <c r="I25" i="1"/>
  <c r="K12" i="1"/>
  <c r="K26" i="1"/>
  <c r="K103" i="1"/>
  <c r="K41" i="1"/>
  <c r="K27" i="1"/>
  <c r="K73" i="1"/>
  <c r="K30" i="1"/>
  <c r="K98" i="1"/>
  <c r="K94" i="1"/>
  <c r="K75" i="1"/>
  <c r="K99" i="1"/>
  <c r="K95" i="1"/>
  <c r="K76" i="1"/>
  <c r="K91" i="1"/>
  <c r="K83" i="1"/>
  <c r="K43" i="1"/>
  <c r="O9" i="1"/>
  <c r="K92" i="1"/>
  <c r="G25" i="1"/>
  <c r="F25" i="1"/>
  <c r="J24" i="1"/>
  <c r="I24" i="1"/>
  <c r="J104" i="1"/>
  <c r="I104" i="1"/>
  <c r="H104" i="1"/>
  <c r="G104" i="1"/>
  <c r="F104" i="1"/>
  <c r="J103" i="1"/>
  <c r="I103" i="1"/>
  <c r="H103" i="1"/>
  <c r="G103" i="1"/>
  <c r="F103" i="1"/>
  <c r="J102" i="1"/>
  <c r="I102" i="1"/>
  <c r="H102" i="1"/>
  <c r="G102" i="1"/>
  <c r="F102" i="1"/>
  <c r="J101" i="1"/>
  <c r="I101" i="1"/>
  <c r="H101" i="1"/>
  <c r="G101" i="1"/>
  <c r="F101" i="1"/>
  <c r="J100" i="1"/>
  <c r="I100" i="1"/>
  <c r="H100" i="1"/>
  <c r="G100" i="1"/>
  <c r="F100" i="1"/>
  <c r="I99" i="1"/>
  <c r="J99" i="1"/>
  <c r="H99" i="1"/>
  <c r="G99" i="1"/>
  <c r="F99" i="1"/>
  <c r="I98" i="1"/>
  <c r="J98" i="1"/>
  <c r="H98" i="1"/>
  <c r="F98" i="1"/>
  <c r="G98" i="1"/>
  <c r="I97" i="1"/>
  <c r="J97" i="1"/>
  <c r="G97" i="1"/>
  <c r="H97" i="1"/>
  <c r="F97" i="1"/>
  <c r="I96" i="1"/>
  <c r="J96" i="1"/>
  <c r="G96" i="1"/>
  <c r="F96" i="1"/>
  <c r="H96" i="1"/>
  <c r="J95" i="1"/>
  <c r="I95" i="1"/>
  <c r="H95" i="1"/>
  <c r="F95" i="1"/>
  <c r="G95" i="1"/>
  <c r="I94" i="1"/>
  <c r="J94" i="1"/>
  <c r="G94" i="1"/>
  <c r="F94" i="1"/>
  <c r="H94" i="1"/>
  <c r="I93" i="1"/>
  <c r="J93" i="1"/>
  <c r="G93" i="1"/>
  <c r="F93" i="1"/>
  <c r="H93" i="1"/>
  <c r="J92" i="1"/>
  <c r="I92" i="1"/>
  <c r="G92" i="1"/>
  <c r="F92" i="1"/>
  <c r="H92" i="1"/>
  <c r="I91" i="1"/>
  <c r="J91" i="1"/>
  <c r="H91" i="1"/>
  <c r="G91" i="1"/>
  <c r="F91" i="1"/>
  <c r="J90" i="1"/>
  <c r="I90" i="1"/>
  <c r="G90" i="1"/>
  <c r="H90" i="1"/>
  <c r="F90" i="1"/>
  <c r="I89" i="1"/>
  <c r="J89" i="1"/>
  <c r="F89" i="1"/>
  <c r="G89" i="1"/>
  <c r="H89" i="1"/>
  <c r="I88" i="1"/>
  <c r="J88" i="1"/>
  <c r="F88" i="1"/>
  <c r="G88" i="1"/>
  <c r="H88" i="1"/>
  <c r="I87" i="1"/>
  <c r="J87" i="1"/>
  <c r="F87" i="1"/>
  <c r="H87" i="1"/>
  <c r="G87" i="1"/>
  <c r="I86" i="1"/>
  <c r="J86" i="1"/>
  <c r="H86" i="1"/>
  <c r="F86" i="1"/>
  <c r="G86" i="1"/>
  <c r="I85" i="1"/>
  <c r="J85" i="1"/>
  <c r="F85" i="1"/>
  <c r="G85" i="1"/>
  <c r="H85" i="1"/>
  <c r="I84" i="1"/>
  <c r="J84" i="1"/>
  <c r="H84" i="1"/>
  <c r="F84" i="1"/>
  <c r="G84" i="1"/>
  <c r="I83" i="1"/>
  <c r="J83" i="1"/>
  <c r="H83" i="1"/>
  <c r="F83" i="1"/>
  <c r="G83" i="1"/>
  <c r="I82" i="1"/>
  <c r="J82" i="1"/>
  <c r="F82" i="1"/>
  <c r="G82" i="1"/>
  <c r="H82" i="1"/>
  <c r="I81" i="1"/>
  <c r="J81" i="1"/>
  <c r="F81" i="1"/>
  <c r="G81" i="1"/>
  <c r="H81" i="1"/>
  <c r="I80" i="1"/>
  <c r="J80" i="1"/>
  <c r="F80" i="1"/>
  <c r="G80" i="1"/>
  <c r="H80" i="1"/>
  <c r="I79" i="1"/>
  <c r="J79" i="1"/>
  <c r="F79" i="1"/>
  <c r="G79" i="1"/>
  <c r="H79" i="1"/>
  <c r="J78" i="1"/>
  <c r="I78" i="1"/>
  <c r="F78" i="1"/>
  <c r="G78" i="1"/>
  <c r="H78" i="1"/>
  <c r="J77" i="1"/>
  <c r="I77" i="1"/>
  <c r="F77" i="1"/>
  <c r="G77" i="1"/>
  <c r="H77" i="1"/>
  <c r="J76" i="1"/>
  <c r="I76" i="1"/>
  <c r="F76" i="1"/>
  <c r="H76" i="1"/>
  <c r="G76" i="1"/>
  <c r="J75" i="1"/>
  <c r="I75" i="1"/>
  <c r="F75" i="1"/>
  <c r="H75" i="1"/>
  <c r="G75" i="1"/>
  <c r="J74" i="1"/>
  <c r="I74" i="1"/>
  <c r="F74" i="1"/>
  <c r="G74" i="1"/>
  <c r="H74" i="1"/>
  <c r="I73" i="1"/>
  <c r="J73" i="1"/>
  <c r="G73" i="1"/>
  <c r="H73" i="1"/>
  <c r="F73" i="1"/>
  <c r="J72" i="1"/>
  <c r="I72" i="1"/>
  <c r="G72" i="1"/>
  <c r="H72" i="1"/>
  <c r="F72" i="1"/>
  <c r="I71" i="1"/>
  <c r="J71" i="1"/>
  <c r="H71" i="1"/>
  <c r="F71" i="1"/>
  <c r="G71" i="1"/>
  <c r="I70" i="1"/>
  <c r="J70" i="1"/>
  <c r="H70" i="1"/>
  <c r="G70" i="1"/>
  <c r="F70" i="1"/>
  <c r="J69" i="1"/>
  <c r="I69" i="1"/>
  <c r="F69" i="1"/>
  <c r="G69" i="1"/>
  <c r="H69" i="1"/>
  <c r="J68" i="1"/>
  <c r="I68" i="1"/>
  <c r="F68" i="1"/>
  <c r="G68" i="1"/>
  <c r="H68" i="1"/>
  <c r="I67" i="1"/>
  <c r="J67" i="1"/>
  <c r="G67" i="1"/>
  <c r="H67" i="1"/>
  <c r="F67" i="1"/>
  <c r="J66" i="1"/>
  <c r="I66" i="1"/>
  <c r="H66" i="1"/>
  <c r="G66" i="1"/>
  <c r="F66" i="1"/>
  <c r="J65" i="1"/>
  <c r="I65" i="1"/>
  <c r="H65" i="1"/>
  <c r="G65" i="1"/>
  <c r="F65" i="1"/>
  <c r="I64" i="1"/>
  <c r="J64" i="1"/>
  <c r="F64" i="1"/>
  <c r="G64" i="1"/>
  <c r="H64" i="1"/>
  <c r="I63" i="1"/>
  <c r="J63" i="1"/>
  <c r="H63" i="1"/>
  <c r="G63" i="1"/>
  <c r="F63" i="1"/>
  <c r="J62" i="1"/>
  <c r="I62" i="1"/>
  <c r="F62" i="1"/>
  <c r="G62" i="1"/>
  <c r="H62" i="1"/>
  <c r="J61" i="1"/>
  <c r="I61" i="1"/>
  <c r="F61" i="1"/>
  <c r="G61" i="1"/>
  <c r="H61" i="1"/>
  <c r="I60" i="1"/>
  <c r="J60" i="1"/>
  <c r="G60" i="1"/>
  <c r="H60" i="1"/>
  <c r="F60" i="1"/>
  <c r="I59" i="1"/>
  <c r="J59" i="1"/>
  <c r="F59" i="1"/>
  <c r="H59" i="1"/>
  <c r="G59" i="1"/>
  <c r="J58" i="1"/>
  <c r="I58" i="1"/>
  <c r="F58" i="1"/>
  <c r="G58" i="1"/>
  <c r="H58" i="1"/>
  <c r="J57" i="1"/>
  <c r="I57" i="1"/>
  <c r="F57" i="1"/>
  <c r="G57" i="1"/>
  <c r="H57" i="1"/>
  <c r="I56" i="1"/>
  <c r="J56" i="1"/>
  <c r="F56" i="1"/>
  <c r="G56" i="1"/>
  <c r="H56" i="1"/>
  <c r="J55" i="1"/>
  <c r="I55" i="1"/>
  <c r="H55" i="1"/>
  <c r="G55" i="1"/>
  <c r="F55" i="1"/>
  <c r="J54" i="1"/>
  <c r="I54" i="1"/>
  <c r="F54" i="1"/>
  <c r="G54" i="1"/>
  <c r="H54" i="1"/>
  <c r="J53" i="1"/>
  <c r="I53" i="1"/>
  <c r="F53" i="1"/>
  <c r="G53" i="1"/>
  <c r="H53" i="1"/>
  <c r="I52" i="1"/>
  <c r="J52" i="1"/>
  <c r="F52" i="1"/>
  <c r="G52" i="1"/>
  <c r="H52" i="1"/>
  <c r="I51" i="1"/>
  <c r="J51" i="1"/>
  <c r="H51" i="1"/>
  <c r="G51" i="1"/>
  <c r="F51" i="1"/>
  <c r="J50" i="1"/>
  <c r="I50" i="1"/>
  <c r="H50" i="1"/>
  <c r="F50" i="1"/>
  <c r="G50" i="1"/>
  <c r="J49" i="1"/>
  <c r="I49" i="1"/>
  <c r="H49" i="1"/>
  <c r="G49" i="1"/>
  <c r="F49" i="1"/>
  <c r="J48" i="1"/>
  <c r="I48" i="1"/>
  <c r="H48" i="1"/>
  <c r="G48" i="1"/>
  <c r="F48" i="1"/>
  <c r="I47" i="1"/>
  <c r="J47" i="1"/>
  <c r="H47" i="1"/>
  <c r="G47" i="1"/>
  <c r="F47" i="1"/>
  <c r="I46" i="1"/>
  <c r="J46" i="1"/>
  <c r="F46" i="1"/>
  <c r="G46" i="1"/>
  <c r="H46" i="1"/>
  <c r="I45" i="1"/>
  <c r="J45" i="1"/>
  <c r="F45" i="1"/>
  <c r="H45" i="1"/>
  <c r="G45" i="1"/>
  <c r="I44" i="1"/>
  <c r="J44" i="1"/>
  <c r="G44" i="1"/>
  <c r="F44" i="1"/>
  <c r="H44" i="1"/>
  <c r="J43" i="1"/>
  <c r="I43" i="1"/>
  <c r="H43" i="1"/>
  <c r="F43" i="1"/>
  <c r="G43" i="1"/>
  <c r="J42" i="1"/>
  <c r="I42" i="1"/>
  <c r="H42" i="1"/>
  <c r="G42" i="1"/>
  <c r="F42" i="1"/>
  <c r="I41" i="1"/>
  <c r="J41" i="1"/>
  <c r="G41" i="1"/>
  <c r="H41" i="1"/>
  <c r="F41" i="1"/>
  <c r="J40" i="1"/>
  <c r="I40" i="1"/>
  <c r="H40" i="1"/>
  <c r="G40" i="1"/>
  <c r="F40" i="1"/>
  <c r="J39" i="1"/>
  <c r="I39" i="1"/>
  <c r="H39" i="1"/>
  <c r="G39" i="1"/>
  <c r="F39" i="1"/>
  <c r="I38" i="1"/>
  <c r="J38" i="1"/>
  <c r="H38" i="1"/>
  <c r="G38" i="1"/>
  <c r="F38" i="1"/>
  <c r="J37" i="1"/>
  <c r="I37" i="1"/>
  <c r="G37" i="1"/>
  <c r="F37" i="1"/>
  <c r="H37" i="1"/>
  <c r="J36" i="1"/>
  <c r="I36" i="1"/>
  <c r="F36" i="1"/>
  <c r="H36" i="1"/>
  <c r="G36" i="1"/>
  <c r="I35" i="1"/>
  <c r="J35" i="1"/>
  <c r="H35" i="1"/>
  <c r="G35" i="1"/>
  <c r="F35" i="1"/>
  <c r="J34" i="1"/>
  <c r="I34" i="1"/>
  <c r="H34" i="1"/>
  <c r="G34" i="1"/>
  <c r="F34" i="1"/>
  <c r="J33" i="1"/>
  <c r="I33" i="1"/>
  <c r="H33" i="1"/>
  <c r="G33" i="1"/>
  <c r="F33" i="1"/>
  <c r="I32" i="1"/>
  <c r="J32" i="1"/>
  <c r="F32" i="1"/>
  <c r="H32" i="1"/>
  <c r="G32" i="1"/>
  <c r="J31" i="1"/>
  <c r="I31" i="1"/>
  <c r="H31" i="1"/>
  <c r="G31" i="1"/>
  <c r="F31" i="1"/>
  <c r="J30" i="1"/>
  <c r="I30" i="1"/>
  <c r="H30" i="1"/>
  <c r="G30" i="1"/>
  <c r="F30" i="1"/>
  <c r="J29" i="1"/>
  <c r="I29" i="1"/>
  <c r="H29" i="1"/>
  <c r="G29" i="1"/>
  <c r="F29" i="1"/>
  <c r="J28" i="1"/>
  <c r="I28" i="1"/>
  <c r="G28" i="1"/>
  <c r="F28" i="1"/>
  <c r="H28" i="1"/>
  <c r="J27" i="1"/>
  <c r="I27" i="1"/>
  <c r="H27" i="1"/>
  <c r="G27" i="1"/>
  <c r="F27" i="1"/>
  <c r="I26" i="1"/>
  <c r="J26" i="1"/>
  <c r="G26" i="1"/>
  <c r="H26" i="1"/>
  <c r="F26" i="1"/>
  <c r="K25" i="1"/>
  <c r="H25" i="1"/>
  <c r="J25" i="1"/>
  <c r="G24" i="1"/>
  <c r="H24" i="1"/>
  <c r="F24" i="1"/>
  <c r="I23" i="1"/>
  <c r="J23" i="1"/>
  <c r="H23" i="1"/>
  <c r="F23" i="1"/>
  <c r="G23" i="1"/>
  <c r="I22" i="1"/>
  <c r="J22" i="1"/>
  <c r="F22" i="1"/>
  <c r="G22" i="1"/>
  <c r="H22" i="1"/>
  <c r="J21" i="1"/>
  <c r="I21" i="1"/>
  <c r="G21" i="1"/>
  <c r="H21" i="1"/>
  <c r="F21" i="1"/>
  <c r="J20" i="1"/>
  <c r="I20" i="1"/>
  <c r="F20" i="1"/>
  <c r="H20" i="1"/>
  <c r="G20" i="1"/>
  <c r="I19" i="1"/>
  <c r="J19" i="1"/>
  <c r="F19" i="1"/>
  <c r="G19" i="1"/>
  <c r="H19" i="1"/>
  <c r="J18" i="1"/>
  <c r="I18" i="1"/>
  <c r="H18" i="1"/>
  <c r="G18" i="1"/>
  <c r="F18" i="1"/>
  <c r="J17" i="1"/>
  <c r="I17" i="1"/>
  <c r="H17" i="1"/>
  <c r="F17" i="1"/>
  <c r="G17" i="1"/>
  <c r="I16" i="1"/>
  <c r="J16" i="1"/>
  <c r="H16" i="1"/>
  <c r="G16" i="1"/>
  <c r="F16" i="1"/>
  <c r="I15" i="1"/>
  <c r="J15" i="1"/>
  <c r="F15" i="1"/>
  <c r="G15" i="1"/>
  <c r="H15" i="1"/>
  <c r="J14" i="1"/>
  <c r="I14" i="1"/>
  <c r="G14" i="1"/>
  <c r="H14" i="1"/>
  <c r="F14" i="1"/>
  <c r="J13" i="1"/>
  <c r="I13" i="1"/>
  <c r="H13" i="1"/>
  <c r="G13" i="1"/>
  <c r="F13" i="1"/>
  <c r="I12" i="1"/>
  <c r="J12" i="1"/>
  <c r="F12" i="1"/>
  <c r="G12" i="1"/>
  <c r="H12" i="1"/>
  <c r="J11" i="1"/>
  <c r="I11" i="1"/>
  <c r="G11" i="1"/>
  <c r="H11" i="1"/>
  <c r="F11" i="1"/>
  <c r="I10" i="1"/>
  <c r="J10" i="1"/>
  <c r="F10" i="1"/>
  <c r="G10" i="1"/>
  <c r="H10" i="1"/>
  <c r="I9" i="1"/>
  <c r="J9" i="1"/>
  <c r="F9" i="1"/>
  <c r="H9" i="1"/>
  <c r="G9" i="1"/>
  <c r="I8" i="1"/>
  <c r="J8" i="1"/>
  <c r="F8" i="1"/>
  <c r="G8" i="1"/>
  <c r="H8" i="1"/>
  <c r="J7" i="1"/>
  <c r="I7" i="1"/>
  <c r="G7" i="1"/>
  <c r="H7" i="1"/>
  <c r="F7" i="1"/>
  <c r="O8" i="1"/>
  <c r="K6" i="1"/>
  <c r="O7" i="1"/>
  <c r="I6" i="1"/>
  <c r="J6" i="1"/>
  <c r="O6" i="1"/>
  <c r="F6" i="1"/>
  <c r="G6" i="1"/>
  <c r="H6" i="1"/>
  <c r="C3" i="1"/>
  <c r="D3" i="1"/>
  <c r="B3" i="1"/>
  <c r="E3" i="1"/>
  <c r="L38" i="2" l="1"/>
  <c r="L37" i="2"/>
  <c r="L36" i="2"/>
  <c r="L35" i="2"/>
  <c r="N38" i="2"/>
  <c r="N37" i="2"/>
  <c r="N36" i="2"/>
  <c r="N35" i="2"/>
  <c r="M38" i="2"/>
  <c r="M37" i="2"/>
  <c r="M36" i="2"/>
  <c r="M35" i="2"/>
  <c r="K38" i="2"/>
  <c r="K37" i="2"/>
  <c r="K36" i="2"/>
  <c r="K35" i="2"/>
  <c r="J38" i="2"/>
  <c r="J37" i="2"/>
  <c r="J36" i="2"/>
  <c r="J35" i="2"/>
  <c r="I38" i="2"/>
  <c r="I37" i="2"/>
  <c r="I36" i="2"/>
  <c r="I35" i="2"/>
  <c r="H38" i="2"/>
  <c r="H37" i="2"/>
  <c r="H36" i="2"/>
  <c r="H35" i="2"/>
  <c r="G38" i="2"/>
  <c r="G37" i="2"/>
  <c r="G36" i="2"/>
  <c r="G35" i="2"/>
  <c r="F38" i="2"/>
  <c r="F37" i="2"/>
  <c r="F36" i="2"/>
  <c r="F35" i="2"/>
  <c r="D38" i="2"/>
  <c r="D37" i="2"/>
  <c r="D36" i="2"/>
  <c r="D35" i="2"/>
  <c r="E38" i="2"/>
  <c r="E37" i="2"/>
  <c r="E36" i="2"/>
  <c r="E35" i="2"/>
  <c r="K3" i="1"/>
  <c r="O15" i="1"/>
  <c r="I3" i="1"/>
  <c r="O13" i="1"/>
  <c r="O14" i="1"/>
  <c r="J3" i="1"/>
  <c r="F3" i="1"/>
  <c r="O10" i="1"/>
  <c r="G3" i="1"/>
  <c r="O11" i="1"/>
  <c r="H3" i="1"/>
  <c r="O12" i="1"/>
</calcChain>
</file>

<file path=xl/sharedStrings.xml><?xml version="1.0" encoding="utf-8"?>
<sst xmlns="http://schemas.openxmlformats.org/spreadsheetml/2006/main" count="53" uniqueCount="30">
  <si>
    <t>ID</t>
  </si>
  <si>
    <t>A</t>
  </si>
  <si>
    <t>B</t>
  </si>
  <si>
    <t>C</t>
  </si>
  <si>
    <t>D</t>
  </si>
  <si>
    <t>Economia pessoal (pupança, investimentos, etc)</t>
  </si>
  <si>
    <t>Pensão do governo</t>
  </si>
  <si>
    <t>Aposentadoria privada</t>
  </si>
  <si>
    <t>Venda/aluguel de propriedades ou imóveis</t>
  </si>
  <si>
    <t>Meta</t>
  </si>
  <si>
    <t>A∩B</t>
  </si>
  <si>
    <t>A∩C</t>
  </si>
  <si>
    <t>A∩D</t>
  </si>
  <si>
    <t>B∩C</t>
  </si>
  <si>
    <t>B∩D</t>
  </si>
  <si>
    <t>C∩D</t>
  </si>
  <si>
    <t>Alias das categorias</t>
  </si>
  <si>
    <t>Descrição de cada categoria</t>
  </si>
  <si>
    <t>Combo</t>
  </si>
  <si>
    <t>Qtd</t>
  </si>
  <si>
    <t>Chave</t>
  </si>
  <si>
    <t>Rank</t>
  </si>
  <si>
    <t>Combinação</t>
  </si>
  <si>
    <t>Total do conjunto</t>
  </si>
  <si>
    <t>Conjunto</t>
  </si>
  <si>
    <t>Tamanho da interseção exclusiva (nº de respondentes)</t>
  </si>
  <si>
    <t>Tabela auxiliar (ordenação)</t>
  </si>
  <si>
    <t>UpSet — combinações de fontes de renda na aposentadoria</t>
  </si>
  <si>
    <t>n = 99 respondentes. Cada pessoa conta em uma única combinação; 3 não marcaram nenhuma opção. Combinações vazias omitidas.</t>
  </si>
  <si>
    <t>Legenda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</si>
</sst>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4"/>
      <color rgb="FFD0D0D0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1"/>
      <color rgb="FF808080"/>
      <name val="Aptos Narrow"/>
      <family val="2"/>
      <scheme val="minor"/>
    </font>
    <font>
      <i/>
      <sz val="9"/>
      <color rgb="FF808080"/>
      <name val="Aptos Narrow"/>
      <family val="2"/>
      <scheme val="minor"/>
    </font>
    <font>
      <sz val="11"/>
      <color rgb="FF008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/>
    <xf numFmtId="0" fontId="3" fillId="0" borderId="3" xfId="0" applyFont="1" applyBorder="1" applyAlignment="1">
      <alignment horizontal="left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2">
    <dxf>
      <font>
        <b/>
        <i val="0"/>
        <color rgb="FF1F3864"/>
      </font>
    </dxf>
    <dxf>
      <font>
        <b/>
        <i val="0"/>
        <color rgb="FF1F3864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0"/>
          <c:y val="0.17171296296296296"/>
          <c:w val="0.99999989511801635"/>
          <c:h val="0.7773611111111110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1F386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UpSet!$R$21:$AB$21</c:f>
              <c:strCache>
                <c:ptCount val="11"/>
                <c:pt idx="0">
                  <c:v>ABC</c:v>
                </c:pt>
                <c:pt idx="1">
                  <c:v>ABCD</c:v>
                </c:pt>
                <c:pt idx="2">
                  <c:v>AB</c:v>
                </c:pt>
                <c:pt idx="3">
                  <c:v>A</c:v>
                </c:pt>
                <c:pt idx="4">
                  <c:v>ACD</c:v>
                </c:pt>
                <c:pt idx="5">
                  <c:v>B</c:v>
                </c:pt>
                <c:pt idx="6">
                  <c:v>AC</c:v>
                </c:pt>
                <c:pt idx="7">
                  <c:v>ABD</c:v>
                </c:pt>
                <c:pt idx="8">
                  <c:v>BD</c:v>
                </c:pt>
                <c:pt idx="9">
                  <c:v>AD</c:v>
                </c:pt>
                <c:pt idx="10">
                  <c:v>D</c:v>
                </c:pt>
              </c:strCache>
            </c:strRef>
          </c:cat>
          <c:val>
            <c:numRef>
              <c:f>UpSet!$R$22:$AB$22</c:f>
              <c:numCache>
                <c:formatCode>General</c:formatCode>
                <c:ptCount val="11"/>
                <c:pt idx="0">
                  <c:v>16</c:v>
                </c:pt>
                <c:pt idx="1">
                  <c:v>15</c:v>
                </c:pt>
                <c:pt idx="2">
                  <c:v>13</c:v>
                </c:pt>
                <c:pt idx="3">
                  <c:v>9</c:v>
                </c:pt>
                <c:pt idx="4">
                  <c:v>9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4</c:v>
                </c:pt>
                <c:pt idx="9">
                  <c:v>4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3B-4CDD-939D-0FF73E90A9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-27"/>
        <c:axId val="1601573840"/>
        <c:axId val="1556698384"/>
      </c:barChart>
      <c:catAx>
        <c:axId val="16015738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56698384"/>
        <c:crosses val="autoZero"/>
        <c:auto val="1"/>
        <c:lblAlgn val="ctr"/>
        <c:lblOffset val="100"/>
        <c:noMultiLvlLbl val="0"/>
      </c:catAx>
      <c:valAx>
        <c:axId val="15566983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01573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24</xdr:row>
      <xdr:rowOff>0</xdr:rowOff>
    </xdr:from>
    <xdr:to>
      <xdr:col>14</xdr:col>
      <xdr:colOff>1</xdr:colOff>
      <xdr:row>34</xdr:row>
      <xdr:rowOff>0</xdr:rowOff>
    </xdr:to>
    <xdr:graphicFrame macro="">
      <xdr:nvGraphicFramePr>
        <xdr:cNvPr id="3" name="UpSetBars">
          <a:extLst>
            <a:ext uri="{FF2B5EF4-FFF2-40B4-BE49-F238E27FC236}">
              <a16:creationId xmlns:a16="http://schemas.microsoft.com/office/drawing/2014/main" id="{86B215B5-95FE-A5C4-4C75-6DD50CC8EB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2">
    <wetp:webextensionref xmlns:r="http://schemas.openxmlformats.org/officeDocument/2006/relationships" r:id="rId1"/>
  </wetp:taskpane>
  <wetp:taskpane dockstate="right" visibility="0" width="700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45101C08-1700-440D-95EC-A15A8E255579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137d777b-44c6-4e73-8b5f-d8327a81bc16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6B4DC46E-05EB-42D5-A77A-3A201723BBB7}">
  <we:reference id="wa200005271" version="3.0.0.4" store="pt-BR" storeType="OMEX"/>
  <we:alternateReferences>
    <we:reference id="WA200005271" version="3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11DAC-7F8D-41D3-986F-94562061D3FC}">
  <dimension ref="A1:O104"/>
  <sheetViews>
    <sheetView workbookViewId="0">
      <selection activeCell="P28" sqref="P28"/>
    </sheetView>
  </sheetViews>
  <sheetFormatPr defaultRowHeight="14.25" x14ac:dyDescent="0.45"/>
  <cols>
    <col min="2" max="11" width="7.59765625" customWidth="1"/>
    <col min="13" max="13" width="16.3984375" bestFit="1" customWidth="1"/>
    <col min="14" max="14" width="74.1328125" bestFit="1" customWidth="1"/>
    <col min="15" max="15" width="5.6640625" customWidth="1"/>
  </cols>
  <sheetData>
    <row r="1" spans="1:15" x14ac:dyDescent="0.45">
      <c r="A1" s="4" t="s">
        <v>9</v>
      </c>
      <c r="B1" s="5">
        <v>82</v>
      </c>
      <c r="C1" s="5">
        <v>64</v>
      </c>
      <c r="D1" s="5">
        <v>48</v>
      </c>
      <c r="E1" s="5">
        <v>42</v>
      </c>
    </row>
    <row r="3" spans="1:15" x14ac:dyDescent="0.45">
      <c r="B3" s="1">
        <f>SUM(B6:B104)</f>
        <v>82</v>
      </c>
      <c r="C3" s="1">
        <f t="shared" ref="C3:E3" si="0">SUM(C6:C104)</f>
        <v>64</v>
      </c>
      <c r="D3" s="1">
        <f t="shared" si="0"/>
        <v>48</v>
      </c>
      <c r="E3" s="1">
        <f t="shared" si="0"/>
        <v>42</v>
      </c>
      <c r="F3" s="6">
        <f>SUM(F6:F104)</f>
        <v>52</v>
      </c>
      <c r="G3" s="6">
        <f>SUM(G6:G104)</f>
        <v>48</v>
      </c>
      <c r="H3" s="6">
        <f>SUM(H6:H104)</f>
        <v>36</v>
      </c>
      <c r="I3" s="6">
        <f>SUM(I6:I104)</f>
        <v>31</v>
      </c>
      <c r="J3" s="6">
        <f>SUM(J6:J104)</f>
        <v>27</v>
      </c>
      <c r="K3" s="6">
        <f>SUM(K6:K104)</f>
        <v>24</v>
      </c>
    </row>
    <row r="4" spans="1:15" x14ac:dyDescent="0.45">
      <c r="A4" s="4"/>
      <c r="B4" s="5"/>
      <c r="C4" s="5"/>
      <c r="D4" s="5"/>
      <c r="E4" s="5"/>
    </row>
    <row r="5" spans="1:15" x14ac:dyDescent="0.45">
      <c r="A5" s="10" t="s">
        <v>0</v>
      </c>
      <c r="B5" s="10" t="s">
        <v>1</v>
      </c>
      <c r="C5" s="10" t="s">
        <v>2</v>
      </c>
      <c r="D5" s="10" t="s">
        <v>3</v>
      </c>
      <c r="E5" s="10" t="s">
        <v>4</v>
      </c>
      <c r="F5" s="10" t="s">
        <v>10</v>
      </c>
      <c r="G5" s="10" t="s">
        <v>11</v>
      </c>
      <c r="H5" s="10" t="s">
        <v>12</v>
      </c>
      <c r="I5" s="10" t="s">
        <v>13</v>
      </c>
      <c r="J5" s="10" t="s">
        <v>14</v>
      </c>
      <c r="K5" s="10" t="s">
        <v>15</v>
      </c>
      <c r="M5" s="10" t="s">
        <v>16</v>
      </c>
      <c r="N5" s="10" t="s">
        <v>17</v>
      </c>
    </row>
    <row r="6" spans="1:15" x14ac:dyDescent="0.45">
      <c r="A6" s="1">
        <f>ROW()-4</f>
        <v>2</v>
      </c>
      <c r="B6" s="1">
        <f>INT((ROW()-4)*B$1/99)-INT((ROW()-5)*B$1/99)</f>
        <v>1</v>
      </c>
      <c r="C6" s="1">
        <f>INT((ROW()-4)*C$1/99)-INT((ROW()-5)*C$1/99)</f>
        <v>1</v>
      </c>
      <c r="D6" s="1">
        <f>INT((ROW()-4)*D$1/99)-INT((ROW()-5)*D$1/99)</f>
        <v>0</v>
      </c>
      <c r="E6" s="7">
        <f>INT((ROW()-4)*E$1/99)-INT((ROW()-5)*E$1/99)</f>
        <v>0</v>
      </c>
      <c r="F6" s="7">
        <f>$B6*$C6</f>
        <v>1</v>
      </c>
      <c r="G6" s="7">
        <f>$B6*$D6</f>
        <v>0</v>
      </c>
      <c r="H6" s="7">
        <f>$B6*$E6</f>
        <v>0</v>
      </c>
      <c r="I6" s="7">
        <f>$C6*$D6</f>
        <v>0</v>
      </c>
      <c r="J6" s="7">
        <f>$C6*$E6</f>
        <v>0</v>
      </c>
      <c r="K6" s="7">
        <f>$D6*$E6</f>
        <v>0</v>
      </c>
      <c r="M6" s="1" t="s">
        <v>1</v>
      </c>
      <c r="N6" s="2" t="s">
        <v>5</v>
      </c>
      <c r="O6" s="1">
        <f>SUM(B6:B104)</f>
        <v>82</v>
      </c>
    </row>
    <row r="7" spans="1:15" x14ac:dyDescent="0.45">
      <c r="A7" s="1">
        <f t="shared" ref="A7:A70" si="1">ROW()-4</f>
        <v>3</v>
      </c>
      <c r="B7" s="1">
        <f>INT((ROW()-4)*B$1/99)-INT((ROW()-5)*B$1/99)</f>
        <v>1</v>
      </c>
      <c r="C7" s="1">
        <f>INT((ROW()-4)*C$1/99)-INT((ROW()-5)*C$1/99)</f>
        <v>0</v>
      </c>
      <c r="D7" s="1">
        <f>INT((ROW()-4)*D$1/99)-INT((ROW()-5)*D$1/99)</f>
        <v>1</v>
      </c>
      <c r="E7" s="7">
        <f>INT((ROW()-4)*E$1/99)-INT((ROW()-5)*E$1/99)</f>
        <v>1</v>
      </c>
      <c r="F7" s="7">
        <f t="shared" ref="F7:F70" si="2">$B7*$C7</f>
        <v>0</v>
      </c>
      <c r="G7" s="7">
        <f t="shared" ref="G7:G70" si="3">$B7*$D7</f>
        <v>1</v>
      </c>
      <c r="H7" s="7">
        <f t="shared" ref="H7:H70" si="4">$B7*$E7</f>
        <v>1</v>
      </c>
      <c r="I7" s="7">
        <f t="shared" ref="I7:I70" si="5">$C7*$D7</f>
        <v>0</v>
      </c>
      <c r="J7" s="7">
        <f t="shared" ref="J7:J70" si="6">$C7*$E7</f>
        <v>0</v>
      </c>
      <c r="K7" s="7">
        <f t="shared" ref="K7:K70" si="7">$D7*$E7</f>
        <v>1</v>
      </c>
      <c r="M7" s="1" t="s">
        <v>2</v>
      </c>
      <c r="N7" s="2" t="s">
        <v>6</v>
      </c>
      <c r="O7" s="1">
        <f>SUM(C6:C104)</f>
        <v>64</v>
      </c>
    </row>
    <row r="8" spans="1:15" x14ac:dyDescent="0.45">
      <c r="A8" s="1">
        <f t="shared" si="1"/>
        <v>4</v>
      </c>
      <c r="B8" s="1">
        <f>INT((ROW()-4)*B$1/99)-INT((ROW()-5)*B$1/99)</f>
        <v>1</v>
      </c>
      <c r="C8" s="1">
        <f>INT((ROW()-4)*C$1/99)-INT((ROW()-5)*C$1/99)</f>
        <v>1</v>
      </c>
      <c r="D8" s="1">
        <f>INT((ROW()-4)*D$1/99)-INT((ROW()-5)*D$1/99)</f>
        <v>0</v>
      </c>
      <c r="E8" s="7">
        <f>INT((ROW()-4)*E$1/99)-INT((ROW()-5)*E$1/99)</f>
        <v>0</v>
      </c>
      <c r="F8" s="7">
        <f t="shared" si="2"/>
        <v>1</v>
      </c>
      <c r="G8" s="7">
        <f t="shared" si="3"/>
        <v>0</v>
      </c>
      <c r="H8" s="7">
        <f t="shared" si="4"/>
        <v>0</v>
      </c>
      <c r="I8" s="7">
        <f t="shared" si="5"/>
        <v>0</v>
      </c>
      <c r="J8" s="7">
        <f t="shared" si="6"/>
        <v>0</v>
      </c>
      <c r="K8" s="7">
        <f t="shared" si="7"/>
        <v>0</v>
      </c>
      <c r="M8" s="1" t="s">
        <v>3</v>
      </c>
      <c r="N8" s="2" t="s">
        <v>7</v>
      </c>
      <c r="O8" s="1">
        <f>SUM(D6:D104)</f>
        <v>48</v>
      </c>
    </row>
    <row r="9" spans="1:15" x14ac:dyDescent="0.45">
      <c r="A9" s="1">
        <f t="shared" si="1"/>
        <v>5</v>
      </c>
      <c r="B9" s="1">
        <f>INT((ROW()-4)*B$1/99)-INT((ROW()-5)*B$1/99)</f>
        <v>1</v>
      </c>
      <c r="C9" s="1">
        <f>INT((ROW()-4)*C$1/99)-INT((ROW()-5)*C$1/99)</f>
        <v>1</v>
      </c>
      <c r="D9" s="1">
        <f>INT((ROW()-4)*D$1/99)-INT((ROW()-5)*D$1/99)</f>
        <v>1</v>
      </c>
      <c r="E9" s="7">
        <f>INT((ROW()-4)*E$1/99)-INT((ROW()-5)*E$1/99)</f>
        <v>1</v>
      </c>
      <c r="F9" s="7">
        <f t="shared" si="2"/>
        <v>1</v>
      </c>
      <c r="G9" s="7">
        <f t="shared" si="3"/>
        <v>1</v>
      </c>
      <c r="H9" s="7">
        <f t="shared" si="4"/>
        <v>1</v>
      </c>
      <c r="I9" s="7">
        <f t="shared" si="5"/>
        <v>1</v>
      </c>
      <c r="J9" s="7">
        <f t="shared" si="6"/>
        <v>1</v>
      </c>
      <c r="K9" s="7">
        <f t="shared" si="7"/>
        <v>1</v>
      </c>
      <c r="M9" s="11" t="s">
        <v>4</v>
      </c>
      <c r="N9" s="12" t="s">
        <v>8</v>
      </c>
      <c r="O9" s="11">
        <f>SUM(E6:E104)</f>
        <v>42</v>
      </c>
    </row>
    <row r="10" spans="1:15" x14ac:dyDescent="0.45">
      <c r="A10" s="1">
        <f t="shared" si="1"/>
        <v>6</v>
      </c>
      <c r="B10" s="1">
        <f>INT((ROW()-4)*B$1/99)-INT((ROW()-5)*B$1/99)</f>
        <v>0</v>
      </c>
      <c r="C10" s="1">
        <f>INT((ROW()-4)*C$1/99)-INT((ROW()-5)*C$1/99)</f>
        <v>0</v>
      </c>
      <c r="D10" s="1">
        <f>INT((ROW()-4)*D$1/99)-INT((ROW()-5)*D$1/99)</f>
        <v>0</v>
      </c>
      <c r="E10" s="7">
        <f>INT((ROW()-4)*E$1/99)-INT((ROW()-5)*E$1/99)</f>
        <v>0</v>
      </c>
      <c r="F10" s="7">
        <f t="shared" si="2"/>
        <v>0</v>
      </c>
      <c r="G10" s="7">
        <f t="shared" si="3"/>
        <v>0</v>
      </c>
      <c r="H10" s="7">
        <f t="shared" si="4"/>
        <v>0</v>
      </c>
      <c r="I10" s="7">
        <f t="shared" si="5"/>
        <v>0</v>
      </c>
      <c r="J10" s="7">
        <f t="shared" si="6"/>
        <v>0</v>
      </c>
      <c r="K10" s="7">
        <f t="shared" si="7"/>
        <v>0</v>
      </c>
      <c r="M10" s="8" t="s">
        <v>10</v>
      </c>
      <c r="N10" s="13" t="str">
        <f>$N$6&amp;" + "&amp;$N$7</f>
        <v>Economia pessoal (pupança, investimentos, etc) + Pensão do governo</v>
      </c>
      <c r="O10" s="9">
        <f>SUM(F6:F104)</f>
        <v>52</v>
      </c>
    </row>
    <row r="11" spans="1:15" x14ac:dyDescent="0.45">
      <c r="A11" s="1">
        <f t="shared" si="1"/>
        <v>7</v>
      </c>
      <c r="B11" s="1">
        <f>INT((ROW()-4)*B$1/99)-INT((ROW()-5)*B$1/99)</f>
        <v>1</v>
      </c>
      <c r="C11" s="1">
        <f>INT((ROW()-4)*C$1/99)-INT((ROW()-5)*C$1/99)</f>
        <v>1</v>
      </c>
      <c r="D11" s="1">
        <f>INT((ROW()-4)*D$1/99)-INT((ROW()-5)*D$1/99)</f>
        <v>1</v>
      </c>
      <c r="E11" s="7">
        <f>INT((ROW()-4)*E$1/99)-INT((ROW()-5)*E$1/99)</f>
        <v>0</v>
      </c>
      <c r="F11" s="7">
        <f t="shared" si="2"/>
        <v>1</v>
      </c>
      <c r="G11" s="7">
        <f t="shared" si="3"/>
        <v>1</v>
      </c>
      <c r="H11" s="7">
        <f t="shared" si="4"/>
        <v>0</v>
      </c>
      <c r="I11" s="7">
        <f t="shared" si="5"/>
        <v>1</v>
      </c>
      <c r="J11" s="7">
        <f t="shared" si="6"/>
        <v>0</v>
      </c>
      <c r="K11" s="7">
        <f t="shared" si="7"/>
        <v>0</v>
      </c>
      <c r="M11" s="8" t="s">
        <v>11</v>
      </c>
      <c r="N11" s="13" t="str">
        <f>$N$6&amp;" + "&amp;$N$8</f>
        <v>Economia pessoal (pupança, investimentos, etc) + Aposentadoria privada</v>
      </c>
      <c r="O11" s="9">
        <f>SUM(G6:G104)</f>
        <v>48</v>
      </c>
    </row>
    <row r="12" spans="1:15" x14ac:dyDescent="0.45">
      <c r="A12" s="1">
        <f t="shared" si="1"/>
        <v>8</v>
      </c>
      <c r="B12" s="1">
        <f>INT((ROW()-4)*B$1/99)-INT((ROW()-5)*B$1/99)</f>
        <v>1</v>
      </c>
      <c r="C12" s="1">
        <f>INT((ROW()-4)*C$1/99)-INT((ROW()-5)*C$1/99)</f>
        <v>1</v>
      </c>
      <c r="D12" s="1">
        <f>INT((ROW()-4)*D$1/99)-INT((ROW()-5)*D$1/99)</f>
        <v>0</v>
      </c>
      <c r="E12" s="7">
        <f>INT((ROW()-4)*E$1/99)-INT((ROW()-5)*E$1/99)</f>
        <v>1</v>
      </c>
      <c r="F12" s="7">
        <f t="shared" si="2"/>
        <v>1</v>
      </c>
      <c r="G12" s="7">
        <f t="shared" si="3"/>
        <v>0</v>
      </c>
      <c r="H12" s="7">
        <f t="shared" si="4"/>
        <v>1</v>
      </c>
      <c r="I12" s="7">
        <f t="shared" si="5"/>
        <v>0</v>
      </c>
      <c r="J12" s="7">
        <f t="shared" si="6"/>
        <v>1</v>
      </c>
      <c r="K12" s="7">
        <f t="shared" si="7"/>
        <v>0</v>
      </c>
      <c r="M12" s="8" t="s">
        <v>12</v>
      </c>
      <c r="N12" s="13" t="str">
        <f>$N$6&amp;" + "&amp;$N$9</f>
        <v>Economia pessoal (pupança, investimentos, etc) + Venda/aluguel de propriedades ou imóveis</v>
      </c>
      <c r="O12" s="9">
        <f>SUM(H6:H104)</f>
        <v>36</v>
      </c>
    </row>
    <row r="13" spans="1:15" x14ac:dyDescent="0.45">
      <c r="A13" s="1">
        <f t="shared" si="1"/>
        <v>9</v>
      </c>
      <c r="B13" s="1">
        <f>INT((ROW()-4)*B$1/99)-INT((ROW()-5)*B$1/99)</f>
        <v>1</v>
      </c>
      <c r="C13" s="1">
        <f>INT((ROW()-4)*C$1/99)-INT((ROW()-5)*C$1/99)</f>
        <v>0</v>
      </c>
      <c r="D13" s="1">
        <f>INT((ROW()-4)*D$1/99)-INT((ROW()-5)*D$1/99)</f>
        <v>1</v>
      </c>
      <c r="E13" s="7">
        <f>INT((ROW()-4)*E$1/99)-INT((ROW()-5)*E$1/99)</f>
        <v>0</v>
      </c>
      <c r="F13" s="7">
        <f t="shared" si="2"/>
        <v>0</v>
      </c>
      <c r="G13" s="7">
        <f t="shared" si="3"/>
        <v>1</v>
      </c>
      <c r="H13" s="7">
        <f t="shared" si="4"/>
        <v>0</v>
      </c>
      <c r="I13" s="7">
        <f t="shared" si="5"/>
        <v>0</v>
      </c>
      <c r="J13" s="7">
        <f t="shared" si="6"/>
        <v>0</v>
      </c>
      <c r="K13" s="7">
        <f t="shared" si="7"/>
        <v>0</v>
      </c>
      <c r="M13" s="8" t="s">
        <v>13</v>
      </c>
      <c r="N13" s="13" t="str">
        <f>$N$7&amp;" + "&amp;$N$8</f>
        <v>Pensão do governo + Aposentadoria privada</v>
      </c>
      <c r="O13" s="9">
        <f>SUM(I6:I104)</f>
        <v>31</v>
      </c>
    </row>
    <row r="14" spans="1:15" x14ac:dyDescent="0.45">
      <c r="A14" s="1">
        <f t="shared" si="1"/>
        <v>10</v>
      </c>
      <c r="B14" s="1">
        <f>INT((ROW()-4)*B$1/99)-INT((ROW()-5)*B$1/99)</f>
        <v>1</v>
      </c>
      <c r="C14" s="1">
        <f>INT((ROW()-4)*C$1/99)-INT((ROW()-5)*C$1/99)</f>
        <v>1</v>
      </c>
      <c r="D14" s="1">
        <f>INT((ROW()-4)*D$1/99)-INT((ROW()-5)*D$1/99)</f>
        <v>0</v>
      </c>
      <c r="E14" s="7">
        <f>INT((ROW()-4)*E$1/99)-INT((ROW()-5)*E$1/99)</f>
        <v>1</v>
      </c>
      <c r="F14" s="7">
        <f t="shared" si="2"/>
        <v>1</v>
      </c>
      <c r="G14" s="7">
        <f t="shared" si="3"/>
        <v>0</v>
      </c>
      <c r="H14" s="7">
        <f t="shared" si="4"/>
        <v>1</v>
      </c>
      <c r="I14" s="7">
        <f t="shared" si="5"/>
        <v>0</v>
      </c>
      <c r="J14" s="7">
        <f t="shared" si="6"/>
        <v>1</v>
      </c>
      <c r="K14" s="7">
        <f t="shared" si="7"/>
        <v>0</v>
      </c>
      <c r="M14" s="8" t="s">
        <v>14</v>
      </c>
      <c r="N14" s="13" t="str">
        <f>$N$7&amp;" + "&amp;$N$9</f>
        <v>Pensão do governo + Venda/aluguel de propriedades ou imóveis</v>
      </c>
      <c r="O14" s="9">
        <f>SUM(J6:J104)</f>
        <v>27</v>
      </c>
    </row>
    <row r="15" spans="1:15" x14ac:dyDescent="0.45">
      <c r="A15" s="1">
        <f t="shared" si="1"/>
        <v>11</v>
      </c>
      <c r="B15" s="1">
        <f>INT((ROW()-4)*B$1/99)-INT((ROW()-5)*B$1/99)</f>
        <v>1</v>
      </c>
      <c r="C15" s="1">
        <f>INT((ROW()-4)*C$1/99)-INT((ROW()-5)*C$1/99)</f>
        <v>1</v>
      </c>
      <c r="D15" s="1">
        <f>INT((ROW()-4)*D$1/99)-INT((ROW()-5)*D$1/99)</f>
        <v>1</v>
      </c>
      <c r="E15" s="7">
        <f>INT((ROW()-4)*E$1/99)-INT((ROW()-5)*E$1/99)</f>
        <v>0</v>
      </c>
      <c r="F15" s="7">
        <f t="shared" si="2"/>
        <v>1</v>
      </c>
      <c r="G15" s="7">
        <f t="shared" si="3"/>
        <v>1</v>
      </c>
      <c r="H15" s="7">
        <f t="shared" si="4"/>
        <v>0</v>
      </c>
      <c r="I15" s="7">
        <f t="shared" si="5"/>
        <v>1</v>
      </c>
      <c r="J15" s="7">
        <f t="shared" si="6"/>
        <v>0</v>
      </c>
      <c r="K15" s="7">
        <f t="shared" si="7"/>
        <v>0</v>
      </c>
      <c r="M15" s="8" t="s">
        <v>15</v>
      </c>
      <c r="N15" s="13" t="str">
        <f>$N$8&amp;" + "&amp;$N$9</f>
        <v>Aposentadoria privada + Venda/aluguel de propriedades ou imóveis</v>
      </c>
      <c r="O15" s="9">
        <f>SUM(K6:K104)</f>
        <v>24</v>
      </c>
    </row>
    <row r="16" spans="1:15" x14ac:dyDescent="0.45">
      <c r="A16" s="1">
        <f t="shared" si="1"/>
        <v>12</v>
      </c>
      <c r="B16" s="1">
        <f>INT((ROW()-4)*B$1/99)-INT((ROW()-5)*B$1/99)</f>
        <v>0</v>
      </c>
      <c r="C16" s="1">
        <f>INT((ROW()-4)*C$1/99)-INT((ROW()-5)*C$1/99)</f>
        <v>0</v>
      </c>
      <c r="D16" s="1">
        <f>INT((ROW()-4)*D$1/99)-INT((ROW()-5)*D$1/99)</f>
        <v>0</v>
      </c>
      <c r="E16" s="7">
        <f>INT((ROW()-4)*E$1/99)-INT((ROW()-5)*E$1/99)</f>
        <v>1</v>
      </c>
      <c r="F16" s="7">
        <f t="shared" si="2"/>
        <v>0</v>
      </c>
      <c r="G16" s="7">
        <f t="shared" si="3"/>
        <v>0</v>
      </c>
      <c r="H16" s="7">
        <f t="shared" si="4"/>
        <v>0</v>
      </c>
      <c r="I16" s="7">
        <f t="shared" si="5"/>
        <v>0</v>
      </c>
      <c r="J16" s="7">
        <f t="shared" si="6"/>
        <v>0</v>
      </c>
      <c r="K16" s="7">
        <f t="shared" si="7"/>
        <v>0</v>
      </c>
    </row>
    <row r="17" spans="1:11" x14ac:dyDescent="0.45">
      <c r="A17" s="1">
        <f t="shared" si="1"/>
        <v>13</v>
      </c>
      <c r="B17" s="1">
        <f>INT((ROW()-4)*B$1/99)-INT((ROW()-5)*B$1/99)</f>
        <v>1</v>
      </c>
      <c r="C17" s="1">
        <f>INT((ROW()-4)*C$1/99)-INT((ROW()-5)*C$1/99)</f>
        <v>1</v>
      </c>
      <c r="D17" s="1">
        <f>INT((ROW()-4)*D$1/99)-INT((ROW()-5)*D$1/99)</f>
        <v>1</v>
      </c>
      <c r="E17" s="7">
        <f>INT((ROW()-4)*E$1/99)-INT((ROW()-5)*E$1/99)</f>
        <v>0</v>
      </c>
      <c r="F17" s="7">
        <f t="shared" si="2"/>
        <v>1</v>
      </c>
      <c r="G17" s="7">
        <f t="shared" si="3"/>
        <v>1</v>
      </c>
      <c r="H17" s="7">
        <f t="shared" si="4"/>
        <v>0</v>
      </c>
      <c r="I17" s="7">
        <f t="shared" si="5"/>
        <v>1</v>
      </c>
      <c r="J17" s="7">
        <f t="shared" si="6"/>
        <v>0</v>
      </c>
      <c r="K17" s="7">
        <f t="shared" si="7"/>
        <v>0</v>
      </c>
    </row>
    <row r="18" spans="1:11" x14ac:dyDescent="0.45">
      <c r="A18" s="1">
        <f t="shared" si="1"/>
        <v>14</v>
      </c>
      <c r="B18" s="1">
        <f>INT((ROW()-4)*B$1/99)-INT((ROW()-5)*B$1/99)</f>
        <v>1</v>
      </c>
      <c r="C18" s="1">
        <f>INT((ROW()-4)*C$1/99)-INT((ROW()-5)*C$1/99)</f>
        <v>1</v>
      </c>
      <c r="D18" s="1">
        <f>INT((ROW()-4)*D$1/99)-INT((ROW()-5)*D$1/99)</f>
        <v>0</v>
      </c>
      <c r="E18" s="7">
        <f>INT((ROW()-4)*E$1/99)-INT((ROW()-5)*E$1/99)</f>
        <v>0</v>
      </c>
      <c r="F18" s="7">
        <f t="shared" si="2"/>
        <v>1</v>
      </c>
      <c r="G18" s="7">
        <f t="shared" si="3"/>
        <v>0</v>
      </c>
      <c r="H18" s="7">
        <f t="shared" si="4"/>
        <v>0</v>
      </c>
      <c r="I18" s="7">
        <f t="shared" si="5"/>
        <v>0</v>
      </c>
      <c r="J18" s="7">
        <f t="shared" si="6"/>
        <v>0</v>
      </c>
      <c r="K18" s="7">
        <f t="shared" si="7"/>
        <v>0</v>
      </c>
    </row>
    <row r="19" spans="1:11" x14ac:dyDescent="0.45">
      <c r="A19" s="1">
        <f t="shared" si="1"/>
        <v>15</v>
      </c>
      <c r="B19" s="1">
        <f>INT((ROW()-4)*B$1/99)-INT((ROW()-5)*B$1/99)</f>
        <v>1</v>
      </c>
      <c r="C19" s="1">
        <f>INT((ROW()-4)*C$1/99)-INT((ROW()-5)*C$1/99)</f>
        <v>0</v>
      </c>
      <c r="D19" s="1">
        <f>INT((ROW()-4)*D$1/99)-INT((ROW()-5)*D$1/99)</f>
        <v>1</v>
      </c>
      <c r="E19" s="7">
        <f>INT((ROW()-4)*E$1/99)-INT((ROW()-5)*E$1/99)</f>
        <v>1</v>
      </c>
      <c r="F19" s="7">
        <f t="shared" si="2"/>
        <v>0</v>
      </c>
      <c r="G19" s="7">
        <f t="shared" si="3"/>
        <v>1</v>
      </c>
      <c r="H19" s="7">
        <f t="shared" si="4"/>
        <v>1</v>
      </c>
      <c r="I19" s="7">
        <f t="shared" si="5"/>
        <v>0</v>
      </c>
      <c r="J19" s="7">
        <f t="shared" si="6"/>
        <v>0</v>
      </c>
      <c r="K19" s="7">
        <f t="shared" si="7"/>
        <v>1</v>
      </c>
    </row>
    <row r="20" spans="1:11" x14ac:dyDescent="0.45">
      <c r="A20" s="1">
        <f t="shared" si="1"/>
        <v>16</v>
      </c>
      <c r="B20" s="1">
        <f>INT((ROW()-4)*B$1/99)-INT((ROW()-5)*B$1/99)</f>
        <v>1</v>
      </c>
      <c r="C20" s="1">
        <f>INT((ROW()-4)*C$1/99)-INT((ROW()-5)*C$1/99)</f>
        <v>1</v>
      </c>
      <c r="D20" s="1">
        <f>INT((ROW()-4)*D$1/99)-INT((ROW()-5)*D$1/99)</f>
        <v>0</v>
      </c>
      <c r="E20" s="7">
        <f>INT((ROW()-4)*E$1/99)-INT((ROW()-5)*E$1/99)</f>
        <v>0</v>
      </c>
      <c r="F20" s="7">
        <f t="shared" si="2"/>
        <v>1</v>
      </c>
      <c r="G20" s="7">
        <f t="shared" si="3"/>
        <v>0</v>
      </c>
      <c r="H20" s="7">
        <f t="shared" si="4"/>
        <v>0</v>
      </c>
      <c r="I20" s="7">
        <f t="shared" si="5"/>
        <v>0</v>
      </c>
      <c r="J20" s="7">
        <f t="shared" si="6"/>
        <v>0</v>
      </c>
      <c r="K20" s="7">
        <f t="shared" si="7"/>
        <v>0</v>
      </c>
    </row>
    <row r="21" spans="1:11" x14ac:dyDescent="0.45">
      <c r="A21" s="1">
        <f t="shared" si="1"/>
        <v>17</v>
      </c>
      <c r="B21" s="1">
        <f>INT((ROW()-4)*B$1/99)-INT((ROW()-5)*B$1/99)</f>
        <v>1</v>
      </c>
      <c r="C21" s="1">
        <f>INT((ROW()-4)*C$1/99)-INT((ROW()-5)*C$1/99)</f>
        <v>0</v>
      </c>
      <c r="D21" s="1">
        <f>INT((ROW()-4)*D$1/99)-INT((ROW()-5)*D$1/99)</f>
        <v>1</v>
      </c>
      <c r="E21" s="7">
        <f>INT((ROW()-4)*E$1/99)-INT((ROW()-5)*E$1/99)</f>
        <v>1</v>
      </c>
      <c r="F21" s="7">
        <f t="shared" si="2"/>
        <v>0</v>
      </c>
      <c r="G21" s="7">
        <f t="shared" si="3"/>
        <v>1</v>
      </c>
      <c r="H21" s="7">
        <f t="shared" si="4"/>
        <v>1</v>
      </c>
      <c r="I21" s="7">
        <f t="shared" si="5"/>
        <v>0</v>
      </c>
      <c r="J21" s="7">
        <f t="shared" si="6"/>
        <v>0</v>
      </c>
      <c r="K21" s="7">
        <f t="shared" si="7"/>
        <v>1</v>
      </c>
    </row>
    <row r="22" spans="1:11" x14ac:dyDescent="0.45">
      <c r="A22" s="1">
        <f t="shared" si="1"/>
        <v>18</v>
      </c>
      <c r="B22" s="1">
        <f>INT((ROW()-4)*B$1/99)-INT((ROW()-5)*B$1/99)</f>
        <v>0</v>
      </c>
      <c r="C22" s="1">
        <f>INT((ROW()-4)*C$1/99)-INT((ROW()-5)*C$1/99)</f>
        <v>1</v>
      </c>
      <c r="D22" s="1">
        <f>INT((ROW()-4)*D$1/99)-INT((ROW()-5)*D$1/99)</f>
        <v>0</v>
      </c>
      <c r="E22" s="7">
        <f>INT((ROW()-4)*E$1/99)-INT((ROW()-5)*E$1/99)</f>
        <v>0</v>
      </c>
      <c r="F22" s="7">
        <f t="shared" si="2"/>
        <v>0</v>
      </c>
      <c r="G22" s="7">
        <f t="shared" si="3"/>
        <v>0</v>
      </c>
      <c r="H22" s="7">
        <f t="shared" si="4"/>
        <v>0</v>
      </c>
      <c r="I22" s="7">
        <f t="shared" si="5"/>
        <v>0</v>
      </c>
      <c r="J22" s="7">
        <f t="shared" si="6"/>
        <v>0</v>
      </c>
      <c r="K22" s="7">
        <f t="shared" si="7"/>
        <v>0</v>
      </c>
    </row>
    <row r="23" spans="1:11" x14ac:dyDescent="0.45">
      <c r="A23" s="1">
        <f t="shared" si="1"/>
        <v>19</v>
      </c>
      <c r="B23" s="1">
        <f>INT((ROW()-4)*B$1/99)-INT((ROW()-5)*B$1/99)</f>
        <v>1</v>
      </c>
      <c r="C23" s="1">
        <f>INT((ROW()-4)*C$1/99)-INT((ROW()-5)*C$1/99)</f>
        <v>1</v>
      </c>
      <c r="D23" s="1">
        <f>INT((ROW()-4)*D$1/99)-INT((ROW()-5)*D$1/99)</f>
        <v>1</v>
      </c>
      <c r="E23" s="7">
        <f>INT((ROW()-4)*E$1/99)-INT((ROW()-5)*E$1/99)</f>
        <v>1</v>
      </c>
      <c r="F23" s="7">
        <f t="shared" si="2"/>
        <v>1</v>
      </c>
      <c r="G23" s="7">
        <f t="shared" si="3"/>
        <v>1</v>
      </c>
      <c r="H23" s="7">
        <f t="shared" si="4"/>
        <v>1</v>
      </c>
      <c r="I23" s="7">
        <f t="shared" si="5"/>
        <v>1</v>
      </c>
      <c r="J23" s="7">
        <f t="shared" si="6"/>
        <v>1</v>
      </c>
      <c r="K23" s="7">
        <f t="shared" si="7"/>
        <v>1</v>
      </c>
    </row>
    <row r="24" spans="1:11" x14ac:dyDescent="0.45">
      <c r="A24" s="1">
        <f t="shared" si="1"/>
        <v>20</v>
      </c>
      <c r="B24" s="1">
        <f>INT((ROW()-4)*B$1/99)-INT((ROW()-5)*B$1/99)</f>
        <v>1</v>
      </c>
      <c r="C24" s="1">
        <f>INT((ROW()-4)*C$1/99)-INT((ROW()-5)*C$1/99)</f>
        <v>0</v>
      </c>
      <c r="D24" s="1">
        <f>INT((ROW()-4)*D$1/99)-INT((ROW()-5)*D$1/99)</f>
        <v>0</v>
      </c>
      <c r="E24" s="7">
        <f>INT((ROW()-4)*E$1/99)-INT((ROW()-5)*E$1/99)</f>
        <v>0</v>
      </c>
      <c r="F24" s="7">
        <f t="shared" si="2"/>
        <v>0</v>
      </c>
      <c r="G24" s="7">
        <f t="shared" si="3"/>
        <v>0</v>
      </c>
      <c r="H24" s="7">
        <f t="shared" si="4"/>
        <v>0</v>
      </c>
      <c r="I24" s="7">
        <f t="shared" si="5"/>
        <v>0</v>
      </c>
      <c r="J24" s="7">
        <f t="shared" si="6"/>
        <v>0</v>
      </c>
      <c r="K24" s="7">
        <f t="shared" si="7"/>
        <v>0</v>
      </c>
    </row>
    <row r="25" spans="1:11" x14ac:dyDescent="0.45">
      <c r="A25" s="1">
        <f t="shared" si="1"/>
        <v>21</v>
      </c>
      <c r="B25" s="1">
        <f>INT((ROW()-4)*B$1/99)-INT((ROW()-5)*B$1/99)</f>
        <v>1</v>
      </c>
      <c r="C25" s="1">
        <f>INT((ROW()-4)*C$1/99)-INT((ROW()-5)*C$1/99)</f>
        <v>1</v>
      </c>
      <c r="D25" s="1">
        <f>INT((ROW()-4)*D$1/99)-INT((ROW()-5)*D$1/99)</f>
        <v>1</v>
      </c>
      <c r="E25" s="7">
        <f>INT((ROW()-4)*E$1/99)-INT((ROW()-5)*E$1/99)</f>
        <v>0</v>
      </c>
      <c r="F25" s="7">
        <f t="shared" si="2"/>
        <v>1</v>
      </c>
      <c r="G25" s="7">
        <f t="shared" si="3"/>
        <v>1</v>
      </c>
      <c r="H25" s="7">
        <f t="shared" si="4"/>
        <v>0</v>
      </c>
      <c r="I25" s="7">
        <f t="shared" si="5"/>
        <v>1</v>
      </c>
      <c r="J25" s="7">
        <f t="shared" si="6"/>
        <v>0</v>
      </c>
      <c r="K25" s="7">
        <f t="shared" si="7"/>
        <v>0</v>
      </c>
    </row>
    <row r="26" spans="1:11" x14ac:dyDescent="0.45">
      <c r="A26" s="1">
        <f t="shared" si="1"/>
        <v>22</v>
      </c>
      <c r="B26" s="1">
        <f>INT((ROW()-4)*B$1/99)-INT((ROW()-5)*B$1/99)</f>
        <v>1</v>
      </c>
      <c r="C26" s="1">
        <f>INT((ROW()-4)*C$1/99)-INT((ROW()-5)*C$1/99)</f>
        <v>1</v>
      </c>
      <c r="D26" s="1">
        <f>INT((ROW()-4)*D$1/99)-INT((ROW()-5)*D$1/99)</f>
        <v>0</v>
      </c>
      <c r="E26" s="7">
        <f>INT((ROW()-4)*E$1/99)-INT((ROW()-5)*E$1/99)</f>
        <v>1</v>
      </c>
      <c r="F26" s="7">
        <f t="shared" si="2"/>
        <v>1</v>
      </c>
      <c r="G26" s="7">
        <f t="shared" si="3"/>
        <v>0</v>
      </c>
      <c r="H26" s="7">
        <f t="shared" si="4"/>
        <v>1</v>
      </c>
      <c r="I26" s="7">
        <f t="shared" si="5"/>
        <v>0</v>
      </c>
      <c r="J26" s="7">
        <f t="shared" si="6"/>
        <v>1</v>
      </c>
      <c r="K26" s="7">
        <f t="shared" si="7"/>
        <v>0</v>
      </c>
    </row>
    <row r="27" spans="1:11" x14ac:dyDescent="0.45">
      <c r="A27" s="1">
        <f t="shared" si="1"/>
        <v>23</v>
      </c>
      <c r="B27" s="1">
        <f>INT((ROW()-4)*B$1/99)-INT((ROW()-5)*B$1/99)</f>
        <v>1</v>
      </c>
      <c r="C27" s="1">
        <f>INT((ROW()-4)*C$1/99)-INT((ROW()-5)*C$1/99)</f>
        <v>0</v>
      </c>
      <c r="D27" s="1">
        <f>INT((ROW()-4)*D$1/99)-INT((ROW()-5)*D$1/99)</f>
        <v>1</v>
      </c>
      <c r="E27" s="7">
        <f>INT((ROW()-4)*E$1/99)-INT((ROW()-5)*E$1/99)</f>
        <v>0</v>
      </c>
      <c r="F27" s="7">
        <f t="shared" si="2"/>
        <v>0</v>
      </c>
      <c r="G27" s="7">
        <f t="shared" si="3"/>
        <v>1</v>
      </c>
      <c r="H27" s="7">
        <f t="shared" si="4"/>
        <v>0</v>
      </c>
      <c r="I27" s="7">
        <f t="shared" si="5"/>
        <v>0</v>
      </c>
      <c r="J27" s="7">
        <f t="shared" si="6"/>
        <v>0</v>
      </c>
      <c r="K27" s="7">
        <f t="shared" si="7"/>
        <v>0</v>
      </c>
    </row>
    <row r="28" spans="1:11" x14ac:dyDescent="0.45">
      <c r="A28" s="1">
        <f t="shared" si="1"/>
        <v>24</v>
      </c>
      <c r="B28" s="1">
        <f>INT((ROW()-4)*B$1/99)-INT((ROW()-5)*B$1/99)</f>
        <v>0</v>
      </c>
      <c r="C28" s="1">
        <f>INT((ROW()-4)*C$1/99)-INT((ROW()-5)*C$1/99)</f>
        <v>1</v>
      </c>
      <c r="D28" s="1">
        <f>INT((ROW()-4)*D$1/99)-INT((ROW()-5)*D$1/99)</f>
        <v>0</v>
      </c>
      <c r="E28" s="7">
        <f>INT((ROW()-4)*E$1/99)-INT((ROW()-5)*E$1/99)</f>
        <v>1</v>
      </c>
      <c r="F28" s="7">
        <f t="shared" si="2"/>
        <v>0</v>
      </c>
      <c r="G28" s="7">
        <f t="shared" si="3"/>
        <v>0</v>
      </c>
      <c r="H28" s="7">
        <f t="shared" si="4"/>
        <v>0</v>
      </c>
      <c r="I28" s="7">
        <f t="shared" si="5"/>
        <v>0</v>
      </c>
      <c r="J28" s="7">
        <f t="shared" si="6"/>
        <v>1</v>
      </c>
      <c r="K28" s="7">
        <f t="shared" si="7"/>
        <v>0</v>
      </c>
    </row>
    <row r="29" spans="1:11" x14ac:dyDescent="0.45">
      <c r="A29" s="1">
        <f t="shared" si="1"/>
        <v>25</v>
      </c>
      <c r="B29" s="1">
        <f>INT((ROW()-4)*B$1/99)-INT((ROW()-5)*B$1/99)</f>
        <v>1</v>
      </c>
      <c r="C29" s="1">
        <f>INT((ROW()-4)*C$1/99)-INT((ROW()-5)*C$1/99)</f>
        <v>1</v>
      </c>
      <c r="D29" s="1">
        <f>INT((ROW()-4)*D$1/99)-INT((ROW()-5)*D$1/99)</f>
        <v>1</v>
      </c>
      <c r="E29" s="7">
        <f>INT((ROW()-4)*E$1/99)-INT((ROW()-5)*E$1/99)</f>
        <v>0</v>
      </c>
      <c r="F29" s="7">
        <f t="shared" si="2"/>
        <v>1</v>
      </c>
      <c r="G29" s="7">
        <f t="shared" si="3"/>
        <v>1</v>
      </c>
      <c r="H29" s="7">
        <f t="shared" si="4"/>
        <v>0</v>
      </c>
      <c r="I29" s="7">
        <f t="shared" si="5"/>
        <v>1</v>
      </c>
      <c r="J29" s="7">
        <f t="shared" si="6"/>
        <v>0</v>
      </c>
      <c r="K29" s="7">
        <f t="shared" si="7"/>
        <v>0</v>
      </c>
    </row>
    <row r="30" spans="1:11" x14ac:dyDescent="0.45">
      <c r="A30" s="1">
        <f t="shared" si="1"/>
        <v>26</v>
      </c>
      <c r="B30" s="1">
        <f>INT((ROW()-4)*B$1/99)-INT((ROW()-5)*B$1/99)</f>
        <v>1</v>
      </c>
      <c r="C30" s="1">
        <f>INT((ROW()-4)*C$1/99)-INT((ROW()-5)*C$1/99)</f>
        <v>0</v>
      </c>
      <c r="D30" s="1">
        <f>INT((ROW()-4)*D$1/99)-INT((ROW()-5)*D$1/99)</f>
        <v>0</v>
      </c>
      <c r="E30" s="7">
        <f>INT((ROW()-4)*E$1/99)-INT((ROW()-5)*E$1/99)</f>
        <v>1</v>
      </c>
      <c r="F30" s="7">
        <f t="shared" si="2"/>
        <v>0</v>
      </c>
      <c r="G30" s="7">
        <f t="shared" si="3"/>
        <v>0</v>
      </c>
      <c r="H30" s="7">
        <f t="shared" si="4"/>
        <v>1</v>
      </c>
      <c r="I30" s="7">
        <f t="shared" si="5"/>
        <v>0</v>
      </c>
      <c r="J30" s="7">
        <f t="shared" si="6"/>
        <v>0</v>
      </c>
      <c r="K30" s="7">
        <f t="shared" si="7"/>
        <v>0</v>
      </c>
    </row>
    <row r="31" spans="1:11" x14ac:dyDescent="0.45">
      <c r="A31" s="1">
        <f t="shared" si="1"/>
        <v>27</v>
      </c>
      <c r="B31" s="1">
        <f>INT((ROW()-4)*B$1/99)-INT((ROW()-5)*B$1/99)</f>
        <v>1</v>
      </c>
      <c r="C31" s="1">
        <f>INT((ROW()-4)*C$1/99)-INT((ROW()-5)*C$1/99)</f>
        <v>1</v>
      </c>
      <c r="D31" s="1">
        <f>INT((ROW()-4)*D$1/99)-INT((ROW()-5)*D$1/99)</f>
        <v>1</v>
      </c>
      <c r="E31" s="7">
        <f>INT((ROW()-4)*E$1/99)-INT((ROW()-5)*E$1/99)</f>
        <v>0</v>
      </c>
      <c r="F31" s="7">
        <f t="shared" si="2"/>
        <v>1</v>
      </c>
      <c r="G31" s="7">
        <f t="shared" si="3"/>
        <v>1</v>
      </c>
      <c r="H31" s="7">
        <f t="shared" si="4"/>
        <v>0</v>
      </c>
      <c r="I31" s="7">
        <f t="shared" si="5"/>
        <v>1</v>
      </c>
      <c r="J31" s="7">
        <f t="shared" si="6"/>
        <v>0</v>
      </c>
      <c r="K31" s="7">
        <f t="shared" si="7"/>
        <v>0</v>
      </c>
    </row>
    <row r="32" spans="1:11" x14ac:dyDescent="0.45">
      <c r="A32" s="1">
        <f t="shared" si="1"/>
        <v>28</v>
      </c>
      <c r="B32" s="1">
        <f>INT((ROW()-4)*B$1/99)-INT((ROW()-5)*B$1/99)</f>
        <v>1</v>
      </c>
      <c r="C32" s="1">
        <f>INT((ROW()-4)*C$1/99)-INT((ROW()-5)*C$1/99)</f>
        <v>1</v>
      </c>
      <c r="D32" s="1">
        <f>INT((ROW()-4)*D$1/99)-INT((ROW()-5)*D$1/99)</f>
        <v>0</v>
      </c>
      <c r="E32" s="7">
        <f>INT((ROW()-4)*E$1/99)-INT((ROW()-5)*E$1/99)</f>
        <v>0</v>
      </c>
      <c r="F32" s="7">
        <f t="shared" si="2"/>
        <v>1</v>
      </c>
      <c r="G32" s="7">
        <f t="shared" si="3"/>
        <v>0</v>
      </c>
      <c r="H32" s="7">
        <f t="shared" si="4"/>
        <v>0</v>
      </c>
      <c r="I32" s="7">
        <f t="shared" si="5"/>
        <v>0</v>
      </c>
      <c r="J32" s="7">
        <f t="shared" si="6"/>
        <v>0</v>
      </c>
      <c r="K32" s="7">
        <f t="shared" si="7"/>
        <v>0</v>
      </c>
    </row>
    <row r="33" spans="1:11" x14ac:dyDescent="0.45">
      <c r="A33" s="1">
        <f t="shared" si="1"/>
        <v>29</v>
      </c>
      <c r="B33" s="1">
        <f>INT((ROW()-4)*B$1/99)-INT((ROW()-5)*B$1/99)</f>
        <v>1</v>
      </c>
      <c r="C33" s="1">
        <f>INT((ROW()-4)*C$1/99)-INT((ROW()-5)*C$1/99)</f>
        <v>0</v>
      </c>
      <c r="D33" s="1">
        <f>INT((ROW()-4)*D$1/99)-INT((ROW()-5)*D$1/99)</f>
        <v>1</v>
      </c>
      <c r="E33" s="7">
        <f>INT((ROW()-4)*E$1/99)-INT((ROW()-5)*E$1/99)</f>
        <v>1</v>
      </c>
      <c r="F33" s="7">
        <f t="shared" si="2"/>
        <v>0</v>
      </c>
      <c r="G33" s="7">
        <f t="shared" si="3"/>
        <v>1</v>
      </c>
      <c r="H33" s="7">
        <f t="shared" si="4"/>
        <v>1</v>
      </c>
      <c r="I33" s="7">
        <f t="shared" si="5"/>
        <v>0</v>
      </c>
      <c r="J33" s="7">
        <f t="shared" si="6"/>
        <v>0</v>
      </c>
      <c r="K33" s="7">
        <f t="shared" si="7"/>
        <v>1</v>
      </c>
    </row>
    <row r="34" spans="1:11" x14ac:dyDescent="0.45">
      <c r="A34" s="1">
        <f t="shared" si="1"/>
        <v>30</v>
      </c>
      <c r="B34" s="1">
        <f>INT((ROW()-4)*B$1/99)-INT((ROW()-5)*B$1/99)</f>
        <v>0</v>
      </c>
      <c r="C34" s="1">
        <f>INT((ROW()-4)*C$1/99)-INT((ROW()-5)*C$1/99)</f>
        <v>1</v>
      </c>
      <c r="D34" s="1">
        <f>INT((ROW()-4)*D$1/99)-INT((ROW()-5)*D$1/99)</f>
        <v>0</v>
      </c>
      <c r="E34" s="7">
        <f>INT((ROW()-4)*E$1/99)-INT((ROW()-5)*E$1/99)</f>
        <v>0</v>
      </c>
      <c r="F34" s="7">
        <f t="shared" si="2"/>
        <v>0</v>
      </c>
      <c r="G34" s="7">
        <f t="shared" si="3"/>
        <v>0</v>
      </c>
      <c r="H34" s="7">
        <f t="shared" si="4"/>
        <v>0</v>
      </c>
      <c r="I34" s="7">
        <f t="shared" si="5"/>
        <v>0</v>
      </c>
      <c r="J34" s="7">
        <f t="shared" si="6"/>
        <v>0</v>
      </c>
      <c r="K34" s="7">
        <f t="shared" si="7"/>
        <v>0</v>
      </c>
    </row>
    <row r="35" spans="1:11" x14ac:dyDescent="0.45">
      <c r="A35" s="1">
        <f t="shared" si="1"/>
        <v>31</v>
      </c>
      <c r="B35" s="1">
        <f>INT((ROW()-4)*B$1/99)-INT((ROW()-5)*B$1/99)</f>
        <v>1</v>
      </c>
      <c r="C35" s="1">
        <f>INT((ROW()-4)*C$1/99)-INT((ROW()-5)*C$1/99)</f>
        <v>1</v>
      </c>
      <c r="D35" s="1">
        <f>INT((ROW()-4)*D$1/99)-INT((ROW()-5)*D$1/99)</f>
        <v>1</v>
      </c>
      <c r="E35" s="7">
        <f>INT((ROW()-4)*E$1/99)-INT((ROW()-5)*E$1/99)</f>
        <v>1</v>
      </c>
      <c r="F35" s="7">
        <f t="shared" si="2"/>
        <v>1</v>
      </c>
      <c r="G35" s="7">
        <f t="shared" si="3"/>
        <v>1</v>
      </c>
      <c r="H35" s="7">
        <f t="shared" si="4"/>
        <v>1</v>
      </c>
      <c r="I35" s="7">
        <f t="shared" si="5"/>
        <v>1</v>
      </c>
      <c r="J35" s="7">
        <f t="shared" si="6"/>
        <v>1</v>
      </c>
      <c r="K35" s="7">
        <f t="shared" si="7"/>
        <v>1</v>
      </c>
    </row>
    <row r="36" spans="1:11" x14ac:dyDescent="0.45">
      <c r="A36" s="1">
        <f t="shared" si="1"/>
        <v>32</v>
      </c>
      <c r="B36" s="1">
        <f>INT((ROW()-4)*B$1/99)-INT((ROW()-5)*B$1/99)</f>
        <v>1</v>
      </c>
      <c r="C36" s="1">
        <f>INT((ROW()-4)*C$1/99)-INT((ROW()-5)*C$1/99)</f>
        <v>0</v>
      </c>
      <c r="D36" s="1">
        <f>INT((ROW()-4)*D$1/99)-INT((ROW()-5)*D$1/99)</f>
        <v>0</v>
      </c>
      <c r="E36" s="7">
        <f>INT((ROW()-4)*E$1/99)-INT((ROW()-5)*E$1/99)</f>
        <v>0</v>
      </c>
      <c r="F36" s="7">
        <f t="shared" si="2"/>
        <v>0</v>
      </c>
      <c r="G36" s="7">
        <f t="shared" si="3"/>
        <v>0</v>
      </c>
      <c r="H36" s="7">
        <f t="shared" si="4"/>
        <v>0</v>
      </c>
      <c r="I36" s="7">
        <f t="shared" si="5"/>
        <v>0</v>
      </c>
      <c r="J36" s="7">
        <f t="shared" si="6"/>
        <v>0</v>
      </c>
      <c r="K36" s="7">
        <f t="shared" si="7"/>
        <v>0</v>
      </c>
    </row>
    <row r="37" spans="1:11" x14ac:dyDescent="0.45">
      <c r="A37" s="1">
        <f t="shared" si="1"/>
        <v>33</v>
      </c>
      <c r="B37" s="1">
        <f>INT((ROW()-4)*B$1/99)-INT((ROW()-5)*B$1/99)</f>
        <v>1</v>
      </c>
      <c r="C37" s="1">
        <f>INT((ROW()-4)*C$1/99)-INT((ROW()-5)*C$1/99)</f>
        <v>1</v>
      </c>
      <c r="D37" s="1">
        <f>INT((ROW()-4)*D$1/99)-INT((ROW()-5)*D$1/99)</f>
        <v>1</v>
      </c>
      <c r="E37" s="7">
        <f>INT((ROW()-4)*E$1/99)-INT((ROW()-5)*E$1/99)</f>
        <v>1</v>
      </c>
      <c r="F37" s="7">
        <f t="shared" si="2"/>
        <v>1</v>
      </c>
      <c r="G37" s="7">
        <f t="shared" si="3"/>
        <v>1</v>
      </c>
      <c r="H37" s="7">
        <f t="shared" si="4"/>
        <v>1</v>
      </c>
      <c r="I37" s="7">
        <f t="shared" si="5"/>
        <v>1</v>
      </c>
      <c r="J37" s="7">
        <f t="shared" si="6"/>
        <v>1</v>
      </c>
      <c r="K37" s="7">
        <f t="shared" si="7"/>
        <v>1</v>
      </c>
    </row>
    <row r="38" spans="1:11" x14ac:dyDescent="0.45">
      <c r="A38" s="1">
        <f t="shared" si="1"/>
        <v>34</v>
      </c>
      <c r="B38" s="1">
        <f>INT((ROW()-4)*B$1/99)-INT((ROW()-5)*B$1/99)</f>
        <v>1</v>
      </c>
      <c r="C38" s="1">
        <f>INT((ROW()-4)*C$1/99)-INT((ROW()-5)*C$1/99)</f>
        <v>0</v>
      </c>
      <c r="D38" s="1">
        <f>INT((ROW()-4)*D$1/99)-INT((ROW()-5)*D$1/99)</f>
        <v>0</v>
      </c>
      <c r="E38" s="7">
        <f>INT((ROW()-4)*E$1/99)-INT((ROW()-5)*E$1/99)</f>
        <v>0</v>
      </c>
      <c r="F38" s="7">
        <f t="shared" si="2"/>
        <v>0</v>
      </c>
      <c r="G38" s="7">
        <f t="shared" si="3"/>
        <v>0</v>
      </c>
      <c r="H38" s="7">
        <f t="shared" si="4"/>
        <v>0</v>
      </c>
      <c r="I38" s="7">
        <f t="shared" si="5"/>
        <v>0</v>
      </c>
      <c r="J38" s="7">
        <f t="shared" si="6"/>
        <v>0</v>
      </c>
      <c r="K38" s="7">
        <f t="shared" si="7"/>
        <v>0</v>
      </c>
    </row>
    <row r="39" spans="1:11" x14ac:dyDescent="0.45">
      <c r="A39" s="1">
        <f t="shared" si="1"/>
        <v>35</v>
      </c>
      <c r="B39" s="1">
        <f>INT((ROW()-4)*B$1/99)-INT((ROW()-5)*B$1/99)</f>
        <v>0</v>
      </c>
      <c r="C39" s="1">
        <f>INT((ROW()-4)*C$1/99)-INT((ROW()-5)*C$1/99)</f>
        <v>1</v>
      </c>
      <c r="D39" s="1">
        <f>INT((ROW()-4)*D$1/99)-INT((ROW()-5)*D$1/99)</f>
        <v>0</v>
      </c>
      <c r="E39" s="7">
        <f>INT((ROW()-4)*E$1/99)-INT((ROW()-5)*E$1/99)</f>
        <v>0</v>
      </c>
      <c r="F39" s="7">
        <f t="shared" si="2"/>
        <v>0</v>
      </c>
      <c r="G39" s="7">
        <f t="shared" si="3"/>
        <v>0</v>
      </c>
      <c r="H39" s="7">
        <f t="shared" si="4"/>
        <v>0</v>
      </c>
      <c r="I39" s="7">
        <f t="shared" si="5"/>
        <v>0</v>
      </c>
      <c r="J39" s="7">
        <f t="shared" si="6"/>
        <v>0</v>
      </c>
      <c r="K39" s="7">
        <f t="shared" si="7"/>
        <v>0</v>
      </c>
    </row>
    <row r="40" spans="1:11" x14ac:dyDescent="0.45">
      <c r="A40" s="1">
        <f t="shared" si="1"/>
        <v>36</v>
      </c>
      <c r="B40" s="1">
        <f>INT((ROW()-4)*B$1/99)-INT((ROW()-5)*B$1/99)</f>
        <v>1</v>
      </c>
      <c r="C40" s="1">
        <f>INT((ROW()-4)*C$1/99)-INT((ROW()-5)*C$1/99)</f>
        <v>1</v>
      </c>
      <c r="D40" s="1">
        <f>INT((ROW()-4)*D$1/99)-INT((ROW()-5)*D$1/99)</f>
        <v>1</v>
      </c>
      <c r="E40" s="7">
        <f>INT((ROW()-4)*E$1/99)-INT((ROW()-5)*E$1/99)</f>
        <v>1</v>
      </c>
      <c r="F40" s="7">
        <f t="shared" si="2"/>
        <v>1</v>
      </c>
      <c r="G40" s="7">
        <f t="shared" si="3"/>
        <v>1</v>
      </c>
      <c r="H40" s="7">
        <f t="shared" si="4"/>
        <v>1</v>
      </c>
      <c r="I40" s="7">
        <f t="shared" si="5"/>
        <v>1</v>
      </c>
      <c r="J40" s="7">
        <f t="shared" si="6"/>
        <v>1</v>
      </c>
      <c r="K40" s="7">
        <f t="shared" si="7"/>
        <v>1</v>
      </c>
    </row>
    <row r="41" spans="1:11" x14ac:dyDescent="0.45">
      <c r="A41" s="1">
        <f t="shared" si="1"/>
        <v>37</v>
      </c>
      <c r="B41" s="1">
        <f>INT((ROW()-4)*B$1/99)-INT((ROW()-5)*B$1/99)</f>
        <v>1</v>
      </c>
      <c r="C41" s="1">
        <f>INT((ROW()-4)*C$1/99)-INT((ROW()-5)*C$1/99)</f>
        <v>0</v>
      </c>
      <c r="D41" s="1">
        <f>INT((ROW()-4)*D$1/99)-INT((ROW()-5)*D$1/99)</f>
        <v>0</v>
      </c>
      <c r="E41" s="7">
        <f>INT((ROW()-4)*E$1/99)-INT((ROW()-5)*E$1/99)</f>
        <v>0</v>
      </c>
      <c r="F41" s="7">
        <f t="shared" si="2"/>
        <v>0</v>
      </c>
      <c r="G41" s="7">
        <f t="shared" si="3"/>
        <v>0</v>
      </c>
      <c r="H41" s="7">
        <f t="shared" si="4"/>
        <v>0</v>
      </c>
      <c r="I41" s="7">
        <f t="shared" si="5"/>
        <v>0</v>
      </c>
      <c r="J41" s="7">
        <f t="shared" si="6"/>
        <v>0</v>
      </c>
      <c r="K41" s="7">
        <f t="shared" si="7"/>
        <v>0</v>
      </c>
    </row>
    <row r="42" spans="1:11" x14ac:dyDescent="0.45">
      <c r="A42" s="1">
        <f t="shared" si="1"/>
        <v>38</v>
      </c>
      <c r="B42" s="1">
        <f>INT((ROW()-4)*B$1/99)-INT((ROW()-5)*B$1/99)</f>
        <v>1</v>
      </c>
      <c r="C42" s="1">
        <f>INT((ROW()-4)*C$1/99)-INT((ROW()-5)*C$1/99)</f>
        <v>1</v>
      </c>
      <c r="D42" s="1">
        <f>INT((ROW()-4)*D$1/99)-INT((ROW()-5)*D$1/99)</f>
        <v>1</v>
      </c>
      <c r="E42" s="7">
        <f>INT((ROW()-4)*E$1/99)-INT((ROW()-5)*E$1/99)</f>
        <v>1</v>
      </c>
      <c r="F42" s="7">
        <f t="shared" si="2"/>
        <v>1</v>
      </c>
      <c r="G42" s="7">
        <f t="shared" si="3"/>
        <v>1</v>
      </c>
      <c r="H42" s="7">
        <f t="shared" si="4"/>
        <v>1</v>
      </c>
      <c r="I42" s="7">
        <f t="shared" si="5"/>
        <v>1</v>
      </c>
      <c r="J42" s="7">
        <f t="shared" si="6"/>
        <v>1</v>
      </c>
      <c r="K42" s="7">
        <f t="shared" si="7"/>
        <v>1</v>
      </c>
    </row>
    <row r="43" spans="1:11" x14ac:dyDescent="0.45">
      <c r="A43" s="1">
        <f t="shared" si="1"/>
        <v>39</v>
      </c>
      <c r="B43" s="1">
        <f>INT((ROW()-4)*B$1/99)-INT((ROW()-5)*B$1/99)</f>
        <v>1</v>
      </c>
      <c r="C43" s="1">
        <f>INT((ROW()-4)*C$1/99)-INT((ROW()-5)*C$1/99)</f>
        <v>1</v>
      </c>
      <c r="D43" s="1">
        <f>INT((ROW()-4)*D$1/99)-INT((ROW()-5)*D$1/99)</f>
        <v>0</v>
      </c>
      <c r="E43" s="7">
        <f>INT((ROW()-4)*E$1/99)-INT((ROW()-5)*E$1/99)</f>
        <v>0</v>
      </c>
      <c r="F43" s="7">
        <f t="shared" si="2"/>
        <v>1</v>
      </c>
      <c r="G43" s="7">
        <f t="shared" si="3"/>
        <v>0</v>
      </c>
      <c r="H43" s="7">
        <f t="shared" si="4"/>
        <v>0</v>
      </c>
      <c r="I43" s="7">
        <f t="shared" si="5"/>
        <v>0</v>
      </c>
      <c r="J43" s="7">
        <f t="shared" si="6"/>
        <v>0</v>
      </c>
      <c r="K43" s="7">
        <f t="shared" si="7"/>
        <v>0</v>
      </c>
    </row>
    <row r="44" spans="1:11" x14ac:dyDescent="0.45">
      <c r="A44" s="1">
        <f t="shared" si="1"/>
        <v>40</v>
      </c>
      <c r="B44" s="1">
        <f>INT((ROW()-4)*B$1/99)-INT((ROW()-5)*B$1/99)</f>
        <v>1</v>
      </c>
      <c r="C44" s="1">
        <f>INT((ROW()-4)*C$1/99)-INT((ROW()-5)*C$1/99)</f>
        <v>0</v>
      </c>
      <c r="D44" s="1">
        <f>INT((ROW()-4)*D$1/99)-INT((ROW()-5)*D$1/99)</f>
        <v>1</v>
      </c>
      <c r="E44" s="7">
        <f>INT((ROW()-4)*E$1/99)-INT((ROW()-5)*E$1/99)</f>
        <v>0</v>
      </c>
      <c r="F44" s="7">
        <f t="shared" si="2"/>
        <v>0</v>
      </c>
      <c r="G44" s="7">
        <f t="shared" si="3"/>
        <v>1</v>
      </c>
      <c r="H44" s="7">
        <f t="shared" si="4"/>
        <v>0</v>
      </c>
      <c r="I44" s="7">
        <f t="shared" si="5"/>
        <v>0</v>
      </c>
      <c r="J44" s="7">
        <f t="shared" si="6"/>
        <v>0</v>
      </c>
      <c r="K44" s="7">
        <f t="shared" si="7"/>
        <v>0</v>
      </c>
    </row>
    <row r="45" spans="1:11" x14ac:dyDescent="0.45">
      <c r="A45" s="1">
        <f t="shared" si="1"/>
        <v>41</v>
      </c>
      <c r="B45" s="1">
        <f>INT((ROW()-4)*B$1/99)-INT((ROW()-5)*B$1/99)</f>
        <v>0</v>
      </c>
      <c r="C45" s="1">
        <f>INT((ROW()-4)*C$1/99)-INT((ROW()-5)*C$1/99)</f>
        <v>1</v>
      </c>
      <c r="D45" s="1">
        <f>INT((ROW()-4)*D$1/99)-INT((ROW()-5)*D$1/99)</f>
        <v>0</v>
      </c>
      <c r="E45" s="7">
        <f>INT((ROW()-4)*E$1/99)-INT((ROW()-5)*E$1/99)</f>
        <v>1</v>
      </c>
      <c r="F45" s="7">
        <f t="shared" si="2"/>
        <v>0</v>
      </c>
      <c r="G45" s="7">
        <f t="shared" si="3"/>
        <v>0</v>
      </c>
      <c r="H45" s="7">
        <f t="shared" si="4"/>
        <v>0</v>
      </c>
      <c r="I45" s="7">
        <f t="shared" si="5"/>
        <v>0</v>
      </c>
      <c r="J45" s="7">
        <f t="shared" si="6"/>
        <v>1</v>
      </c>
      <c r="K45" s="7">
        <f t="shared" si="7"/>
        <v>0</v>
      </c>
    </row>
    <row r="46" spans="1:11" x14ac:dyDescent="0.45">
      <c r="A46" s="1">
        <f t="shared" si="1"/>
        <v>42</v>
      </c>
      <c r="B46" s="1">
        <f>INT((ROW()-4)*B$1/99)-INT((ROW()-5)*B$1/99)</f>
        <v>1</v>
      </c>
      <c r="C46" s="1">
        <f>INT((ROW()-4)*C$1/99)-INT((ROW()-5)*C$1/99)</f>
        <v>1</v>
      </c>
      <c r="D46" s="1">
        <f>INT((ROW()-4)*D$1/99)-INT((ROW()-5)*D$1/99)</f>
        <v>1</v>
      </c>
      <c r="E46" s="7">
        <f>INT((ROW()-4)*E$1/99)-INT((ROW()-5)*E$1/99)</f>
        <v>0</v>
      </c>
      <c r="F46" s="7">
        <f t="shared" si="2"/>
        <v>1</v>
      </c>
      <c r="G46" s="7">
        <f t="shared" si="3"/>
        <v>1</v>
      </c>
      <c r="H46" s="7">
        <f t="shared" si="4"/>
        <v>0</v>
      </c>
      <c r="I46" s="7">
        <f t="shared" si="5"/>
        <v>1</v>
      </c>
      <c r="J46" s="7">
        <f t="shared" si="6"/>
        <v>0</v>
      </c>
      <c r="K46" s="7">
        <f t="shared" si="7"/>
        <v>0</v>
      </c>
    </row>
    <row r="47" spans="1:11" x14ac:dyDescent="0.45">
      <c r="A47" s="1">
        <f t="shared" si="1"/>
        <v>43</v>
      </c>
      <c r="B47" s="1">
        <f>INT((ROW()-4)*B$1/99)-INT((ROW()-5)*B$1/99)</f>
        <v>1</v>
      </c>
      <c r="C47" s="1">
        <f>INT((ROW()-4)*C$1/99)-INT((ROW()-5)*C$1/99)</f>
        <v>0</v>
      </c>
      <c r="D47" s="1">
        <f>INT((ROW()-4)*D$1/99)-INT((ROW()-5)*D$1/99)</f>
        <v>0</v>
      </c>
      <c r="E47" s="7">
        <f>INT((ROW()-4)*E$1/99)-INT((ROW()-5)*E$1/99)</f>
        <v>1</v>
      </c>
      <c r="F47" s="7">
        <f t="shared" si="2"/>
        <v>0</v>
      </c>
      <c r="G47" s="7">
        <f t="shared" si="3"/>
        <v>0</v>
      </c>
      <c r="H47" s="7">
        <f t="shared" si="4"/>
        <v>1</v>
      </c>
      <c r="I47" s="7">
        <f t="shared" si="5"/>
        <v>0</v>
      </c>
      <c r="J47" s="7">
        <f t="shared" si="6"/>
        <v>0</v>
      </c>
      <c r="K47" s="7">
        <f t="shared" si="7"/>
        <v>0</v>
      </c>
    </row>
    <row r="48" spans="1:11" x14ac:dyDescent="0.45">
      <c r="A48" s="1">
        <f t="shared" si="1"/>
        <v>44</v>
      </c>
      <c r="B48" s="1">
        <f>INT((ROW()-4)*B$1/99)-INT((ROW()-5)*B$1/99)</f>
        <v>1</v>
      </c>
      <c r="C48" s="1">
        <f>INT((ROW()-4)*C$1/99)-INT((ROW()-5)*C$1/99)</f>
        <v>1</v>
      </c>
      <c r="D48" s="1">
        <f>INT((ROW()-4)*D$1/99)-INT((ROW()-5)*D$1/99)</f>
        <v>1</v>
      </c>
      <c r="E48" s="7">
        <f>INT((ROW()-4)*E$1/99)-INT((ROW()-5)*E$1/99)</f>
        <v>0</v>
      </c>
      <c r="F48" s="7">
        <f t="shared" si="2"/>
        <v>1</v>
      </c>
      <c r="G48" s="7">
        <f t="shared" si="3"/>
        <v>1</v>
      </c>
      <c r="H48" s="7">
        <f t="shared" si="4"/>
        <v>0</v>
      </c>
      <c r="I48" s="7">
        <f t="shared" si="5"/>
        <v>1</v>
      </c>
      <c r="J48" s="7">
        <f t="shared" si="6"/>
        <v>0</v>
      </c>
      <c r="K48" s="7">
        <f t="shared" si="7"/>
        <v>0</v>
      </c>
    </row>
    <row r="49" spans="1:11" x14ac:dyDescent="0.45">
      <c r="A49" s="1">
        <f t="shared" si="1"/>
        <v>45</v>
      </c>
      <c r="B49" s="1">
        <f>INT((ROW()-4)*B$1/99)-INT((ROW()-5)*B$1/99)</f>
        <v>1</v>
      </c>
      <c r="C49" s="1">
        <f>INT((ROW()-4)*C$1/99)-INT((ROW()-5)*C$1/99)</f>
        <v>1</v>
      </c>
      <c r="D49" s="1">
        <f>INT((ROW()-4)*D$1/99)-INT((ROW()-5)*D$1/99)</f>
        <v>0</v>
      </c>
      <c r="E49" s="7">
        <f>INT((ROW()-4)*E$1/99)-INT((ROW()-5)*E$1/99)</f>
        <v>1</v>
      </c>
      <c r="F49" s="7">
        <f t="shared" si="2"/>
        <v>1</v>
      </c>
      <c r="G49" s="7">
        <f t="shared" si="3"/>
        <v>0</v>
      </c>
      <c r="H49" s="7">
        <f t="shared" si="4"/>
        <v>1</v>
      </c>
      <c r="I49" s="7">
        <f t="shared" si="5"/>
        <v>0</v>
      </c>
      <c r="J49" s="7">
        <f t="shared" si="6"/>
        <v>1</v>
      </c>
      <c r="K49" s="7">
        <f t="shared" si="7"/>
        <v>0</v>
      </c>
    </row>
    <row r="50" spans="1:11" x14ac:dyDescent="0.45">
      <c r="A50" s="1">
        <f t="shared" si="1"/>
        <v>46</v>
      </c>
      <c r="B50" s="1">
        <f>INT((ROW()-4)*B$1/99)-INT((ROW()-5)*B$1/99)</f>
        <v>1</v>
      </c>
      <c r="C50" s="1">
        <f>INT((ROW()-4)*C$1/99)-INT((ROW()-5)*C$1/99)</f>
        <v>0</v>
      </c>
      <c r="D50" s="1">
        <f>INT((ROW()-4)*D$1/99)-INT((ROW()-5)*D$1/99)</f>
        <v>1</v>
      </c>
      <c r="E50" s="7">
        <f>INT((ROW()-4)*E$1/99)-INT((ROW()-5)*E$1/99)</f>
        <v>0</v>
      </c>
      <c r="F50" s="7">
        <f t="shared" si="2"/>
        <v>0</v>
      </c>
      <c r="G50" s="7">
        <f t="shared" si="3"/>
        <v>1</v>
      </c>
      <c r="H50" s="7">
        <f t="shared" si="4"/>
        <v>0</v>
      </c>
      <c r="I50" s="7">
        <f t="shared" si="5"/>
        <v>0</v>
      </c>
      <c r="J50" s="7">
        <f t="shared" si="6"/>
        <v>0</v>
      </c>
      <c r="K50" s="7">
        <f t="shared" si="7"/>
        <v>0</v>
      </c>
    </row>
    <row r="51" spans="1:11" x14ac:dyDescent="0.45">
      <c r="A51" s="1">
        <f t="shared" si="1"/>
        <v>47</v>
      </c>
      <c r="B51" s="1">
        <f>INT((ROW()-4)*B$1/99)-INT((ROW()-5)*B$1/99)</f>
        <v>0</v>
      </c>
      <c r="C51" s="1">
        <f>INT((ROW()-4)*C$1/99)-INT((ROW()-5)*C$1/99)</f>
        <v>1</v>
      </c>
      <c r="D51" s="1">
        <f>INT((ROW()-4)*D$1/99)-INT((ROW()-5)*D$1/99)</f>
        <v>0</v>
      </c>
      <c r="E51" s="7">
        <f>INT((ROW()-4)*E$1/99)-INT((ROW()-5)*E$1/99)</f>
        <v>0</v>
      </c>
      <c r="F51" s="7">
        <f t="shared" si="2"/>
        <v>0</v>
      </c>
      <c r="G51" s="7">
        <f t="shared" si="3"/>
        <v>0</v>
      </c>
      <c r="H51" s="7">
        <f t="shared" si="4"/>
        <v>0</v>
      </c>
      <c r="I51" s="7">
        <f t="shared" si="5"/>
        <v>0</v>
      </c>
      <c r="J51" s="7">
        <f t="shared" si="6"/>
        <v>0</v>
      </c>
      <c r="K51" s="7">
        <f t="shared" si="7"/>
        <v>0</v>
      </c>
    </row>
    <row r="52" spans="1:11" x14ac:dyDescent="0.45">
      <c r="A52" s="1">
        <f t="shared" si="1"/>
        <v>48</v>
      </c>
      <c r="B52" s="1">
        <f>INT((ROW()-4)*B$1/99)-INT((ROW()-5)*B$1/99)</f>
        <v>1</v>
      </c>
      <c r="C52" s="1">
        <f>INT((ROW()-4)*C$1/99)-INT((ROW()-5)*C$1/99)</f>
        <v>1</v>
      </c>
      <c r="D52" s="1">
        <f>INT((ROW()-4)*D$1/99)-INT((ROW()-5)*D$1/99)</f>
        <v>1</v>
      </c>
      <c r="E52" s="7">
        <f>INT((ROW()-4)*E$1/99)-INT((ROW()-5)*E$1/99)</f>
        <v>1</v>
      </c>
      <c r="F52" s="7">
        <f t="shared" si="2"/>
        <v>1</v>
      </c>
      <c r="G52" s="7">
        <f t="shared" si="3"/>
        <v>1</v>
      </c>
      <c r="H52" s="7">
        <f t="shared" si="4"/>
        <v>1</v>
      </c>
      <c r="I52" s="7">
        <f t="shared" si="5"/>
        <v>1</v>
      </c>
      <c r="J52" s="7">
        <f t="shared" si="6"/>
        <v>1</v>
      </c>
      <c r="K52" s="7">
        <f t="shared" si="7"/>
        <v>1</v>
      </c>
    </row>
    <row r="53" spans="1:11" x14ac:dyDescent="0.45">
      <c r="A53" s="1">
        <f t="shared" si="1"/>
        <v>49</v>
      </c>
      <c r="B53" s="1">
        <f>INT((ROW()-4)*B$1/99)-INT((ROW()-5)*B$1/99)</f>
        <v>1</v>
      </c>
      <c r="C53" s="1">
        <f>INT((ROW()-4)*C$1/99)-INT((ROW()-5)*C$1/99)</f>
        <v>0</v>
      </c>
      <c r="D53" s="1">
        <f>INT((ROW()-4)*D$1/99)-INT((ROW()-5)*D$1/99)</f>
        <v>0</v>
      </c>
      <c r="E53" s="7">
        <f>INT((ROW()-4)*E$1/99)-INT((ROW()-5)*E$1/99)</f>
        <v>0</v>
      </c>
      <c r="F53" s="7">
        <f t="shared" si="2"/>
        <v>0</v>
      </c>
      <c r="G53" s="7">
        <f t="shared" si="3"/>
        <v>0</v>
      </c>
      <c r="H53" s="7">
        <f t="shared" si="4"/>
        <v>0</v>
      </c>
      <c r="I53" s="7">
        <f t="shared" si="5"/>
        <v>0</v>
      </c>
      <c r="J53" s="7">
        <f t="shared" si="6"/>
        <v>0</v>
      </c>
      <c r="K53" s="7">
        <f t="shared" si="7"/>
        <v>0</v>
      </c>
    </row>
    <row r="54" spans="1:11" x14ac:dyDescent="0.45">
      <c r="A54" s="1">
        <f t="shared" si="1"/>
        <v>50</v>
      </c>
      <c r="B54" s="1">
        <f>INT((ROW()-4)*B$1/99)-INT((ROW()-5)*B$1/99)</f>
        <v>1</v>
      </c>
      <c r="C54" s="1">
        <f>INT((ROW()-4)*C$1/99)-INT((ROW()-5)*C$1/99)</f>
        <v>1</v>
      </c>
      <c r="D54" s="1">
        <f>INT((ROW()-4)*D$1/99)-INT((ROW()-5)*D$1/99)</f>
        <v>1</v>
      </c>
      <c r="E54" s="7">
        <f>INT((ROW()-4)*E$1/99)-INT((ROW()-5)*E$1/99)</f>
        <v>1</v>
      </c>
      <c r="F54" s="7">
        <f t="shared" si="2"/>
        <v>1</v>
      </c>
      <c r="G54" s="7">
        <f t="shared" si="3"/>
        <v>1</v>
      </c>
      <c r="H54" s="7">
        <f t="shared" si="4"/>
        <v>1</v>
      </c>
      <c r="I54" s="7">
        <f t="shared" si="5"/>
        <v>1</v>
      </c>
      <c r="J54" s="7">
        <f t="shared" si="6"/>
        <v>1</v>
      </c>
      <c r="K54" s="7">
        <f t="shared" si="7"/>
        <v>1</v>
      </c>
    </row>
    <row r="55" spans="1:11" x14ac:dyDescent="0.45">
      <c r="A55" s="1">
        <f t="shared" si="1"/>
        <v>51</v>
      </c>
      <c r="B55" s="1">
        <f>INT((ROW()-4)*B$1/99)-INT((ROW()-5)*B$1/99)</f>
        <v>1</v>
      </c>
      <c r="C55" s="1">
        <f>INT((ROW()-4)*C$1/99)-INT((ROW()-5)*C$1/99)</f>
        <v>0</v>
      </c>
      <c r="D55" s="1">
        <f>INT((ROW()-4)*D$1/99)-INT((ROW()-5)*D$1/99)</f>
        <v>0</v>
      </c>
      <c r="E55" s="7">
        <f>INT((ROW()-4)*E$1/99)-INT((ROW()-5)*E$1/99)</f>
        <v>0</v>
      </c>
      <c r="F55" s="7">
        <f t="shared" si="2"/>
        <v>0</v>
      </c>
      <c r="G55" s="7">
        <f t="shared" si="3"/>
        <v>0</v>
      </c>
      <c r="H55" s="7">
        <f t="shared" si="4"/>
        <v>0</v>
      </c>
      <c r="I55" s="7">
        <f t="shared" si="5"/>
        <v>0</v>
      </c>
      <c r="J55" s="7">
        <f t="shared" si="6"/>
        <v>0</v>
      </c>
      <c r="K55" s="7">
        <f t="shared" si="7"/>
        <v>0</v>
      </c>
    </row>
    <row r="56" spans="1:11" x14ac:dyDescent="0.45">
      <c r="A56" s="1">
        <f t="shared" si="1"/>
        <v>52</v>
      </c>
      <c r="B56" s="1">
        <f>INT((ROW()-4)*B$1/99)-INT((ROW()-5)*B$1/99)</f>
        <v>1</v>
      </c>
      <c r="C56" s="1">
        <f>INT((ROW()-4)*C$1/99)-INT((ROW()-5)*C$1/99)</f>
        <v>1</v>
      </c>
      <c r="D56" s="1">
        <f>INT((ROW()-4)*D$1/99)-INT((ROW()-5)*D$1/99)</f>
        <v>1</v>
      </c>
      <c r="E56" s="7">
        <f>INT((ROW()-4)*E$1/99)-INT((ROW()-5)*E$1/99)</f>
        <v>1</v>
      </c>
      <c r="F56" s="7">
        <f t="shared" si="2"/>
        <v>1</v>
      </c>
      <c r="G56" s="7">
        <f t="shared" si="3"/>
        <v>1</v>
      </c>
      <c r="H56" s="7">
        <f t="shared" si="4"/>
        <v>1</v>
      </c>
      <c r="I56" s="7">
        <f t="shared" si="5"/>
        <v>1</v>
      </c>
      <c r="J56" s="7">
        <f t="shared" si="6"/>
        <v>1</v>
      </c>
      <c r="K56" s="7">
        <f t="shared" si="7"/>
        <v>1</v>
      </c>
    </row>
    <row r="57" spans="1:11" x14ac:dyDescent="0.45">
      <c r="A57" s="1">
        <f t="shared" si="1"/>
        <v>53</v>
      </c>
      <c r="B57" s="1">
        <f>INT((ROW()-4)*B$1/99)-INT((ROW()-5)*B$1/99)</f>
        <v>0</v>
      </c>
      <c r="C57" s="1">
        <f>INT((ROW()-4)*C$1/99)-INT((ROW()-5)*C$1/99)</f>
        <v>1</v>
      </c>
      <c r="D57" s="1">
        <f>INT((ROW()-4)*D$1/99)-INT((ROW()-5)*D$1/99)</f>
        <v>0</v>
      </c>
      <c r="E57" s="7">
        <f>INT((ROW()-4)*E$1/99)-INT((ROW()-5)*E$1/99)</f>
        <v>0</v>
      </c>
      <c r="F57" s="7">
        <f t="shared" si="2"/>
        <v>0</v>
      </c>
      <c r="G57" s="7">
        <f t="shared" si="3"/>
        <v>0</v>
      </c>
      <c r="H57" s="7">
        <f t="shared" si="4"/>
        <v>0</v>
      </c>
      <c r="I57" s="7">
        <f t="shared" si="5"/>
        <v>0</v>
      </c>
      <c r="J57" s="7">
        <f t="shared" si="6"/>
        <v>0</v>
      </c>
      <c r="K57" s="7">
        <f t="shared" si="7"/>
        <v>0</v>
      </c>
    </row>
    <row r="58" spans="1:11" x14ac:dyDescent="0.45">
      <c r="A58" s="1">
        <f t="shared" si="1"/>
        <v>54</v>
      </c>
      <c r="B58" s="1">
        <f>INT((ROW()-4)*B$1/99)-INT((ROW()-5)*B$1/99)</f>
        <v>1</v>
      </c>
      <c r="C58" s="1">
        <f>INT((ROW()-4)*C$1/99)-INT((ROW()-5)*C$1/99)</f>
        <v>0</v>
      </c>
      <c r="D58" s="1">
        <f>INT((ROW()-4)*D$1/99)-INT((ROW()-5)*D$1/99)</f>
        <v>1</v>
      </c>
      <c r="E58" s="7">
        <f>INT((ROW()-4)*E$1/99)-INT((ROW()-5)*E$1/99)</f>
        <v>0</v>
      </c>
      <c r="F58" s="7">
        <f t="shared" si="2"/>
        <v>0</v>
      </c>
      <c r="G58" s="7">
        <f t="shared" si="3"/>
        <v>1</v>
      </c>
      <c r="H58" s="7">
        <f t="shared" si="4"/>
        <v>0</v>
      </c>
      <c r="I58" s="7">
        <f t="shared" si="5"/>
        <v>0</v>
      </c>
      <c r="J58" s="7">
        <f t="shared" si="6"/>
        <v>0</v>
      </c>
      <c r="K58" s="7">
        <f t="shared" si="7"/>
        <v>0</v>
      </c>
    </row>
    <row r="59" spans="1:11" x14ac:dyDescent="0.45">
      <c r="A59" s="1">
        <f t="shared" si="1"/>
        <v>55</v>
      </c>
      <c r="B59" s="1">
        <f>INT((ROW()-4)*B$1/99)-INT((ROW()-5)*B$1/99)</f>
        <v>1</v>
      </c>
      <c r="C59" s="1">
        <f>INT((ROW()-4)*C$1/99)-INT((ROW()-5)*C$1/99)</f>
        <v>1</v>
      </c>
      <c r="D59" s="1">
        <f>INT((ROW()-4)*D$1/99)-INT((ROW()-5)*D$1/99)</f>
        <v>0</v>
      </c>
      <c r="E59" s="7">
        <f>INT((ROW()-4)*E$1/99)-INT((ROW()-5)*E$1/99)</f>
        <v>1</v>
      </c>
      <c r="F59" s="7">
        <f t="shared" si="2"/>
        <v>1</v>
      </c>
      <c r="G59" s="7">
        <f t="shared" si="3"/>
        <v>0</v>
      </c>
      <c r="H59" s="7">
        <f t="shared" si="4"/>
        <v>1</v>
      </c>
      <c r="I59" s="7">
        <f t="shared" si="5"/>
        <v>0</v>
      </c>
      <c r="J59" s="7">
        <f t="shared" si="6"/>
        <v>1</v>
      </c>
      <c r="K59" s="7">
        <f t="shared" si="7"/>
        <v>0</v>
      </c>
    </row>
    <row r="60" spans="1:11" x14ac:dyDescent="0.45">
      <c r="A60" s="1">
        <f t="shared" si="1"/>
        <v>56</v>
      </c>
      <c r="B60" s="1">
        <f>INT((ROW()-4)*B$1/99)-INT((ROW()-5)*B$1/99)</f>
        <v>1</v>
      </c>
      <c r="C60" s="1">
        <f>INT((ROW()-4)*C$1/99)-INT((ROW()-5)*C$1/99)</f>
        <v>1</v>
      </c>
      <c r="D60" s="1">
        <f>INT((ROW()-4)*D$1/99)-INT((ROW()-5)*D$1/99)</f>
        <v>1</v>
      </c>
      <c r="E60" s="7">
        <f>INT((ROW()-4)*E$1/99)-INT((ROW()-5)*E$1/99)</f>
        <v>0</v>
      </c>
      <c r="F60" s="7">
        <f t="shared" si="2"/>
        <v>1</v>
      </c>
      <c r="G60" s="7">
        <f t="shared" si="3"/>
        <v>1</v>
      </c>
      <c r="H60" s="7">
        <f t="shared" si="4"/>
        <v>0</v>
      </c>
      <c r="I60" s="7">
        <f t="shared" si="5"/>
        <v>1</v>
      </c>
      <c r="J60" s="7">
        <f t="shared" si="6"/>
        <v>0</v>
      </c>
      <c r="K60" s="7">
        <f t="shared" si="7"/>
        <v>0</v>
      </c>
    </row>
    <row r="61" spans="1:11" x14ac:dyDescent="0.45">
      <c r="A61" s="1">
        <f t="shared" si="1"/>
        <v>57</v>
      </c>
      <c r="B61" s="1">
        <f>INT((ROW()-4)*B$1/99)-INT((ROW()-5)*B$1/99)</f>
        <v>1</v>
      </c>
      <c r="C61" s="1">
        <f>INT((ROW()-4)*C$1/99)-INT((ROW()-5)*C$1/99)</f>
        <v>0</v>
      </c>
      <c r="D61" s="1">
        <f>INT((ROW()-4)*D$1/99)-INT((ROW()-5)*D$1/99)</f>
        <v>0</v>
      </c>
      <c r="E61" s="7">
        <f>INT((ROW()-4)*E$1/99)-INT((ROW()-5)*E$1/99)</f>
        <v>1</v>
      </c>
      <c r="F61" s="7">
        <f t="shared" si="2"/>
        <v>0</v>
      </c>
      <c r="G61" s="7">
        <f t="shared" si="3"/>
        <v>0</v>
      </c>
      <c r="H61" s="7">
        <f t="shared" si="4"/>
        <v>1</v>
      </c>
      <c r="I61" s="7">
        <f t="shared" si="5"/>
        <v>0</v>
      </c>
      <c r="J61" s="7">
        <f t="shared" si="6"/>
        <v>0</v>
      </c>
      <c r="K61" s="7">
        <f t="shared" si="7"/>
        <v>0</v>
      </c>
    </row>
    <row r="62" spans="1:11" x14ac:dyDescent="0.45">
      <c r="A62" s="1">
        <f t="shared" si="1"/>
        <v>58</v>
      </c>
      <c r="B62" s="1">
        <f>INT((ROW()-4)*B$1/99)-INT((ROW()-5)*B$1/99)</f>
        <v>1</v>
      </c>
      <c r="C62" s="1">
        <f>INT((ROW()-4)*C$1/99)-INT((ROW()-5)*C$1/99)</f>
        <v>1</v>
      </c>
      <c r="D62" s="1">
        <f>INT((ROW()-4)*D$1/99)-INT((ROW()-5)*D$1/99)</f>
        <v>1</v>
      </c>
      <c r="E62" s="7">
        <f>INT((ROW()-4)*E$1/99)-INT((ROW()-5)*E$1/99)</f>
        <v>0</v>
      </c>
      <c r="F62" s="7">
        <f t="shared" si="2"/>
        <v>1</v>
      </c>
      <c r="G62" s="7">
        <f t="shared" si="3"/>
        <v>1</v>
      </c>
      <c r="H62" s="7">
        <f t="shared" si="4"/>
        <v>0</v>
      </c>
      <c r="I62" s="7">
        <f t="shared" si="5"/>
        <v>1</v>
      </c>
      <c r="J62" s="7">
        <f t="shared" si="6"/>
        <v>0</v>
      </c>
      <c r="K62" s="7">
        <f t="shared" si="7"/>
        <v>0</v>
      </c>
    </row>
    <row r="63" spans="1:11" x14ac:dyDescent="0.45">
      <c r="A63" s="1">
        <f t="shared" si="1"/>
        <v>59</v>
      </c>
      <c r="B63" s="1">
        <f>INT((ROW()-4)*B$1/99)-INT((ROW()-5)*B$1/99)</f>
        <v>0</v>
      </c>
      <c r="C63" s="1">
        <f>INT((ROW()-4)*C$1/99)-INT((ROW()-5)*C$1/99)</f>
        <v>1</v>
      </c>
      <c r="D63" s="1">
        <f>INT((ROW()-4)*D$1/99)-INT((ROW()-5)*D$1/99)</f>
        <v>0</v>
      </c>
      <c r="E63" s="7">
        <f>INT((ROW()-4)*E$1/99)-INT((ROW()-5)*E$1/99)</f>
        <v>1</v>
      </c>
      <c r="F63" s="7">
        <f t="shared" si="2"/>
        <v>0</v>
      </c>
      <c r="G63" s="7">
        <f t="shared" si="3"/>
        <v>0</v>
      </c>
      <c r="H63" s="7">
        <f t="shared" si="4"/>
        <v>0</v>
      </c>
      <c r="I63" s="7">
        <f t="shared" si="5"/>
        <v>0</v>
      </c>
      <c r="J63" s="7">
        <f t="shared" si="6"/>
        <v>1</v>
      </c>
      <c r="K63" s="7">
        <f t="shared" si="7"/>
        <v>0</v>
      </c>
    </row>
    <row r="64" spans="1:11" x14ac:dyDescent="0.45">
      <c r="A64" s="1">
        <f t="shared" si="1"/>
        <v>60</v>
      </c>
      <c r="B64" s="1">
        <f>INT((ROW()-4)*B$1/99)-INT((ROW()-5)*B$1/99)</f>
        <v>1</v>
      </c>
      <c r="C64" s="1">
        <f>INT((ROW()-4)*C$1/99)-INT((ROW()-5)*C$1/99)</f>
        <v>0</v>
      </c>
      <c r="D64" s="1">
        <f>INT((ROW()-4)*D$1/99)-INT((ROW()-5)*D$1/99)</f>
        <v>1</v>
      </c>
      <c r="E64" s="7">
        <f>INT((ROW()-4)*E$1/99)-INT((ROW()-5)*E$1/99)</f>
        <v>0</v>
      </c>
      <c r="F64" s="7">
        <f t="shared" si="2"/>
        <v>0</v>
      </c>
      <c r="G64" s="7">
        <f t="shared" si="3"/>
        <v>1</v>
      </c>
      <c r="H64" s="7">
        <f t="shared" si="4"/>
        <v>0</v>
      </c>
      <c r="I64" s="7">
        <f t="shared" si="5"/>
        <v>0</v>
      </c>
      <c r="J64" s="7">
        <f t="shared" si="6"/>
        <v>0</v>
      </c>
      <c r="K64" s="7">
        <f t="shared" si="7"/>
        <v>0</v>
      </c>
    </row>
    <row r="65" spans="1:11" x14ac:dyDescent="0.45">
      <c r="A65" s="1">
        <f t="shared" si="1"/>
        <v>61</v>
      </c>
      <c r="B65" s="1">
        <f>INT((ROW()-4)*B$1/99)-INT((ROW()-5)*B$1/99)</f>
        <v>1</v>
      </c>
      <c r="C65" s="1">
        <f>INT((ROW()-4)*C$1/99)-INT((ROW()-5)*C$1/99)</f>
        <v>1</v>
      </c>
      <c r="D65" s="1">
        <f>INT((ROW()-4)*D$1/99)-INT((ROW()-5)*D$1/99)</f>
        <v>0</v>
      </c>
      <c r="E65" s="7">
        <f>INT((ROW()-4)*E$1/99)-INT((ROW()-5)*E$1/99)</f>
        <v>0</v>
      </c>
      <c r="F65" s="7">
        <f t="shared" si="2"/>
        <v>1</v>
      </c>
      <c r="G65" s="7">
        <f t="shared" si="3"/>
        <v>0</v>
      </c>
      <c r="H65" s="7">
        <f t="shared" si="4"/>
        <v>0</v>
      </c>
      <c r="I65" s="7">
        <f t="shared" si="5"/>
        <v>0</v>
      </c>
      <c r="J65" s="7">
        <f t="shared" si="6"/>
        <v>0</v>
      </c>
      <c r="K65" s="7">
        <f t="shared" si="7"/>
        <v>0</v>
      </c>
    </row>
    <row r="66" spans="1:11" x14ac:dyDescent="0.45">
      <c r="A66" s="1">
        <f t="shared" si="1"/>
        <v>62</v>
      </c>
      <c r="B66" s="1">
        <f>INT((ROW()-4)*B$1/99)-INT((ROW()-5)*B$1/99)</f>
        <v>1</v>
      </c>
      <c r="C66" s="1">
        <f>INT((ROW()-4)*C$1/99)-INT((ROW()-5)*C$1/99)</f>
        <v>1</v>
      </c>
      <c r="D66" s="1">
        <f>INT((ROW()-4)*D$1/99)-INT((ROW()-5)*D$1/99)</f>
        <v>1</v>
      </c>
      <c r="E66" s="7">
        <f>INT((ROW()-4)*E$1/99)-INT((ROW()-5)*E$1/99)</f>
        <v>1</v>
      </c>
      <c r="F66" s="7">
        <f t="shared" si="2"/>
        <v>1</v>
      </c>
      <c r="G66" s="7">
        <f t="shared" si="3"/>
        <v>1</v>
      </c>
      <c r="H66" s="7">
        <f t="shared" si="4"/>
        <v>1</v>
      </c>
      <c r="I66" s="7">
        <f t="shared" si="5"/>
        <v>1</v>
      </c>
      <c r="J66" s="7">
        <f t="shared" si="6"/>
        <v>1</v>
      </c>
      <c r="K66" s="7">
        <f t="shared" si="7"/>
        <v>1</v>
      </c>
    </row>
    <row r="67" spans="1:11" x14ac:dyDescent="0.45">
      <c r="A67" s="1">
        <f t="shared" si="1"/>
        <v>63</v>
      </c>
      <c r="B67" s="1">
        <f>INT((ROW()-4)*B$1/99)-INT((ROW()-5)*B$1/99)</f>
        <v>1</v>
      </c>
      <c r="C67" s="1">
        <f>INT((ROW()-4)*C$1/99)-INT((ROW()-5)*C$1/99)</f>
        <v>0</v>
      </c>
      <c r="D67" s="1">
        <f>INT((ROW()-4)*D$1/99)-INT((ROW()-5)*D$1/99)</f>
        <v>0</v>
      </c>
      <c r="E67" s="7">
        <f>INT((ROW()-4)*E$1/99)-INT((ROW()-5)*E$1/99)</f>
        <v>0</v>
      </c>
      <c r="F67" s="7">
        <f t="shared" si="2"/>
        <v>0</v>
      </c>
      <c r="G67" s="7">
        <f t="shared" si="3"/>
        <v>0</v>
      </c>
      <c r="H67" s="7">
        <f t="shared" si="4"/>
        <v>0</v>
      </c>
      <c r="I67" s="7">
        <f t="shared" si="5"/>
        <v>0</v>
      </c>
      <c r="J67" s="7">
        <f t="shared" si="6"/>
        <v>0</v>
      </c>
      <c r="K67" s="7">
        <f t="shared" si="7"/>
        <v>0</v>
      </c>
    </row>
    <row r="68" spans="1:11" x14ac:dyDescent="0.45">
      <c r="A68" s="1">
        <f t="shared" si="1"/>
        <v>64</v>
      </c>
      <c r="B68" s="1">
        <f>INT((ROW()-4)*B$1/99)-INT((ROW()-5)*B$1/99)</f>
        <v>1</v>
      </c>
      <c r="C68" s="1">
        <f>INT((ROW()-4)*C$1/99)-INT((ROW()-5)*C$1/99)</f>
        <v>1</v>
      </c>
      <c r="D68" s="1">
        <f>INT((ROW()-4)*D$1/99)-INT((ROW()-5)*D$1/99)</f>
        <v>1</v>
      </c>
      <c r="E68" s="7">
        <f>INT((ROW()-4)*E$1/99)-INT((ROW()-5)*E$1/99)</f>
        <v>1</v>
      </c>
      <c r="F68" s="7">
        <f t="shared" si="2"/>
        <v>1</v>
      </c>
      <c r="G68" s="7">
        <f t="shared" si="3"/>
        <v>1</v>
      </c>
      <c r="H68" s="7">
        <f t="shared" si="4"/>
        <v>1</v>
      </c>
      <c r="I68" s="7">
        <f t="shared" si="5"/>
        <v>1</v>
      </c>
      <c r="J68" s="7">
        <f t="shared" si="6"/>
        <v>1</v>
      </c>
      <c r="K68" s="7">
        <f t="shared" si="7"/>
        <v>1</v>
      </c>
    </row>
    <row r="69" spans="1:11" x14ac:dyDescent="0.45">
      <c r="A69" s="1">
        <f t="shared" si="1"/>
        <v>65</v>
      </c>
      <c r="B69" s="1">
        <f>INT((ROW()-4)*B$1/99)-INT((ROW()-5)*B$1/99)</f>
        <v>0</v>
      </c>
      <c r="C69" s="1">
        <f>INT((ROW()-4)*C$1/99)-INT((ROW()-5)*C$1/99)</f>
        <v>1</v>
      </c>
      <c r="D69" s="1">
        <f>INT((ROW()-4)*D$1/99)-INT((ROW()-5)*D$1/99)</f>
        <v>0</v>
      </c>
      <c r="E69" s="7">
        <f>INT((ROW()-4)*E$1/99)-INT((ROW()-5)*E$1/99)</f>
        <v>0</v>
      </c>
      <c r="F69" s="7">
        <f t="shared" si="2"/>
        <v>0</v>
      </c>
      <c r="G69" s="7">
        <f t="shared" si="3"/>
        <v>0</v>
      </c>
      <c r="H69" s="7">
        <f t="shared" si="4"/>
        <v>0</v>
      </c>
      <c r="I69" s="7">
        <f t="shared" si="5"/>
        <v>0</v>
      </c>
      <c r="J69" s="7">
        <f t="shared" si="6"/>
        <v>0</v>
      </c>
      <c r="K69" s="7">
        <f t="shared" si="7"/>
        <v>0</v>
      </c>
    </row>
    <row r="70" spans="1:11" x14ac:dyDescent="0.45">
      <c r="A70" s="1">
        <f t="shared" si="1"/>
        <v>66</v>
      </c>
      <c r="B70" s="1">
        <f>INT((ROW()-4)*B$1/99)-INT((ROW()-5)*B$1/99)</f>
        <v>1</v>
      </c>
      <c r="C70" s="1">
        <f>INT((ROW()-4)*C$1/99)-INT((ROW()-5)*C$1/99)</f>
        <v>0</v>
      </c>
      <c r="D70" s="1">
        <f>INT((ROW()-4)*D$1/99)-INT((ROW()-5)*D$1/99)</f>
        <v>1</v>
      </c>
      <c r="E70" s="7">
        <f>INT((ROW()-4)*E$1/99)-INT((ROW()-5)*E$1/99)</f>
        <v>1</v>
      </c>
      <c r="F70" s="7">
        <f t="shared" si="2"/>
        <v>0</v>
      </c>
      <c r="G70" s="7">
        <f t="shared" si="3"/>
        <v>1</v>
      </c>
      <c r="H70" s="7">
        <f t="shared" si="4"/>
        <v>1</v>
      </c>
      <c r="I70" s="7">
        <f t="shared" si="5"/>
        <v>0</v>
      </c>
      <c r="J70" s="7">
        <f t="shared" si="6"/>
        <v>0</v>
      </c>
      <c r="K70" s="7">
        <f t="shared" si="7"/>
        <v>1</v>
      </c>
    </row>
    <row r="71" spans="1:11" x14ac:dyDescent="0.45">
      <c r="A71" s="1">
        <f t="shared" ref="A71:A104" si="8">ROW()-4</f>
        <v>67</v>
      </c>
      <c r="B71" s="1">
        <f>INT((ROW()-4)*B$1/99)-INT((ROW()-5)*B$1/99)</f>
        <v>1</v>
      </c>
      <c r="C71" s="1">
        <f>INT((ROW()-4)*C$1/99)-INT((ROW()-5)*C$1/99)</f>
        <v>1</v>
      </c>
      <c r="D71" s="1">
        <f>INT((ROW()-4)*D$1/99)-INT((ROW()-5)*D$1/99)</f>
        <v>0</v>
      </c>
      <c r="E71" s="7">
        <f>INT((ROW()-4)*E$1/99)-INT((ROW()-5)*E$1/99)</f>
        <v>0</v>
      </c>
      <c r="F71" s="7">
        <f t="shared" ref="F71:F104" si="9">$B71*$C71</f>
        <v>1</v>
      </c>
      <c r="G71" s="7">
        <f t="shared" ref="G71:G104" si="10">$B71*$D71</f>
        <v>0</v>
      </c>
      <c r="H71" s="7">
        <f t="shared" ref="H71:H104" si="11">$B71*$E71</f>
        <v>0</v>
      </c>
      <c r="I71" s="7">
        <f t="shared" ref="I71:I104" si="12">$C71*$D71</f>
        <v>0</v>
      </c>
      <c r="J71" s="7">
        <f t="shared" ref="J71:J104" si="13">$C71*$E71</f>
        <v>0</v>
      </c>
      <c r="K71" s="7">
        <f t="shared" ref="K71:K104" si="14">$D71*$E71</f>
        <v>0</v>
      </c>
    </row>
    <row r="72" spans="1:11" x14ac:dyDescent="0.45">
      <c r="A72" s="1">
        <f t="shared" si="8"/>
        <v>68</v>
      </c>
      <c r="B72" s="1">
        <f>INT((ROW()-4)*B$1/99)-INT((ROW()-5)*B$1/99)</f>
        <v>1</v>
      </c>
      <c r="C72" s="1">
        <f>INT((ROW()-4)*C$1/99)-INT((ROW()-5)*C$1/99)</f>
        <v>0</v>
      </c>
      <c r="D72" s="1">
        <f>INT((ROW()-4)*D$1/99)-INT((ROW()-5)*D$1/99)</f>
        <v>0</v>
      </c>
      <c r="E72" s="7">
        <f>INT((ROW()-4)*E$1/99)-INT((ROW()-5)*E$1/99)</f>
        <v>0</v>
      </c>
      <c r="F72" s="7">
        <f t="shared" si="9"/>
        <v>0</v>
      </c>
      <c r="G72" s="7">
        <f t="shared" si="10"/>
        <v>0</v>
      </c>
      <c r="H72" s="7">
        <f t="shared" si="11"/>
        <v>0</v>
      </c>
      <c r="I72" s="7">
        <f t="shared" si="12"/>
        <v>0</v>
      </c>
      <c r="J72" s="7">
        <f t="shared" si="13"/>
        <v>0</v>
      </c>
      <c r="K72" s="7">
        <f t="shared" si="14"/>
        <v>0</v>
      </c>
    </row>
    <row r="73" spans="1:11" x14ac:dyDescent="0.45">
      <c r="A73" s="1">
        <f t="shared" si="8"/>
        <v>69</v>
      </c>
      <c r="B73" s="1">
        <f>INT((ROW()-4)*B$1/99)-INT((ROW()-5)*B$1/99)</f>
        <v>1</v>
      </c>
      <c r="C73" s="1">
        <f>INT((ROW()-4)*C$1/99)-INT((ROW()-5)*C$1/99)</f>
        <v>1</v>
      </c>
      <c r="D73" s="1">
        <f>INT((ROW()-4)*D$1/99)-INT((ROW()-5)*D$1/99)</f>
        <v>1</v>
      </c>
      <c r="E73" s="7">
        <f>INT((ROW()-4)*E$1/99)-INT((ROW()-5)*E$1/99)</f>
        <v>1</v>
      </c>
      <c r="F73" s="7">
        <f t="shared" si="9"/>
        <v>1</v>
      </c>
      <c r="G73" s="7">
        <f t="shared" si="10"/>
        <v>1</v>
      </c>
      <c r="H73" s="7">
        <f t="shared" si="11"/>
        <v>1</v>
      </c>
      <c r="I73" s="7">
        <f t="shared" si="12"/>
        <v>1</v>
      </c>
      <c r="J73" s="7">
        <f t="shared" si="13"/>
        <v>1</v>
      </c>
      <c r="K73" s="7">
        <f t="shared" si="14"/>
        <v>1</v>
      </c>
    </row>
    <row r="74" spans="1:11" x14ac:dyDescent="0.45">
      <c r="A74" s="1">
        <f t="shared" si="8"/>
        <v>70</v>
      </c>
      <c r="B74" s="1">
        <f>INT((ROW()-4)*B$1/99)-INT((ROW()-5)*B$1/99)</f>
        <v>0</v>
      </c>
      <c r="C74" s="1">
        <f>INT((ROW()-4)*C$1/99)-INT((ROW()-5)*C$1/99)</f>
        <v>1</v>
      </c>
      <c r="D74" s="1">
        <f>INT((ROW()-4)*D$1/99)-INT((ROW()-5)*D$1/99)</f>
        <v>0</v>
      </c>
      <c r="E74" s="7">
        <f>INT((ROW()-4)*E$1/99)-INT((ROW()-5)*E$1/99)</f>
        <v>0</v>
      </c>
      <c r="F74" s="7">
        <f t="shared" si="9"/>
        <v>0</v>
      </c>
      <c r="G74" s="7">
        <f t="shared" si="10"/>
        <v>0</v>
      </c>
      <c r="H74" s="7">
        <f t="shared" si="11"/>
        <v>0</v>
      </c>
      <c r="I74" s="7">
        <f t="shared" si="12"/>
        <v>0</v>
      </c>
      <c r="J74" s="7">
        <f t="shared" si="13"/>
        <v>0</v>
      </c>
      <c r="K74" s="7">
        <f t="shared" si="14"/>
        <v>0</v>
      </c>
    </row>
    <row r="75" spans="1:11" x14ac:dyDescent="0.45">
      <c r="A75" s="1">
        <f t="shared" si="8"/>
        <v>71</v>
      </c>
      <c r="B75" s="1">
        <f>INT((ROW()-4)*B$1/99)-INT((ROW()-5)*B$1/99)</f>
        <v>1</v>
      </c>
      <c r="C75" s="1">
        <f>INT((ROW()-4)*C$1/99)-INT((ROW()-5)*C$1/99)</f>
        <v>0</v>
      </c>
      <c r="D75" s="1">
        <f>INT((ROW()-4)*D$1/99)-INT((ROW()-5)*D$1/99)</f>
        <v>1</v>
      </c>
      <c r="E75" s="7">
        <f>INT((ROW()-4)*E$1/99)-INT((ROW()-5)*E$1/99)</f>
        <v>1</v>
      </c>
      <c r="F75" s="7">
        <f t="shared" si="9"/>
        <v>0</v>
      </c>
      <c r="G75" s="7">
        <f t="shared" si="10"/>
        <v>1</v>
      </c>
      <c r="H75" s="7">
        <f t="shared" si="11"/>
        <v>1</v>
      </c>
      <c r="I75" s="7">
        <f t="shared" si="12"/>
        <v>0</v>
      </c>
      <c r="J75" s="7">
        <f t="shared" si="13"/>
        <v>0</v>
      </c>
      <c r="K75" s="7">
        <f t="shared" si="14"/>
        <v>1</v>
      </c>
    </row>
    <row r="76" spans="1:11" x14ac:dyDescent="0.45">
      <c r="A76" s="1">
        <f t="shared" si="8"/>
        <v>72</v>
      </c>
      <c r="B76" s="1">
        <f>INT((ROW()-4)*B$1/99)-INT((ROW()-5)*B$1/99)</f>
        <v>1</v>
      </c>
      <c r="C76" s="1">
        <f>INT((ROW()-4)*C$1/99)-INT((ROW()-5)*C$1/99)</f>
        <v>1</v>
      </c>
      <c r="D76" s="1">
        <f>INT((ROW()-4)*D$1/99)-INT((ROW()-5)*D$1/99)</f>
        <v>0</v>
      </c>
      <c r="E76" s="7">
        <f>INT((ROW()-4)*E$1/99)-INT((ROW()-5)*E$1/99)</f>
        <v>0</v>
      </c>
      <c r="F76" s="7">
        <f t="shared" si="9"/>
        <v>1</v>
      </c>
      <c r="G76" s="7">
        <f t="shared" si="10"/>
        <v>0</v>
      </c>
      <c r="H76" s="7">
        <f t="shared" si="11"/>
        <v>0</v>
      </c>
      <c r="I76" s="7">
        <f t="shared" si="12"/>
        <v>0</v>
      </c>
      <c r="J76" s="7">
        <f t="shared" si="13"/>
        <v>0</v>
      </c>
      <c r="K76" s="7">
        <f t="shared" si="14"/>
        <v>0</v>
      </c>
    </row>
    <row r="77" spans="1:11" x14ac:dyDescent="0.45">
      <c r="A77" s="1">
        <f t="shared" si="8"/>
        <v>73</v>
      </c>
      <c r="B77" s="1">
        <f>INT((ROW()-4)*B$1/99)-INT((ROW()-5)*B$1/99)</f>
        <v>1</v>
      </c>
      <c r="C77" s="1">
        <f>INT((ROW()-4)*C$1/99)-INT((ROW()-5)*C$1/99)</f>
        <v>1</v>
      </c>
      <c r="D77" s="1">
        <f>INT((ROW()-4)*D$1/99)-INT((ROW()-5)*D$1/99)</f>
        <v>1</v>
      </c>
      <c r="E77" s="7">
        <f>INT((ROW()-4)*E$1/99)-INT((ROW()-5)*E$1/99)</f>
        <v>0</v>
      </c>
      <c r="F77" s="7">
        <f t="shared" si="9"/>
        <v>1</v>
      </c>
      <c r="G77" s="7">
        <f t="shared" si="10"/>
        <v>1</v>
      </c>
      <c r="H77" s="7">
        <f t="shared" si="11"/>
        <v>0</v>
      </c>
      <c r="I77" s="7">
        <f t="shared" si="12"/>
        <v>1</v>
      </c>
      <c r="J77" s="7">
        <f t="shared" si="13"/>
        <v>0</v>
      </c>
      <c r="K77" s="7">
        <f t="shared" si="14"/>
        <v>0</v>
      </c>
    </row>
    <row r="78" spans="1:11" x14ac:dyDescent="0.45">
      <c r="A78" s="1">
        <f t="shared" si="8"/>
        <v>74</v>
      </c>
      <c r="B78" s="1">
        <f>INT((ROW()-4)*B$1/99)-INT((ROW()-5)*B$1/99)</f>
        <v>1</v>
      </c>
      <c r="C78" s="1">
        <f>INT((ROW()-4)*C$1/99)-INT((ROW()-5)*C$1/99)</f>
        <v>0</v>
      </c>
      <c r="D78" s="1">
        <f>INT((ROW()-4)*D$1/99)-INT((ROW()-5)*D$1/99)</f>
        <v>0</v>
      </c>
      <c r="E78" s="7">
        <f>INT((ROW()-4)*E$1/99)-INT((ROW()-5)*E$1/99)</f>
        <v>1</v>
      </c>
      <c r="F78" s="7">
        <f t="shared" si="9"/>
        <v>0</v>
      </c>
      <c r="G78" s="7">
        <f t="shared" si="10"/>
        <v>0</v>
      </c>
      <c r="H78" s="7">
        <f t="shared" si="11"/>
        <v>1</v>
      </c>
      <c r="I78" s="7">
        <f t="shared" si="12"/>
        <v>0</v>
      </c>
      <c r="J78" s="7">
        <f t="shared" si="13"/>
        <v>0</v>
      </c>
      <c r="K78" s="7">
        <f t="shared" si="14"/>
        <v>0</v>
      </c>
    </row>
    <row r="79" spans="1:11" x14ac:dyDescent="0.45">
      <c r="A79" s="1">
        <f t="shared" si="8"/>
        <v>75</v>
      </c>
      <c r="B79" s="1">
        <f>INT((ROW()-4)*B$1/99)-INT((ROW()-5)*B$1/99)</f>
        <v>1</v>
      </c>
      <c r="C79" s="1">
        <f>INT((ROW()-4)*C$1/99)-INT((ROW()-5)*C$1/99)</f>
        <v>1</v>
      </c>
      <c r="D79" s="1">
        <f>INT((ROW()-4)*D$1/99)-INT((ROW()-5)*D$1/99)</f>
        <v>1</v>
      </c>
      <c r="E79" s="7">
        <f>INT((ROW()-4)*E$1/99)-INT((ROW()-5)*E$1/99)</f>
        <v>0</v>
      </c>
      <c r="F79" s="7">
        <f t="shared" si="9"/>
        <v>1</v>
      </c>
      <c r="G79" s="7">
        <f t="shared" si="10"/>
        <v>1</v>
      </c>
      <c r="H79" s="7">
        <f t="shared" si="11"/>
        <v>0</v>
      </c>
      <c r="I79" s="7">
        <f t="shared" si="12"/>
        <v>1</v>
      </c>
      <c r="J79" s="7">
        <f t="shared" si="13"/>
        <v>0</v>
      </c>
      <c r="K79" s="7">
        <f t="shared" si="14"/>
        <v>0</v>
      </c>
    </row>
    <row r="80" spans="1:11" x14ac:dyDescent="0.45">
      <c r="A80" s="1">
        <f t="shared" si="8"/>
        <v>76</v>
      </c>
      <c r="B80" s="1">
        <f>INT((ROW()-4)*B$1/99)-INT((ROW()-5)*B$1/99)</f>
        <v>0</v>
      </c>
      <c r="C80" s="1">
        <f>INT((ROW()-4)*C$1/99)-INT((ROW()-5)*C$1/99)</f>
        <v>1</v>
      </c>
      <c r="D80" s="1">
        <f>INT((ROW()-4)*D$1/99)-INT((ROW()-5)*D$1/99)</f>
        <v>0</v>
      </c>
      <c r="E80" s="7">
        <f>INT((ROW()-4)*E$1/99)-INT((ROW()-5)*E$1/99)</f>
        <v>1</v>
      </c>
      <c r="F80" s="7">
        <f t="shared" si="9"/>
        <v>0</v>
      </c>
      <c r="G80" s="7">
        <f t="shared" si="10"/>
        <v>0</v>
      </c>
      <c r="H80" s="7">
        <f t="shared" si="11"/>
        <v>0</v>
      </c>
      <c r="I80" s="7">
        <f t="shared" si="12"/>
        <v>0</v>
      </c>
      <c r="J80" s="7">
        <f t="shared" si="13"/>
        <v>1</v>
      </c>
      <c r="K80" s="7">
        <f t="shared" si="14"/>
        <v>0</v>
      </c>
    </row>
    <row r="81" spans="1:11" x14ac:dyDescent="0.45">
      <c r="A81" s="1">
        <f t="shared" si="8"/>
        <v>77</v>
      </c>
      <c r="B81" s="1">
        <f>INT((ROW()-4)*B$1/99)-INT((ROW()-5)*B$1/99)</f>
        <v>1</v>
      </c>
      <c r="C81" s="1">
        <f>INT((ROW()-4)*C$1/99)-INT((ROW()-5)*C$1/99)</f>
        <v>0</v>
      </c>
      <c r="D81" s="1">
        <f>INT((ROW()-4)*D$1/99)-INT((ROW()-5)*D$1/99)</f>
        <v>1</v>
      </c>
      <c r="E81" s="7">
        <f>INT((ROW()-4)*E$1/99)-INT((ROW()-5)*E$1/99)</f>
        <v>0</v>
      </c>
      <c r="F81" s="7">
        <f t="shared" si="9"/>
        <v>0</v>
      </c>
      <c r="G81" s="7">
        <f t="shared" si="10"/>
        <v>1</v>
      </c>
      <c r="H81" s="7">
        <f t="shared" si="11"/>
        <v>0</v>
      </c>
      <c r="I81" s="7">
        <f t="shared" si="12"/>
        <v>0</v>
      </c>
      <c r="J81" s="7">
        <f t="shared" si="13"/>
        <v>0</v>
      </c>
      <c r="K81" s="7">
        <f t="shared" si="14"/>
        <v>0</v>
      </c>
    </row>
    <row r="82" spans="1:11" x14ac:dyDescent="0.45">
      <c r="A82" s="1">
        <f t="shared" si="8"/>
        <v>78</v>
      </c>
      <c r="B82" s="1">
        <f>INT((ROW()-4)*B$1/99)-INT((ROW()-5)*B$1/99)</f>
        <v>1</v>
      </c>
      <c r="C82" s="1">
        <f>INT((ROW()-4)*C$1/99)-INT((ROW()-5)*C$1/99)</f>
        <v>1</v>
      </c>
      <c r="D82" s="1">
        <f>INT((ROW()-4)*D$1/99)-INT((ROW()-5)*D$1/99)</f>
        <v>0</v>
      </c>
      <c r="E82" s="7">
        <f>INT((ROW()-4)*E$1/99)-INT((ROW()-5)*E$1/99)</f>
        <v>1</v>
      </c>
      <c r="F82" s="7">
        <f t="shared" si="9"/>
        <v>1</v>
      </c>
      <c r="G82" s="7">
        <f t="shared" si="10"/>
        <v>0</v>
      </c>
      <c r="H82" s="7">
        <f t="shared" si="11"/>
        <v>1</v>
      </c>
      <c r="I82" s="7">
        <f t="shared" si="12"/>
        <v>0</v>
      </c>
      <c r="J82" s="7">
        <f t="shared" si="13"/>
        <v>1</v>
      </c>
      <c r="K82" s="7">
        <f t="shared" si="14"/>
        <v>0</v>
      </c>
    </row>
    <row r="83" spans="1:11" x14ac:dyDescent="0.45">
      <c r="A83" s="1">
        <f t="shared" si="8"/>
        <v>79</v>
      </c>
      <c r="B83" s="1">
        <f>INT((ROW()-4)*B$1/99)-INT((ROW()-5)*B$1/99)</f>
        <v>1</v>
      </c>
      <c r="C83" s="1">
        <f>INT((ROW()-4)*C$1/99)-INT((ROW()-5)*C$1/99)</f>
        <v>1</v>
      </c>
      <c r="D83" s="1">
        <f>INT((ROW()-4)*D$1/99)-INT((ROW()-5)*D$1/99)</f>
        <v>1</v>
      </c>
      <c r="E83" s="7">
        <f>INT((ROW()-4)*E$1/99)-INT((ROW()-5)*E$1/99)</f>
        <v>0</v>
      </c>
      <c r="F83" s="7">
        <f t="shared" si="9"/>
        <v>1</v>
      </c>
      <c r="G83" s="7">
        <f t="shared" si="10"/>
        <v>1</v>
      </c>
      <c r="H83" s="7">
        <f t="shared" si="11"/>
        <v>0</v>
      </c>
      <c r="I83" s="7">
        <f t="shared" si="12"/>
        <v>1</v>
      </c>
      <c r="J83" s="7">
        <f t="shared" si="13"/>
        <v>0</v>
      </c>
      <c r="K83" s="7">
        <f t="shared" si="14"/>
        <v>0</v>
      </c>
    </row>
    <row r="84" spans="1:11" x14ac:dyDescent="0.45">
      <c r="A84" s="1">
        <f t="shared" si="8"/>
        <v>80</v>
      </c>
      <c r="B84" s="1">
        <f>INT((ROW()-4)*B$1/99)-INT((ROW()-5)*B$1/99)</f>
        <v>1</v>
      </c>
      <c r="C84" s="1">
        <f>INT((ROW()-4)*C$1/99)-INT((ROW()-5)*C$1/99)</f>
        <v>0</v>
      </c>
      <c r="D84" s="1">
        <f>INT((ROW()-4)*D$1/99)-INT((ROW()-5)*D$1/99)</f>
        <v>0</v>
      </c>
      <c r="E84" s="7">
        <f>INT((ROW()-4)*E$1/99)-INT((ROW()-5)*E$1/99)</f>
        <v>0</v>
      </c>
      <c r="F84" s="7">
        <f t="shared" si="9"/>
        <v>0</v>
      </c>
      <c r="G84" s="7">
        <f t="shared" si="10"/>
        <v>0</v>
      </c>
      <c r="H84" s="7">
        <f t="shared" si="11"/>
        <v>0</v>
      </c>
      <c r="I84" s="7">
        <f t="shared" si="12"/>
        <v>0</v>
      </c>
      <c r="J84" s="7">
        <f t="shared" si="13"/>
        <v>0</v>
      </c>
      <c r="K84" s="7">
        <f t="shared" si="14"/>
        <v>0</v>
      </c>
    </row>
    <row r="85" spans="1:11" x14ac:dyDescent="0.45">
      <c r="A85" s="1">
        <f t="shared" si="8"/>
        <v>81</v>
      </c>
      <c r="B85" s="1">
        <f>INT((ROW()-4)*B$1/99)-INT((ROW()-5)*B$1/99)</f>
        <v>1</v>
      </c>
      <c r="C85" s="1">
        <f>INT((ROW()-4)*C$1/99)-INT((ROW()-5)*C$1/99)</f>
        <v>1</v>
      </c>
      <c r="D85" s="1">
        <f>INT((ROW()-4)*D$1/99)-INT((ROW()-5)*D$1/99)</f>
        <v>1</v>
      </c>
      <c r="E85" s="7">
        <f>INT((ROW()-4)*E$1/99)-INT((ROW()-5)*E$1/99)</f>
        <v>1</v>
      </c>
      <c r="F85" s="7">
        <f t="shared" si="9"/>
        <v>1</v>
      </c>
      <c r="G85" s="7">
        <f t="shared" si="10"/>
        <v>1</v>
      </c>
      <c r="H85" s="7">
        <f t="shared" si="11"/>
        <v>1</v>
      </c>
      <c r="I85" s="7">
        <f t="shared" si="12"/>
        <v>1</v>
      </c>
      <c r="J85" s="7">
        <f t="shared" si="13"/>
        <v>1</v>
      </c>
      <c r="K85" s="7">
        <f t="shared" si="14"/>
        <v>1</v>
      </c>
    </row>
    <row r="86" spans="1:11" x14ac:dyDescent="0.45">
      <c r="A86" s="1">
        <f t="shared" si="8"/>
        <v>82</v>
      </c>
      <c r="B86" s="1">
        <f>INT((ROW()-4)*B$1/99)-INT((ROW()-5)*B$1/99)</f>
        <v>0</v>
      </c>
      <c r="C86" s="1">
        <f>INT((ROW()-4)*C$1/99)-INT((ROW()-5)*C$1/99)</f>
        <v>1</v>
      </c>
      <c r="D86" s="1">
        <f>INT((ROW()-4)*D$1/99)-INT((ROW()-5)*D$1/99)</f>
        <v>0</v>
      </c>
      <c r="E86" s="7">
        <f>INT((ROW()-4)*E$1/99)-INT((ROW()-5)*E$1/99)</f>
        <v>0</v>
      </c>
      <c r="F86" s="7">
        <f t="shared" si="9"/>
        <v>0</v>
      </c>
      <c r="G86" s="7">
        <f t="shared" si="10"/>
        <v>0</v>
      </c>
      <c r="H86" s="7">
        <f t="shared" si="11"/>
        <v>0</v>
      </c>
      <c r="I86" s="7">
        <f t="shared" si="12"/>
        <v>0</v>
      </c>
      <c r="J86" s="7">
        <f t="shared" si="13"/>
        <v>0</v>
      </c>
      <c r="K86" s="7">
        <f t="shared" si="14"/>
        <v>0</v>
      </c>
    </row>
    <row r="87" spans="1:11" x14ac:dyDescent="0.45">
      <c r="A87" s="1">
        <f t="shared" si="8"/>
        <v>83</v>
      </c>
      <c r="B87" s="1">
        <f>INT((ROW()-4)*B$1/99)-INT((ROW()-5)*B$1/99)</f>
        <v>1</v>
      </c>
      <c r="C87" s="1">
        <f>INT((ROW()-4)*C$1/99)-INT((ROW()-5)*C$1/99)</f>
        <v>0</v>
      </c>
      <c r="D87" s="1">
        <f>INT((ROW()-4)*D$1/99)-INT((ROW()-5)*D$1/99)</f>
        <v>1</v>
      </c>
      <c r="E87" s="7">
        <f>INT((ROW()-4)*E$1/99)-INT((ROW()-5)*E$1/99)</f>
        <v>1</v>
      </c>
      <c r="F87" s="7">
        <f t="shared" si="9"/>
        <v>0</v>
      </c>
      <c r="G87" s="7">
        <f t="shared" si="10"/>
        <v>1</v>
      </c>
      <c r="H87" s="7">
        <f t="shared" si="11"/>
        <v>1</v>
      </c>
      <c r="I87" s="7">
        <f t="shared" si="12"/>
        <v>0</v>
      </c>
      <c r="J87" s="7">
        <f t="shared" si="13"/>
        <v>0</v>
      </c>
      <c r="K87" s="7">
        <f t="shared" si="14"/>
        <v>1</v>
      </c>
    </row>
    <row r="88" spans="1:11" x14ac:dyDescent="0.45">
      <c r="A88" s="1">
        <f t="shared" si="8"/>
        <v>84</v>
      </c>
      <c r="B88" s="1">
        <f>INT((ROW()-4)*B$1/99)-INT((ROW()-5)*B$1/99)</f>
        <v>1</v>
      </c>
      <c r="C88" s="1">
        <f>INT((ROW()-4)*C$1/99)-INT((ROW()-5)*C$1/99)</f>
        <v>1</v>
      </c>
      <c r="D88" s="1">
        <f>INT((ROW()-4)*D$1/99)-INT((ROW()-5)*D$1/99)</f>
        <v>0</v>
      </c>
      <c r="E88" s="7">
        <f>INT((ROW()-4)*E$1/99)-INT((ROW()-5)*E$1/99)</f>
        <v>0</v>
      </c>
      <c r="F88" s="7">
        <f t="shared" si="9"/>
        <v>1</v>
      </c>
      <c r="G88" s="7">
        <f t="shared" si="10"/>
        <v>0</v>
      </c>
      <c r="H88" s="7">
        <f t="shared" si="11"/>
        <v>0</v>
      </c>
      <c r="I88" s="7">
        <f t="shared" si="12"/>
        <v>0</v>
      </c>
      <c r="J88" s="7">
        <f t="shared" si="13"/>
        <v>0</v>
      </c>
      <c r="K88" s="7">
        <f t="shared" si="14"/>
        <v>0</v>
      </c>
    </row>
    <row r="89" spans="1:11" x14ac:dyDescent="0.45">
      <c r="A89" s="1">
        <f t="shared" si="8"/>
        <v>85</v>
      </c>
      <c r="B89" s="1">
        <f>INT((ROW()-4)*B$1/99)-INT((ROW()-5)*B$1/99)</f>
        <v>1</v>
      </c>
      <c r="C89" s="1">
        <f>INT((ROW()-4)*C$1/99)-INT((ROW()-5)*C$1/99)</f>
        <v>0</v>
      </c>
      <c r="D89" s="1">
        <f>INT((ROW()-4)*D$1/99)-INT((ROW()-5)*D$1/99)</f>
        <v>1</v>
      </c>
      <c r="E89" s="7">
        <f>INT((ROW()-4)*E$1/99)-INT((ROW()-5)*E$1/99)</f>
        <v>1</v>
      </c>
      <c r="F89" s="7">
        <f t="shared" si="9"/>
        <v>0</v>
      </c>
      <c r="G89" s="7">
        <f t="shared" si="10"/>
        <v>1</v>
      </c>
      <c r="H89" s="7">
        <f t="shared" si="11"/>
        <v>1</v>
      </c>
      <c r="I89" s="7">
        <f t="shared" si="12"/>
        <v>0</v>
      </c>
      <c r="J89" s="7">
        <f t="shared" si="13"/>
        <v>0</v>
      </c>
      <c r="K89" s="7">
        <f t="shared" si="14"/>
        <v>1</v>
      </c>
    </row>
    <row r="90" spans="1:11" x14ac:dyDescent="0.45">
      <c r="A90" s="1">
        <f t="shared" si="8"/>
        <v>86</v>
      </c>
      <c r="B90" s="1">
        <f>INT((ROW()-4)*B$1/99)-INT((ROW()-5)*B$1/99)</f>
        <v>1</v>
      </c>
      <c r="C90" s="1">
        <f>INT((ROW()-4)*C$1/99)-INT((ROW()-5)*C$1/99)</f>
        <v>1</v>
      </c>
      <c r="D90" s="1">
        <f>INT((ROW()-4)*D$1/99)-INT((ROW()-5)*D$1/99)</f>
        <v>0</v>
      </c>
      <c r="E90" s="7">
        <f>INT((ROW()-4)*E$1/99)-INT((ROW()-5)*E$1/99)</f>
        <v>0</v>
      </c>
      <c r="F90" s="7">
        <f t="shared" si="9"/>
        <v>1</v>
      </c>
      <c r="G90" s="7">
        <f t="shared" si="10"/>
        <v>0</v>
      </c>
      <c r="H90" s="7">
        <f t="shared" si="11"/>
        <v>0</v>
      </c>
      <c r="I90" s="7">
        <f t="shared" si="12"/>
        <v>0</v>
      </c>
      <c r="J90" s="7">
        <f t="shared" si="13"/>
        <v>0</v>
      </c>
      <c r="K90" s="7">
        <f t="shared" si="14"/>
        <v>0</v>
      </c>
    </row>
    <row r="91" spans="1:11" x14ac:dyDescent="0.45">
      <c r="A91" s="1">
        <f t="shared" si="8"/>
        <v>87</v>
      </c>
      <c r="B91" s="1">
        <f>INT((ROW()-4)*B$1/99)-INT((ROW()-5)*B$1/99)</f>
        <v>1</v>
      </c>
      <c r="C91" s="1">
        <f>INT((ROW()-4)*C$1/99)-INT((ROW()-5)*C$1/99)</f>
        <v>1</v>
      </c>
      <c r="D91" s="1">
        <f>INT((ROW()-4)*D$1/99)-INT((ROW()-5)*D$1/99)</f>
        <v>1</v>
      </c>
      <c r="E91" s="7">
        <f>INT((ROW()-4)*E$1/99)-INT((ROW()-5)*E$1/99)</f>
        <v>0</v>
      </c>
      <c r="F91" s="7">
        <f t="shared" si="9"/>
        <v>1</v>
      </c>
      <c r="G91" s="7">
        <f t="shared" si="10"/>
        <v>1</v>
      </c>
      <c r="H91" s="7">
        <f t="shared" si="11"/>
        <v>0</v>
      </c>
      <c r="I91" s="7">
        <f t="shared" si="12"/>
        <v>1</v>
      </c>
      <c r="J91" s="7">
        <f t="shared" si="13"/>
        <v>0</v>
      </c>
      <c r="K91" s="7">
        <f t="shared" si="14"/>
        <v>0</v>
      </c>
    </row>
    <row r="92" spans="1:11" x14ac:dyDescent="0.45">
      <c r="A92" s="1">
        <f t="shared" si="8"/>
        <v>88</v>
      </c>
      <c r="B92" s="1">
        <f>INT((ROW()-4)*B$1/99)-INT((ROW()-5)*B$1/99)</f>
        <v>0</v>
      </c>
      <c r="C92" s="1">
        <f>INT((ROW()-4)*C$1/99)-INT((ROW()-5)*C$1/99)</f>
        <v>0</v>
      </c>
      <c r="D92" s="1">
        <f>INT((ROW()-4)*D$1/99)-INT((ROW()-5)*D$1/99)</f>
        <v>0</v>
      </c>
      <c r="E92" s="7">
        <f>INT((ROW()-4)*E$1/99)-INT((ROW()-5)*E$1/99)</f>
        <v>1</v>
      </c>
      <c r="F92" s="7">
        <f t="shared" si="9"/>
        <v>0</v>
      </c>
      <c r="G92" s="7">
        <f t="shared" si="10"/>
        <v>0</v>
      </c>
      <c r="H92" s="7">
        <f t="shared" si="11"/>
        <v>0</v>
      </c>
      <c r="I92" s="7">
        <f t="shared" si="12"/>
        <v>0</v>
      </c>
      <c r="J92" s="7">
        <f t="shared" si="13"/>
        <v>0</v>
      </c>
      <c r="K92" s="7">
        <f t="shared" si="14"/>
        <v>0</v>
      </c>
    </row>
    <row r="93" spans="1:11" x14ac:dyDescent="0.45">
      <c r="A93" s="1">
        <f t="shared" si="8"/>
        <v>89</v>
      </c>
      <c r="B93" s="1">
        <f>INT((ROW()-4)*B$1/99)-INT((ROW()-5)*B$1/99)</f>
        <v>1</v>
      </c>
      <c r="C93" s="1">
        <f>INT((ROW()-4)*C$1/99)-INT((ROW()-5)*C$1/99)</f>
        <v>1</v>
      </c>
      <c r="D93" s="1">
        <f>INT((ROW()-4)*D$1/99)-INT((ROW()-5)*D$1/99)</f>
        <v>1</v>
      </c>
      <c r="E93" s="7">
        <f>INT((ROW()-4)*E$1/99)-INT((ROW()-5)*E$1/99)</f>
        <v>0</v>
      </c>
      <c r="F93" s="7">
        <f t="shared" si="9"/>
        <v>1</v>
      </c>
      <c r="G93" s="7">
        <f t="shared" si="10"/>
        <v>1</v>
      </c>
      <c r="H93" s="7">
        <f t="shared" si="11"/>
        <v>0</v>
      </c>
      <c r="I93" s="7">
        <f t="shared" si="12"/>
        <v>1</v>
      </c>
      <c r="J93" s="7">
        <f t="shared" si="13"/>
        <v>0</v>
      </c>
      <c r="K93" s="7">
        <f t="shared" si="14"/>
        <v>0</v>
      </c>
    </row>
    <row r="94" spans="1:11" x14ac:dyDescent="0.45">
      <c r="A94" s="1">
        <f t="shared" si="8"/>
        <v>90</v>
      </c>
      <c r="B94" s="1">
        <f>INT((ROW()-4)*B$1/99)-INT((ROW()-5)*B$1/99)</f>
        <v>1</v>
      </c>
      <c r="C94" s="1">
        <f>INT((ROW()-4)*C$1/99)-INT((ROW()-5)*C$1/99)</f>
        <v>1</v>
      </c>
      <c r="D94" s="1">
        <f>INT((ROW()-4)*D$1/99)-INT((ROW()-5)*D$1/99)</f>
        <v>0</v>
      </c>
      <c r="E94" s="7">
        <f>INT((ROW()-4)*E$1/99)-INT((ROW()-5)*E$1/99)</f>
        <v>1</v>
      </c>
      <c r="F94" s="7">
        <f t="shared" si="9"/>
        <v>1</v>
      </c>
      <c r="G94" s="7">
        <f t="shared" si="10"/>
        <v>0</v>
      </c>
      <c r="H94" s="7">
        <f t="shared" si="11"/>
        <v>1</v>
      </c>
      <c r="I94" s="7">
        <f t="shared" si="12"/>
        <v>0</v>
      </c>
      <c r="J94" s="7">
        <f t="shared" si="13"/>
        <v>1</v>
      </c>
      <c r="K94" s="7">
        <f t="shared" si="14"/>
        <v>0</v>
      </c>
    </row>
    <row r="95" spans="1:11" x14ac:dyDescent="0.45">
      <c r="A95" s="1">
        <f t="shared" si="8"/>
        <v>91</v>
      </c>
      <c r="B95" s="1">
        <f>INT((ROW()-4)*B$1/99)-INT((ROW()-5)*B$1/99)</f>
        <v>1</v>
      </c>
      <c r="C95" s="1">
        <f>INT((ROW()-4)*C$1/99)-INT((ROW()-5)*C$1/99)</f>
        <v>0</v>
      </c>
      <c r="D95" s="1">
        <f>INT((ROW()-4)*D$1/99)-INT((ROW()-5)*D$1/99)</f>
        <v>1</v>
      </c>
      <c r="E95" s="7">
        <f>INT((ROW()-4)*E$1/99)-INT((ROW()-5)*E$1/99)</f>
        <v>0</v>
      </c>
      <c r="F95" s="7">
        <f t="shared" si="9"/>
        <v>0</v>
      </c>
      <c r="G95" s="7">
        <f t="shared" si="10"/>
        <v>1</v>
      </c>
      <c r="H95" s="7">
        <f t="shared" si="11"/>
        <v>0</v>
      </c>
      <c r="I95" s="7">
        <f t="shared" si="12"/>
        <v>0</v>
      </c>
      <c r="J95" s="7">
        <f t="shared" si="13"/>
        <v>0</v>
      </c>
      <c r="K95" s="7">
        <f t="shared" si="14"/>
        <v>0</v>
      </c>
    </row>
    <row r="96" spans="1:11" x14ac:dyDescent="0.45">
      <c r="A96" s="1">
        <f t="shared" si="8"/>
        <v>92</v>
      </c>
      <c r="B96" s="1">
        <f>INT((ROW()-4)*B$1/99)-INT((ROW()-5)*B$1/99)</f>
        <v>1</v>
      </c>
      <c r="C96" s="1">
        <f>INT((ROW()-4)*C$1/99)-INT((ROW()-5)*C$1/99)</f>
        <v>1</v>
      </c>
      <c r="D96" s="1">
        <f>INT((ROW()-4)*D$1/99)-INT((ROW()-5)*D$1/99)</f>
        <v>0</v>
      </c>
      <c r="E96" s="7">
        <f>INT((ROW()-4)*E$1/99)-INT((ROW()-5)*E$1/99)</f>
        <v>1</v>
      </c>
      <c r="F96" s="7">
        <f t="shared" si="9"/>
        <v>1</v>
      </c>
      <c r="G96" s="7">
        <f t="shared" si="10"/>
        <v>0</v>
      </c>
      <c r="H96" s="7">
        <f t="shared" si="11"/>
        <v>1</v>
      </c>
      <c r="I96" s="7">
        <f t="shared" si="12"/>
        <v>0</v>
      </c>
      <c r="J96" s="7">
        <f t="shared" si="13"/>
        <v>1</v>
      </c>
      <c r="K96" s="7">
        <f t="shared" si="14"/>
        <v>0</v>
      </c>
    </row>
    <row r="97" spans="1:11" x14ac:dyDescent="0.45">
      <c r="A97" s="1">
        <f t="shared" si="8"/>
        <v>93</v>
      </c>
      <c r="B97" s="1">
        <f>INT((ROW()-4)*B$1/99)-INT((ROW()-5)*B$1/99)</f>
        <v>1</v>
      </c>
      <c r="C97" s="1">
        <f>INT((ROW()-4)*C$1/99)-INT((ROW()-5)*C$1/99)</f>
        <v>1</v>
      </c>
      <c r="D97" s="1">
        <f>INT((ROW()-4)*D$1/99)-INT((ROW()-5)*D$1/99)</f>
        <v>1</v>
      </c>
      <c r="E97" s="7">
        <f>INT((ROW()-4)*E$1/99)-INT((ROW()-5)*E$1/99)</f>
        <v>0</v>
      </c>
      <c r="F97" s="7">
        <f t="shared" si="9"/>
        <v>1</v>
      </c>
      <c r="G97" s="7">
        <f t="shared" si="10"/>
        <v>1</v>
      </c>
      <c r="H97" s="7">
        <f t="shared" si="11"/>
        <v>0</v>
      </c>
      <c r="I97" s="7">
        <f t="shared" si="12"/>
        <v>1</v>
      </c>
      <c r="J97" s="7">
        <f t="shared" si="13"/>
        <v>0</v>
      </c>
      <c r="K97" s="7">
        <f t="shared" si="14"/>
        <v>0</v>
      </c>
    </row>
    <row r="98" spans="1:11" x14ac:dyDescent="0.45">
      <c r="A98" s="1">
        <f t="shared" si="8"/>
        <v>94</v>
      </c>
      <c r="B98" s="1">
        <f>INT((ROW()-4)*B$1/99)-INT((ROW()-5)*B$1/99)</f>
        <v>0</v>
      </c>
      <c r="C98" s="1">
        <f>INT((ROW()-4)*C$1/99)-INT((ROW()-5)*C$1/99)</f>
        <v>0</v>
      </c>
      <c r="D98" s="1">
        <f>INT((ROW()-4)*D$1/99)-INT((ROW()-5)*D$1/99)</f>
        <v>0</v>
      </c>
      <c r="E98" s="7">
        <f>INT((ROW()-4)*E$1/99)-INT((ROW()-5)*E$1/99)</f>
        <v>0</v>
      </c>
      <c r="F98" s="7">
        <f t="shared" si="9"/>
        <v>0</v>
      </c>
      <c r="G98" s="7">
        <f t="shared" si="10"/>
        <v>0</v>
      </c>
      <c r="H98" s="7">
        <f t="shared" si="11"/>
        <v>0</v>
      </c>
      <c r="I98" s="7">
        <f t="shared" si="12"/>
        <v>0</v>
      </c>
      <c r="J98" s="7">
        <f t="shared" si="13"/>
        <v>0</v>
      </c>
      <c r="K98" s="7">
        <f t="shared" si="14"/>
        <v>0</v>
      </c>
    </row>
    <row r="99" spans="1:11" x14ac:dyDescent="0.45">
      <c r="A99" s="1">
        <f t="shared" si="8"/>
        <v>95</v>
      </c>
      <c r="B99" s="1">
        <f>INT((ROW()-4)*B$1/99)-INT((ROW()-5)*B$1/99)</f>
        <v>1</v>
      </c>
      <c r="C99" s="1">
        <f>INT((ROW()-4)*C$1/99)-INT((ROW()-5)*C$1/99)</f>
        <v>1</v>
      </c>
      <c r="D99" s="1">
        <f>INT((ROW()-4)*D$1/99)-INT((ROW()-5)*D$1/99)</f>
        <v>1</v>
      </c>
      <c r="E99" s="7">
        <f>INT((ROW()-4)*E$1/99)-INT((ROW()-5)*E$1/99)</f>
        <v>1</v>
      </c>
      <c r="F99" s="7">
        <f t="shared" si="9"/>
        <v>1</v>
      </c>
      <c r="G99" s="7">
        <f t="shared" si="10"/>
        <v>1</v>
      </c>
      <c r="H99" s="7">
        <f t="shared" si="11"/>
        <v>1</v>
      </c>
      <c r="I99" s="7">
        <f t="shared" si="12"/>
        <v>1</v>
      </c>
      <c r="J99" s="7">
        <f t="shared" si="13"/>
        <v>1</v>
      </c>
      <c r="K99" s="7">
        <f t="shared" si="14"/>
        <v>1</v>
      </c>
    </row>
    <row r="100" spans="1:11" x14ac:dyDescent="0.45">
      <c r="A100" s="1">
        <f t="shared" si="8"/>
        <v>96</v>
      </c>
      <c r="B100" s="1">
        <f>INT((ROW()-4)*B$1/99)-INT((ROW()-5)*B$1/99)</f>
        <v>1</v>
      </c>
      <c r="C100" s="1">
        <f>INT((ROW()-4)*C$1/99)-INT((ROW()-5)*C$1/99)</f>
        <v>1</v>
      </c>
      <c r="D100" s="1">
        <f>INT((ROW()-4)*D$1/99)-INT((ROW()-5)*D$1/99)</f>
        <v>0</v>
      </c>
      <c r="E100" s="7">
        <f>INT((ROW()-4)*E$1/99)-INT((ROW()-5)*E$1/99)</f>
        <v>0</v>
      </c>
      <c r="F100" s="7">
        <f t="shared" si="9"/>
        <v>1</v>
      </c>
      <c r="G100" s="7">
        <f t="shared" si="10"/>
        <v>0</v>
      </c>
      <c r="H100" s="7">
        <f t="shared" si="11"/>
        <v>0</v>
      </c>
      <c r="I100" s="7">
        <f t="shared" si="12"/>
        <v>0</v>
      </c>
      <c r="J100" s="7">
        <f t="shared" si="13"/>
        <v>0</v>
      </c>
      <c r="K100" s="7">
        <f t="shared" si="14"/>
        <v>0</v>
      </c>
    </row>
    <row r="101" spans="1:11" x14ac:dyDescent="0.45">
      <c r="A101" s="1">
        <f t="shared" si="8"/>
        <v>97</v>
      </c>
      <c r="B101" s="1">
        <f>INT((ROW()-4)*B$1/99)-INT((ROW()-5)*B$1/99)</f>
        <v>1</v>
      </c>
      <c r="C101" s="1">
        <f>INT((ROW()-4)*C$1/99)-INT((ROW()-5)*C$1/99)</f>
        <v>0</v>
      </c>
      <c r="D101" s="1">
        <f>INT((ROW()-4)*D$1/99)-INT((ROW()-5)*D$1/99)</f>
        <v>1</v>
      </c>
      <c r="E101" s="7">
        <f>INT((ROW()-4)*E$1/99)-INT((ROW()-5)*E$1/99)</f>
        <v>1</v>
      </c>
      <c r="F101" s="7">
        <f t="shared" si="9"/>
        <v>0</v>
      </c>
      <c r="G101" s="7">
        <f t="shared" si="10"/>
        <v>1</v>
      </c>
      <c r="H101" s="7">
        <f t="shared" si="11"/>
        <v>1</v>
      </c>
      <c r="I101" s="7">
        <f t="shared" si="12"/>
        <v>0</v>
      </c>
      <c r="J101" s="7">
        <f t="shared" si="13"/>
        <v>0</v>
      </c>
      <c r="K101" s="7">
        <f t="shared" si="14"/>
        <v>1</v>
      </c>
    </row>
    <row r="102" spans="1:11" x14ac:dyDescent="0.45">
      <c r="A102" s="1">
        <f t="shared" si="8"/>
        <v>98</v>
      </c>
      <c r="B102" s="1">
        <f>INT((ROW()-4)*B$1/99)-INT((ROW()-5)*B$1/99)</f>
        <v>1</v>
      </c>
      <c r="C102" s="1">
        <f>INT((ROW()-4)*C$1/99)-INT((ROW()-5)*C$1/99)</f>
        <v>1</v>
      </c>
      <c r="D102" s="1">
        <f>INT((ROW()-4)*D$1/99)-INT((ROW()-5)*D$1/99)</f>
        <v>0</v>
      </c>
      <c r="E102" s="7">
        <f>INT((ROW()-4)*E$1/99)-INT((ROW()-5)*E$1/99)</f>
        <v>0</v>
      </c>
      <c r="F102" s="7">
        <f t="shared" si="9"/>
        <v>1</v>
      </c>
      <c r="G102" s="7">
        <f t="shared" si="10"/>
        <v>0</v>
      </c>
      <c r="H102" s="7">
        <f t="shared" si="11"/>
        <v>0</v>
      </c>
      <c r="I102" s="7">
        <f t="shared" si="12"/>
        <v>0</v>
      </c>
      <c r="J102" s="7">
        <f t="shared" si="13"/>
        <v>0</v>
      </c>
      <c r="K102" s="7">
        <f t="shared" si="14"/>
        <v>0</v>
      </c>
    </row>
    <row r="103" spans="1:11" x14ac:dyDescent="0.45">
      <c r="A103" s="1">
        <f t="shared" si="8"/>
        <v>99</v>
      </c>
      <c r="B103" s="1">
        <f>INT((ROW()-4)*B$1/99)-INT((ROW()-5)*B$1/99)</f>
        <v>1</v>
      </c>
      <c r="C103" s="1">
        <f>INT((ROW()-4)*C$1/99)-INT((ROW()-5)*C$1/99)</f>
        <v>1</v>
      </c>
      <c r="D103" s="1">
        <f>INT((ROW()-4)*D$1/99)-INT((ROW()-5)*D$1/99)</f>
        <v>1</v>
      </c>
      <c r="E103" s="7">
        <f>INT((ROW()-4)*E$1/99)-INT((ROW()-5)*E$1/99)</f>
        <v>1</v>
      </c>
      <c r="F103" s="7">
        <f t="shared" si="9"/>
        <v>1</v>
      </c>
      <c r="G103" s="7">
        <f t="shared" si="10"/>
        <v>1</v>
      </c>
      <c r="H103" s="7">
        <f t="shared" si="11"/>
        <v>1</v>
      </c>
      <c r="I103" s="7">
        <f t="shared" si="12"/>
        <v>1</v>
      </c>
      <c r="J103" s="7">
        <f t="shared" si="13"/>
        <v>1</v>
      </c>
      <c r="K103" s="7">
        <f t="shared" si="14"/>
        <v>1</v>
      </c>
    </row>
    <row r="104" spans="1:11" x14ac:dyDescent="0.45">
      <c r="A104" s="1">
        <f t="shared" si="8"/>
        <v>100</v>
      </c>
      <c r="B104" s="1">
        <f>INT((ROW()-4)*B$1/99)-INT((ROW()-5)*B$1/99)</f>
        <v>0</v>
      </c>
      <c r="C104" s="1">
        <f>INT((ROW()-4)*C$1/99)-INT((ROW()-5)*C$1/99)</f>
        <v>0</v>
      </c>
      <c r="D104" s="1">
        <f>INT((ROW()-4)*D$1/99)-INT((ROW()-5)*D$1/99)</f>
        <v>0</v>
      </c>
      <c r="E104" s="7">
        <f>INT((ROW()-4)*E$1/99)-INT((ROW()-5)*E$1/99)</f>
        <v>0</v>
      </c>
      <c r="F104" s="7">
        <f t="shared" si="9"/>
        <v>0</v>
      </c>
      <c r="G104" s="7">
        <f t="shared" si="10"/>
        <v>0</v>
      </c>
      <c r="H104" s="7">
        <f t="shared" si="11"/>
        <v>0</v>
      </c>
      <c r="I104" s="7">
        <f t="shared" si="12"/>
        <v>0</v>
      </c>
      <c r="J104" s="7">
        <f t="shared" si="13"/>
        <v>0</v>
      </c>
      <c r="K104" s="7">
        <f t="shared" si="14"/>
        <v>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41653-4B8F-4E12-83A5-E19EF1F4140E}">
  <dimension ref="A1:AB46"/>
  <sheetViews>
    <sheetView tabSelected="1" workbookViewId="0">
      <selection activeCell="R32" sqref="R32"/>
    </sheetView>
  </sheetViews>
  <sheetFormatPr defaultRowHeight="14.25" outlineLevelRow="1" x14ac:dyDescent="0.45"/>
  <cols>
    <col min="1" max="1" width="9.796875" customWidth="1"/>
    <col min="2" max="2" width="18.6640625" customWidth="1"/>
    <col min="3" max="3" width="10.6640625" customWidth="1"/>
    <col min="4" max="14" width="6.06640625" customWidth="1"/>
  </cols>
  <sheetData>
    <row r="1" spans="1:7" outlineLevel="1" x14ac:dyDescent="0.45">
      <c r="A1" t="s">
        <v>18</v>
      </c>
      <c r="B1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</row>
    <row r="2" spans="1:7" outlineLevel="1" x14ac:dyDescent="0.45">
      <c r="A2" t="str">
        <f>_xlfn.TEXTJOIN("",TRUE,IF($B2=1,"A",""),IF($C2=1,"B",""),IF($D2=1,"C",""),IF($E2=1,"D",""))</f>
        <v>D</v>
      </c>
      <c r="B2">
        <v>0</v>
      </c>
      <c r="C2">
        <v>0</v>
      </c>
      <c r="D2">
        <v>0</v>
      </c>
      <c r="E2">
        <v>1</v>
      </c>
      <c r="F2">
        <f>COUNTIFS(Planilha1!$B$6:$B$104,$B2,Planilha1!$C$6:$C$104,$C2,Planilha1!$D$6:$D$104,$D2,Planilha1!$E$6:$E$104,$E2)</f>
        <v>2</v>
      </c>
      <c r="G2">
        <f>$F2*1000-ROW()</f>
        <v>1998</v>
      </c>
    </row>
    <row r="3" spans="1:7" outlineLevel="1" x14ac:dyDescent="0.45">
      <c r="A3" t="str">
        <f t="shared" ref="A3:A16" si="0">_xlfn.TEXTJOIN("",TRUE,IF($B3=1,"A",""),IF($C3=1,"B",""),IF($D3=1,"C",""),IF($E3=1,"D",""))</f>
        <v>C</v>
      </c>
      <c r="B3">
        <v>0</v>
      </c>
      <c r="C3">
        <v>0</v>
      </c>
      <c r="D3">
        <v>1</v>
      </c>
      <c r="E3">
        <v>0</v>
      </c>
      <c r="F3">
        <f>COUNTIFS(Planilha1!$B$6:$B$104,$B3,Planilha1!$C$6:$C$104,$C3,Planilha1!$D$6:$D$104,$D3,Planilha1!$E$6:$E$104,$E3)</f>
        <v>0</v>
      </c>
      <c r="G3">
        <f t="shared" ref="G3:G16" si="1">$F3*1000-ROW()</f>
        <v>-3</v>
      </c>
    </row>
    <row r="4" spans="1:7" outlineLevel="1" x14ac:dyDescent="0.45">
      <c r="A4" t="str">
        <f t="shared" si="0"/>
        <v>CD</v>
      </c>
      <c r="B4">
        <v>0</v>
      </c>
      <c r="C4">
        <v>0</v>
      </c>
      <c r="D4">
        <v>1</v>
      </c>
      <c r="E4">
        <v>1</v>
      </c>
      <c r="F4">
        <f>COUNTIFS(Planilha1!$B$6:$B$104,$B4,Planilha1!$C$6:$C$104,$C4,Planilha1!$D$6:$D$104,$D4,Planilha1!$E$6:$E$104,$E4)</f>
        <v>0</v>
      </c>
      <c r="G4">
        <f t="shared" si="1"/>
        <v>-4</v>
      </c>
    </row>
    <row r="5" spans="1:7" outlineLevel="1" x14ac:dyDescent="0.45">
      <c r="A5" t="str">
        <f t="shared" si="0"/>
        <v>B</v>
      </c>
      <c r="B5">
        <v>0</v>
      </c>
      <c r="C5">
        <v>1</v>
      </c>
      <c r="D5">
        <v>0</v>
      </c>
      <c r="E5">
        <v>0</v>
      </c>
      <c r="F5">
        <f>COUNTIFS(Planilha1!$B$6:$B$104,$B5,Planilha1!$C$6:$C$104,$C5,Planilha1!$D$6:$D$104,$D5,Planilha1!$E$6:$E$104,$E5)</f>
        <v>8</v>
      </c>
      <c r="G5">
        <f t="shared" si="1"/>
        <v>7995</v>
      </c>
    </row>
    <row r="6" spans="1:7" outlineLevel="1" x14ac:dyDescent="0.45">
      <c r="A6" t="str">
        <f t="shared" si="0"/>
        <v>BD</v>
      </c>
      <c r="B6">
        <v>0</v>
      </c>
      <c r="C6">
        <v>1</v>
      </c>
      <c r="D6">
        <v>0</v>
      </c>
      <c r="E6">
        <v>1</v>
      </c>
      <c r="F6">
        <f>COUNTIFS(Planilha1!$B$6:$B$104,$B6,Planilha1!$C$6:$C$104,$C6,Planilha1!$D$6:$D$104,$D6,Planilha1!$E$6:$E$104,$E6)</f>
        <v>4</v>
      </c>
      <c r="G6">
        <f t="shared" si="1"/>
        <v>3994</v>
      </c>
    </row>
    <row r="7" spans="1:7" outlineLevel="1" x14ac:dyDescent="0.45">
      <c r="A7" t="str">
        <f t="shared" si="0"/>
        <v>BC</v>
      </c>
      <c r="B7">
        <v>0</v>
      </c>
      <c r="C7">
        <v>1</v>
      </c>
      <c r="D7">
        <v>1</v>
      </c>
      <c r="E7">
        <v>0</v>
      </c>
      <c r="F7">
        <f>COUNTIFS(Planilha1!$B$6:$B$104,$B7,Planilha1!$C$6:$C$104,$C7,Planilha1!$D$6:$D$104,$D7,Planilha1!$E$6:$E$104,$E7)</f>
        <v>0</v>
      </c>
      <c r="G7">
        <f t="shared" si="1"/>
        <v>-7</v>
      </c>
    </row>
    <row r="8" spans="1:7" outlineLevel="1" x14ac:dyDescent="0.45">
      <c r="A8" t="str">
        <f t="shared" si="0"/>
        <v>BCD</v>
      </c>
      <c r="B8">
        <v>0</v>
      </c>
      <c r="C8">
        <v>1</v>
      </c>
      <c r="D8">
        <v>1</v>
      </c>
      <c r="E8">
        <v>1</v>
      </c>
      <c r="F8">
        <f>COUNTIFS(Planilha1!$B$6:$B$104,$B8,Planilha1!$C$6:$C$104,$C8,Planilha1!$D$6:$D$104,$D8,Planilha1!$E$6:$E$104,$E8)</f>
        <v>0</v>
      </c>
      <c r="G8">
        <f t="shared" si="1"/>
        <v>-8</v>
      </c>
    </row>
    <row r="9" spans="1:7" outlineLevel="1" x14ac:dyDescent="0.45">
      <c r="A9" t="str">
        <f t="shared" si="0"/>
        <v>A</v>
      </c>
      <c r="B9">
        <v>1</v>
      </c>
      <c r="C9">
        <v>0</v>
      </c>
      <c r="D9">
        <v>0</v>
      </c>
      <c r="E9">
        <v>0</v>
      </c>
      <c r="F9">
        <f>COUNTIFS(Planilha1!$B$6:$B$104,$B9,Planilha1!$C$6:$C$104,$C9,Planilha1!$D$6:$D$104,$D9,Planilha1!$E$6:$E$104,$E9)</f>
        <v>9</v>
      </c>
      <c r="G9">
        <f t="shared" si="1"/>
        <v>8991</v>
      </c>
    </row>
    <row r="10" spans="1:7" outlineLevel="1" x14ac:dyDescent="0.45">
      <c r="A10" t="str">
        <f t="shared" si="0"/>
        <v>AD</v>
      </c>
      <c r="B10">
        <v>1</v>
      </c>
      <c r="C10">
        <v>0</v>
      </c>
      <c r="D10">
        <v>0</v>
      </c>
      <c r="E10">
        <v>1</v>
      </c>
      <c r="F10">
        <f>COUNTIFS(Planilha1!$B$6:$B$104,$B10,Planilha1!$C$6:$C$104,$C10,Planilha1!$D$6:$D$104,$D10,Planilha1!$E$6:$E$104,$E10)</f>
        <v>4</v>
      </c>
      <c r="G10">
        <f t="shared" si="1"/>
        <v>3990</v>
      </c>
    </row>
    <row r="11" spans="1:7" outlineLevel="1" x14ac:dyDescent="0.45">
      <c r="A11" t="str">
        <f t="shared" si="0"/>
        <v>AC</v>
      </c>
      <c r="B11">
        <v>1</v>
      </c>
      <c r="C11">
        <v>0</v>
      </c>
      <c r="D11">
        <v>1</v>
      </c>
      <c r="E11">
        <v>0</v>
      </c>
      <c r="F11">
        <f>COUNTIFS(Planilha1!$B$6:$B$104,$B11,Planilha1!$C$6:$C$104,$C11,Planilha1!$D$6:$D$104,$D11,Planilha1!$E$6:$E$104,$E11)</f>
        <v>8</v>
      </c>
      <c r="G11">
        <f t="shared" si="1"/>
        <v>7989</v>
      </c>
    </row>
    <row r="12" spans="1:7" outlineLevel="1" x14ac:dyDescent="0.45">
      <c r="A12" t="str">
        <f t="shared" si="0"/>
        <v>ACD</v>
      </c>
      <c r="B12">
        <v>1</v>
      </c>
      <c r="C12">
        <v>0</v>
      </c>
      <c r="D12">
        <v>1</v>
      </c>
      <c r="E12">
        <v>1</v>
      </c>
      <c r="F12">
        <f>COUNTIFS(Planilha1!$B$6:$B$104,$B12,Planilha1!$C$6:$C$104,$C12,Planilha1!$D$6:$D$104,$D12,Planilha1!$E$6:$E$104,$E12)</f>
        <v>9</v>
      </c>
      <c r="G12">
        <f t="shared" si="1"/>
        <v>8988</v>
      </c>
    </row>
    <row r="13" spans="1:7" outlineLevel="1" x14ac:dyDescent="0.45">
      <c r="A13" t="str">
        <f t="shared" si="0"/>
        <v>AB</v>
      </c>
      <c r="B13">
        <v>1</v>
      </c>
      <c r="C13">
        <v>1</v>
      </c>
      <c r="D13">
        <v>0</v>
      </c>
      <c r="E13">
        <v>0</v>
      </c>
      <c r="F13">
        <f>COUNTIFS(Planilha1!$B$6:$B$104,$B13,Planilha1!$C$6:$C$104,$C13,Planilha1!$D$6:$D$104,$D13,Planilha1!$E$6:$E$104,$E13)</f>
        <v>13</v>
      </c>
      <c r="G13">
        <f t="shared" si="1"/>
        <v>12987</v>
      </c>
    </row>
    <row r="14" spans="1:7" outlineLevel="1" x14ac:dyDescent="0.45">
      <c r="A14" t="str">
        <f t="shared" si="0"/>
        <v>ABD</v>
      </c>
      <c r="B14">
        <v>1</v>
      </c>
      <c r="C14">
        <v>1</v>
      </c>
      <c r="D14">
        <v>0</v>
      </c>
      <c r="E14">
        <v>1</v>
      </c>
      <c r="F14">
        <f>COUNTIFS(Planilha1!$B$6:$B$104,$B14,Planilha1!$C$6:$C$104,$C14,Planilha1!$D$6:$D$104,$D14,Planilha1!$E$6:$E$104,$E14)</f>
        <v>8</v>
      </c>
      <c r="G14">
        <f t="shared" si="1"/>
        <v>7986</v>
      </c>
    </row>
    <row r="15" spans="1:7" outlineLevel="1" x14ac:dyDescent="0.45">
      <c r="A15" t="str">
        <f t="shared" si="0"/>
        <v>ABC</v>
      </c>
      <c r="B15">
        <v>1</v>
      </c>
      <c r="C15">
        <v>1</v>
      </c>
      <c r="D15">
        <v>1</v>
      </c>
      <c r="E15">
        <v>0</v>
      </c>
      <c r="F15">
        <f>COUNTIFS(Planilha1!$B$6:$B$104,$B15,Planilha1!$C$6:$C$104,$C15,Planilha1!$D$6:$D$104,$D15,Planilha1!$E$6:$E$104,$E15)</f>
        <v>16</v>
      </c>
      <c r="G15">
        <f t="shared" si="1"/>
        <v>15985</v>
      </c>
    </row>
    <row r="16" spans="1:7" outlineLevel="1" x14ac:dyDescent="0.45">
      <c r="A16" t="str">
        <f t="shared" si="0"/>
        <v>ABCD</v>
      </c>
      <c r="B16">
        <v>1</v>
      </c>
      <c r="C16">
        <v>1</v>
      </c>
      <c r="D16">
        <v>1</v>
      </c>
      <c r="E16">
        <v>1</v>
      </c>
      <c r="F16">
        <f>COUNTIFS(Planilha1!$B$6:$B$104,$B16,Planilha1!$C$6:$C$104,$C16,Planilha1!$D$6:$D$104,$D16,Planilha1!$E$6:$E$104,$E16)</f>
        <v>15</v>
      </c>
      <c r="G16">
        <f t="shared" si="1"/>
        <v>14984</v>
      </c>
    </row>
    <row r="17" spans="2:28" outlineLevel="1" x14ac:dyDescent="0.45"/>
    <row r="18" spans="2:28" outlineLevel="1" x14ac:dyDescent="0.45"/>
    <row r="19" spans="2:28" outlineLevel="1" x14ac:dyDescent="0.45">
      <c r="Q19" s="3" t="s">
        <v>26</v>
      </c>
    </row>
    <row r="20" spans="2:28" outlineLevel="1" x14ac:dyDescent="0.45">
      <c r="Q20" t="s">
        <v>21</v>
      </c>
      <c r="R20">
        <v>1</v>
      </c>
      <c r="S20">
        <v>2</v>
      </c>
      <c r="T20">
        <v>3</v>
      </c>
      <c r="U20">
        <v>4</v>
      </c>
      <c r="V20">
        <v>5</v>
      </c>
      <c r="W20">
        <v>6</v>
      </c>
      <c r="X20">
        <v>7</v>
      </c>
      <c r="Y20">
        <v>8</v>
      </c>
      <c r="Z20">
        <v>9</v>
      </c>
      <c r="AA20">
        <v>10</v>
      </c>
      <c r="AB20">
        <v>11</v>
      </c>
    </row>
    <row r="21" spans="2:28" outlineLevel="1" x14ac:dyDescent="0.45">
      <c r="Q21" t="s">
        <v>22</v>
      </c>
      <c r="R21" t="str">
        <f>INDEX($A$2:$A$16,MATCH(LARGE($G$2:$G$16,R$20),$G$2:$G$16,0))</f>
        <v>ABC</v>
      </c>
      <c r="S21" t="str">
        <f>INDEX($A$2:$A$16,MATCH(LARGE($G$2:$G$16,S$20),$G$2:$G$16,0))</f>
        <v>ABCD</v>
      </c>
      <c r="T21" t="str">
        <f>INDEX($A$2:$A$16,MATCH(LARGE($G$2:$G$16,T$20),$G$2:$G$16,0))</f>
        <v>AB</v>
      </c>
      <c r="U21" t="str">
        <f>INDEX($A$2:$A$16,MATCH(LARGE($G$2:$G$16,U$20),$G$2:$G$16,0))</f>
        <v>A</v>
      </c>
      <c r="V21" t="str">
        <f>INDEX($A$2:$A$16,MATCH(LARGE($G$2:$G$16,V$20),$G$2:$G$16,0))</f>
        <v>ACD</v>
      </c>
      <c r="W21" t="str">
        <f>INDEX($A$2:$A$16,MATCH(LARGE($G$2:$G$16,W$20),$G$2:$G$16,0))</f>
        <v>B</v>
      </c>
      <c r="X21" t="str">
        <f>INDEX($A$2:$A$16,MATCH(LARGE($G$2:$G$16,X$20),$G$2:$G$16,0))</f>
        <v>AC</v>
      </c>
      <c r="Y21" t="str">
        <f>INDEX($A$2:$A$16,MATCH(LARGE($G$2:$G$16,Y$20),$G$2:$G$16,0))</f>
        <v>ABD</v>
      </c>
      <c r="Z21" t="str">
        <f>INDEX($A$2:$A$16,MATCH(LARGE($G$2:$G$16,Z$20),$G$2:$G$16,0))</f>
        <v>BD</v>
      </c>
      <c r="AA21" t="str">
        <f>INDEX($A$2:$A$16,MATCH(LARGE($G$2:$G$16,AA$20),$G$2:$G$16,0))</f>
        <v>AD</v>
      </c>
      <c r="AB21" t="str">
        <f>INDEX($A$2:$A$16,MATCH(LARGE($G$2:$G$16,AB$20),$G$2:$G$16,0))</f>
        <v>D</v>
      </c>
    </row>
    <row r="22" spans="2:28" outlineLevel="1" x14ac:dyDescent="0.45">
      <c r="Q22" t="s">
        <v>19</v>
      </c>
      <c r="R22">
        <f>INDEX($F$2:$F$16,MATCH(LARGE($G$2:$G$16,R$20),$G$2:$G$16,0))</f>
        <v>16</v>
      </c>
      <c r="S22">
        <f>INDEX($F$2:$F$16,MATCH(LARGE($G$2:$G$16,S$20),$G$2:$G$16,0))</f>
        <v>15</v>
      </c>
      <c r="T22">
        <f>INDEX($F$2:$F$16,MATCH(LARGE($G$2:$G$16,T$20),$G$2:$G$16,0))</f>
        <v>13</v>
      </c>
      <c r="U22">
        <f>INDEX($F$2:$F$16,MATCH(LARGE($G$2:$G$16,U$20),$G$2:$G$16,0))</f>
        <v>9</v>
      </c>
      <c r="V22">
        <f>INDEX($F$2:$F$16,MATCH(LARGE($G$2:$G$16,V$20),$G$2:$G$16,0))</f>
        <v>9</v>
      </c>
      <c r="W22">
        <f>INDEX($F$2:$F$16,MATCH(LARGE($G$2:$G$16,W$20),$G$2:$G$16,0))</f>
        <v>8</v>
      </c>
      <c r="X22">
        <f>INDEX($F$2:$F$16,MATCH(LARGE($G$2:$G$16,X$20),$G$2:$G$16,0))</f>
        <v>8</v>
      </c>
      <c r="Y22">
        <f>INDEX($F$2:$F$16,MATCH(LARGE($G$2:$G$16,Y$20),$G$2:$G$16,0))</f>
        <v>8</v>
      </c>
      <c r="Z22">
        <f>INDEX($F$2:$F$16,MATCH(LARGE($G$2:$G$16,Z$20),$G$2:$G$16,0))</f>
        <v>4</v>
      </c>
      <c r="AA22">
        <f>INDEX($F$2:$F$16,MATCH(LARGE($G$2:$G$16,AA$20),$G$2:$G$16,0))</f>
        <v>4</v>
      </c>
      <c r="AB22">
        <f>INDEX($F$2:$F$16,MATCH(LARGE($G$2:$G$16,AB$20),$G$2:$G$16,0))</f>
        <v>2</v>
      </c>
    </row>
    <row r="23" spans="2:28" ht="17.25" x14ac:dyDescent="0.55000000000000004">
      <c r="B23" s="17" t="s">
        <v>27</v>
      </c>
    </row>
    <row r="24" spans="2:28" x14ac:dyDescent="0.45">
      <c r="B24" s="18" t="s">
        <v>25</v>
      </c>
    </row>
    <row r="34" spans="2:14" x14ac:dyDescent="0.45">
      <c r="B34" t="s">
        <v>23</v>
      </c>
      <c r="C34" t="s">
        <v>24</v>
      </c>
    </row>
    <row r="35" spans="2:14" ht="22.05" customHeight="1" x14ac:dyDescent="0.45">
      <c r="B35" s="16">
        <f>SUM(Planilha1!$B$6:$B$104)</f>
        <v>82</v>
      </c>
      <c r="C35" s="15" t="s">
        <v>1</v>
      </c>
      <c r="D35" s="14" t="str">
        <f>IF(ISNUMBER(SEARCH($C35,R$21)),"●","○")</f>
        <v>●</v>
      </c>
      <c r="E35" s="14" t="str">
        <f>IF(ISNUMBER(SEARCH($C35,S$21)),"●","○")</f>
        <v>●</v>
      </c>
      <c r="F35" s="14" t="str">
        <f>IF(ISNUMBER(SEARCH($C35,T$21)),"●","○")</f>
        <v>●</v>
      </c>
      <c r="G35" s="14" t="str">
        <f>IF(ISNUMBER(SEARCH($C35,U$21)),"●","○")</f>
        <v>●</v>
      </c>
      <c r="H35" s="14" t="str">
        <f>IF(ISNUMBER(SEARCH($C35,V$21)),"●","○")</f>
        <v>●</v>
      </c>
      <c r="I35" s="14" t="str">
        <f>IF(ISNUMBER(SEARCH($C35,W$21)),"●","○")</f>
        <v>○</v>
      </c>
      <c r="J35" s="14" t="str">
        <f>IF(ISNUMBER(SEARCH($C35,X$21)),"●","○")</f>
        <v>●</v>
      </c>
      <c r="K35" s="14" t="str">
        <f>IF(ISNUMBER(SEARCH($C35,Y$21)),"●","○")</f>
        <v>●</v>
      </c>
      <c r="L35" s="14" t="str">
        <f>IF(ISNUMBER(SEARCH($C35,Z$21)),"●","○")</f>
        <v>○</v>
      </c>
      <c r="M35" s="14" t="str">
        <f>IF(ISNUMBER(SEARCH($C35,AA$21)),"●","○")</f>
        <v>●</v>
      </c>
      <c r="N35" s="14" t="str">
        <f>IF(ISNUMBER(SEARCH($C35,AB$21)),"●","○")</f>
        <v>○</v>
      </c>
    </row>
    <row r="36" spans="2:14" ht="22.05" customHeight="1" x14ac:dyDescent="0.45">
      <c r="B36" s="16">
        <f>SUM(Planilha1!$C$6:$C$104)</f>
        <v>64</v>
      </c>
      <c r="C36" s="15" t="s">
        <v>2</v>
      </c>
      <c r="D36" s="14" t="str">
        <f>IF(ISNUMBER(SEARCH($C36,R$21)),"●","○")</f>
        <v>●</v>
      </c>
      <c r="E36" s="14" t="str">
        <f>IF(ISNUMBER(SEARCH($C36,S$21)),"●","○")</f>
        <v>●</v>
      </c>
      <c r="F36" s="14" t="str">
        <f>IF(ISNUMBER(SEARCH($C36,T$21)),"●","○")</f>
        <v>●</v>
      </c>
      <c r="G36" s="14" t="str">
        <f>IF(ISNUMBER(SEARCH($C36,U$21)),"●","○")</f>
        <v>○</v>
      </c>
      <c r="H36" s="14" t="str">
        <f>IF(ISNUMBER(SEARCH($C36,V$21)),"●","○")</f>
        <v>○</v>
      </c>
      <c r="I36" s="14" t="str">
        <f>IF(ISNUMBER(SEARCH($C36,W$21)),"●","○")</f>
        <v>●</v>
      </c>
      <c r="J36" s="14" t="str">
        <f>IF(ISNUMBER(SEARCH($C36,X$21)),"●","○")</f>
        <v>○</v>
      </c>
      <c r="K36" s="14" t="str">
        <f>IF(ISNUMBER(SEARCH($C36,Y$21)),"●","○")</f>
        <v>●</v>
      </c>
      <c r="L36" s="14" t="str">
        <f>IF(ISNUMBER(SEARCH($C36,Z$21)),"●","○")</f>
        <v>●</v>
      </c>
      <c r="M36" s="14" t="str">
        <f>IF(ISNUMBER(SEARCH($C36,AA$21)),"●","○")</f>
        <v>○</v>
      </c>
      <c r="N36" s="14" t="str">
        <f>IF(ISNUMBER(SEARCH($C36,AB$21)),"●","○")</f>
        <v>○</v>
      </c>
    </row>
    <row r="37" spans="2:14" ht="22.05" customHeight="1" x14ac:dyDescent="0.45">
      <c r="B37" s="16">
        <f>SUM(Planilha1!$D$6:$D$104)</f>
        <v>48</v>
      </c>
      <c r="C37" s="15" t="s">
        <v>3</v>
      </c>
      <c r="D37" s="14" t="str">
        <f>IF(ISNUMBER(SEARCH($C37,R$21)),"●","○")</f>
        <v>●</v>
      </c>
      <c r="E37" s="14" t="str">
        <f>IF(ISNUMBER(SEARCH($C37,S$21)),"●","○")</f>
        <v>●</v>
      </c>
      <c r="F37" s="14" t="str">
        <f>IF(ISNUMBER(SEARCH($C37,T$21)),"●","○")</f>
        <v>○</v>
      </c>
      <c r="G37" s="14" t="str">
        <f>IF(ISNUMBER(SEARCH($C37,U$21)),"●","○")</f>
        <v>○</v>
      </c>
      <c r="H37" s="14" t="str">
        <f>IF(ISNUMBER(SEARCH($C37,V$21)),"●","○")</f>
        <v>●</v>
      </c>
      <c r="I37" s="14" t="str">
        <f>IF(ISNUMBER(SEARCH($C37,W$21)),"●","○")</f>
        <v>○</v>
      </c>
      <c r="J37" s="14" t="str">
        <f>IF(ISNUMBER(SEARCH($C37,X$21)),"●","○")</f>
        <v>●</v>
      </c>
      <c r="K37" s="14" t="str">
        <f>IF(ISNUMBER(SEARCH($C37,Y$21)),"●","○")</f>
        <v>○</v>
      </c>
      <c r="L37" s="14" t="str">
        <f>IF(ISNUMBER(SEARCH($C37,Z$21)),"●","○")</f>
        <v>○</v>
      </c>
      <c r="M37" s="14" t="str">
        <f>IF(ISNUMBER(SEARCH($C37,AA$21)),"●","○")</f>
        <v>○</v>
      </c>
      <c r="N37" s="14" t="str">
        <f>IF(ISNUMBER(SEARCH($C37,AB$21)),"●","○")</f>
        <v>○</v>
      </c>
    </row>
    <row r="38" spans="2:14" ht="22.05" customHeight="1" x14ac:dyDescent="0.45">
      <c r="B38" s="16">
        <f>SUM(Planilha1!$E$6:$E$104)</f>
        <v>42</v>
      </c>
      <c r="C38" s="15" t="s">
        <v>4</v>
      </c>
      <c r="D38" s="14" t="str">
        <f>IF(ISNUMBER(SEARCH($C38,R$21)),"●","○")</f>
        <v>○</v>
      </c>
      <c r="E38" s="14" t="str">
        <f>IF(ISNUMBER(SEARCH($C38,S$21)),"●","○")</f>
        <v>●</v>
      </c>
      <c r="F38" s="14" t="str">
        <f>IF(ISNUMBER(SEARCH($C38,T$21)),"●","○")</f>
        <v>○</v>
      </c>
      <c r="G38" s="14" t="str">
        <f>IF(ISNUMBER(SEARCH($C38,U$21)),"●","○")</f>
        <v>○</v>
      </c>
      <c r="H38" s="14" t="str">
        <f>IF(ISNUMBER(SEARCH($C38,V$21)),"●","○")</f>
        <v>●</v>
      </c>
      <c r="I38" s="14" t="str">
        <f>IF(ISNUMBER(SEARCH($C38,W$21)),"●","○")</f>
        <v>○</v>
      </c>
      <c r="J38" s="14" t="str">
        <f>IF(ISNUMBER(SEARCH($C38,X$21)),"●","○")</f>
        <v>○</v>
      </c>
      <c r="K38" s="14" t="str">
        <f>IF(ISNUMBER(SEARCH($C38,Y$21)),"●","○")</f>
        <v>●</v>
      </c>
      <c r="L38" s="14" t="str">
        <f>IF(ISNUMBER(SEARCH($C38,Z$21)),"●","○")</f>
        <v>●</v>
      </c>
      <c r="M38" s="14" t="str">
        <f>IF(ISNUMBER(SEARCH($C38,AA$21)),"●","○")</f>
        <v>●</v>
      </c>
      <c r="N38" s="14" t="str">
        <f>IF(ISNUMBER(SEARCH($C38,AB$21)),"●","○")</f>
        <v>●</v>
      </c>
    </row>
    <row r="40" spans="2:14" x14ac:dyDescent="0.45">
      <c r="B40" s="19" t="s">
        <v>28</v>
      </c>
    </row>
    <row r="42" spans="2:14" x14ac:dyDescent="0.45">
      <c r="B42" s="3" t="s">
        <v>29</v>
      </c>
    </row>
    <row r="43" spans="2:14" x14ac:dyDescent="0.45">
      <c r="B43" s="4" t="s">
        <v>1</v>
      </c>
      <c r="C43" s="20" t="str">
        <f>Planilha1!$N$6</f>
        <v>Economia pessoal (pupança, investimentos, etc)</v>
      </c>
    </row>
    <row r="44" spans="2:14" x14ac:dyDescent="0.45">
      <c r="B44" s="4" t="s">
        <v>2</v>
      </c>
      <c r="C44" s="20" t="str">
        <f>Planilha1!$N$7</f>
        <v>Pensão do governo</v>
      </c>
    </row>
    <row r="45" spans="2:14" x14ac:dyDescent="0.45">
      <c r="B45" s="4" t="s">
        <v>3</v>
      </c>
      <c r="C45" s="20" t="str">
        <f>Planilha1!$N$8</f>
        <v>Aposentadoria privada</v>
      </c>
    </row>
    <row r="46" spans="2:14" x14ac:dyDescent="0.45">
      <c r="B46" s="4" t="s">
        <v>4</v>
      </c>
      <c r="C46" s="20" t="str">
        <f>Planilha1!$N$9</f>
        <v>Venda/aluguel de propriedades ou imóveis</v>
      </c>
    </row>
  </sheetData>
  <conditionalFormatting sqref="B35:B38">
    <cfRule type="dataBar" priority="2">
      <dataBar>
        <cfvo type="min"/>
        <cfvo type="max"/>
        <color rgb="FF9DC3E6"/>
      </dataBar>
      <extLst>
        <ext xmlns:x14="http://schemas.microsoft.com/office/spreadsheetml/2009/9/main" uri="{B025F937-C7B1-47D3-B67F-A62EFF666E3E}">
          <x14:id>{A6F0681B-C635-4519-8620-CE3FA440F3F7}</x14:id>
        </ext>
      </extLst>
    </cfRule>
  </conditionalFormatting>
  <conditionalFormatting sqref="D35:N38">
    <cfRule type="expression" dxfId="0" priority="3">
      <formula>ISNUMBER(SEARCH($C35,R$21))</formula>
    </cfRule>
  </conditionalFormatting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F0681B-C635-4519-8620-CE3FA440F3F7}">
            <x14:dataBar minLength="0" maxLength="100" direction="rightToLeft" negativeBarColorSameAsPositive="1" axisPosition="none">
              <x14:cfvo type="min"/>
              <x14:cfvo type="max"/>
            </x14:dataBar>
          </x14:cfRule>
          <xm:sqref>B35:B38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UpSet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Osvaldo Luiz Santos Pereira</dc:creator>
  <cp:lastModifiedBy>Osvaldo Luiz Santos Pereira</cp:lastModifiedBy>
  <dcterms:created xsi:type="dcterms:W3CDTF">2026-08-08T14:49:01Z</dcterms:created>
  <dcterms:modified xsi:type="dcterms:W3CDTF">2026-08-09T11:46:14Z</dcterms:modified>
</cp:coreProperties>
</file>