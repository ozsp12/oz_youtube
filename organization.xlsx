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
    </mc:Choice>
  </mc:AlternateContent>
  <xr:revisionPtr revIDLastSave="1116" documentId="13_ncr:1_{E080B429-C63D-4743-90CA-FFA68B47823D}" xr6:coauthVersionLast="47" xr6:coauthVersionMax="47" xr10:uidLastSave="{64EE2342-5089-4513-8B2E-5551D55CEB7B}"/>
  <bookViews>
    <workbookView xWindow="-98" yWindow="-98" windowWidth="28996" windowHeight="15675" tabRatio="556" activeTab="3" xr2:uid="{00000000-000D-0000-FFFF-FFFF00000000}"/>
  </bookViews>
  <sheets>
    <sheet name="Dashboard" sheetId="1" r:id="rId1"/>
    <sheet name="Matriz" sheetId="11" r:id="rId2"/>
    <sheet name="Periódicos" sheetId="3" r:id="rId3"/>
    <sheet name="Videos" sheetId="12" r:id="rId4"/>
  </sheets>
  <definedNames>
    <definedName name="_xlnm._FilterDatabase" localSheetId="1" hidden="1">Matriz!$A$3:$AB$53</definedName>
    <definedName name="_xlnm._FilterDatabase" localSheetId="2" hidden="1">Periódicos!$A$1:$N$168</definedName>
    <definedName name="_xlnm._FilterDatabase" localSheetId="3" hidden="1">Videos!$B$1:$H$65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2" l="1"/>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2" i="12"/>
  <c r="AJ5" i="11"/>
  <c r="AJ6" i="11"/>
  <c r="AJ7" i="11"/>
  <c r="AJ8" i="11"/>
  <c r="AJ9" i="11"/>
  <c r="AJ10" i="11"/>
  <c r="AJ11" i="11"/>
  <c r="AJ12" i="11"/>
  <c r="AJ13" i="11"/>
  <c r="AJ14" i="11"/>
  <c r="AJ15" i="11"/>
  <c r="AJ16" i="11"/>
  <c r="AJ17" i="11"/>
  <c r="AJ18" i="11"/>
  <c r="AJ19" i="11"/>
  <c r="AJ20" i="11"/>
  <c r="AJ21" i="11"/>
  <c r="AJ22" i="11"/>
  <c r="AJ23" i="11"/>
  <c r="AJ24" i="11"/>
  <c r="AJ25" i="11"/>
  <c r="AJ26" i="11"/>
  <c r="AJ27" i="11"/>
  <c r="AJ28" i="11"/>
  <c r="AJ29" i="11"/>
  <c r="AJ30" i="11"/>
  <c r="AJ31" i="11"/>
  <c r="AJ32" i="11"/>
  <c r="AJ33" i="11"/>
  <c r="AJ34" i="11"/>
  <c r="AJ35" i="11"/>
  <c r="AJ36" i="11"/>
  <c r="AJ37" i="11"/>
  <c r="AJ38" i="11"/>
  <c r="AJ39" i="11"/>
  <c r="AJ40" i="11"/>
  <c r="AJ41" i="11"/>
  <c r="AJ42" i="11"/>
  <c r="AJ43" i="11"/>
  <c r="AJ44" i="11"/>
  <c r="AJ45" i="11"/>
  <c r="AJ46" i="11"/>
  <c r="AJ47" i="11"/>
  <c r="AJ48" i="11"/>
  <c r="AJ49" i="11"/>
  <c r="AJ50" i="11"/>
  <c r="AJ51" i="11"/>
  <c r="AJ52" i="11"/>
  <c r="AJ53" i="11"/>
  <c r="AJ54" i="11"/>
  <c r="AJ55" i="11"/>
  <c r="AJ56" i="11"/>
  <c r="AJ57" i="11"/>
  <c r="AJ58" i="11"/>
  <c r="AJ59" i="11"/>
  <c r="AJ4" i="11"/>
  <c r="AD51" i="11"/>
  <c r="AE51" i="11"/>
  <c r="AF51" i="11"/>
  <c r="AG51" i="11"/>
  <c r="AH51" i="11"/>
  <c r="AI51" i="11"/>
  <c r="AD52" i="11"/>
  <c r="AE52" i="11"/>
  <c r="AF52" i="11"/>
  <c r="AG52" i="11"/>
  <c r="AH52" i="11"/>
  <c r="AI52" i="11"/>
  <c r="AD53" i="11"/>
  <c r="AE53" i="11"/>
  <c r="AF53" i="11"/>
  <c r="AG53" i="11"/>
  <c r="AH53" i="11"/>
  <c r="AI53" i="11"/>
  <c r="AD54" i="11"/>
  <c r="AE54" i="11"/>
  <c r="AF54" i="11"/>
  <c r="AG54" i="11"/>
  <c r="AH54" i="11"/>
  <c r="AI54" i="11"/>
  <c r="AD55" i="11"/>
  <c r="AE55" i="11"/>
  <c r="AF55" i="11"/>
  <c r="AG55" i="11"/>
  <c r="AH55" i="11"/>
  <c r="AI55" i="11"/>
  <c r="AD56" i="11"/>
  <c r="AE56" i="11"/>
  <c r="AF56" i="11"/>
  <c r="AG56" i="11"/>
  <c r="AH56" i="11"/>
  <c r="AI56" i="11"/>
  <c r="AD57" i="11"/>
  <c r="AE57" i="11"/>
  <c r="AF57" i="11"/>
  <c r="AG57" i="11"/>
  <c r="AH57" i="11"/>
  <c r="AI57" i="11"/>
  <c r="AD58" i="11"/>
  <c r="AE58" i="11"/>
  <c r="AF58" i="11"/>
  <c r="AG58" i="11"/>
  <c r="AH58" i="11"/>
  <c r="AI58" i="11"/>
  <c r="AD59" i="11"/>
  <c r="AE59" i="11"/>
  <c r="AF59" i="11"/>
  <c r="AG59" i="11"/>
  <c r="AH59" i="11"/>
  <c r="AI59" i="11"/>
  <c r="E1" i="11"/>
  <c r="F1" i="11"/>
  <c r="G1" i="11"/>
  <c r="H1" i="11"/>
  <c r="I1" i="11"/>
  <c r="J1" i="11"/>
  <c r="K1" i="11"/>
  <c r="L1" i="11"/>
  <c r="M1" i="11"/>
  <c r="N1" i="11"/>
  <c r="O1" i="11"/>
  <c r="P1" i="11"/>
  <c r="C23" i="1"/>
  <c r="C22" i="1"/>
  <c r="C21" i="1"/>
  <c r="C20" i="1"/>
  <c r="C19" i="1"/>
  <c r="C18" i="1"/>
  <c r="C17" i="1"/>
  <c r="C16" i="1"/>
  <c r="C15" i="1"/>
  <c r="C14" i="1"/>
  <c r="C13" i="1"/>
  <c r="C12" i="1"/>
  <c r="E8" i="1"/>
  <c r="B45" i="1"/>
  <c r="B43" i="1"/>
  <c r="H35" i="1"/>
  <c r="H34" i="1"/>
  <c r="H33" i="1"/>
  <c r="H32" i="1"/>
  <c r="H31" i="1"/>
  <c r="H30" i="1"/>
  <c r="H29" i="1"/>
  <c r="H28" i="1"/>
  <c r="I23" i="1"/>
  <c r="H23" i="1"/>
  <c r="I22" i="1"/>
  <c r="H22" i="1"/>
  <c r="I21" i="1"/>
  <c r="H21" i="1"/>
  <c r="I20" i="1"/>
  <c r="H20" i="1"/>
  <c r="I19" i="1"/>
  <c r="H19" i="1"/>
  <c r="I18" i="1"/>
  <c r="H18" i="1"/>
  <c r="I17" i="1"/>
  <c r="H17" i="1"/>
  <c r="I16" i="1"/>
  <c r="H16" i="1"/>
  <c r="I15" i="1"/>
  <c r="H15" i="1"/>
  <c r="I14" i="1"/>
  <c r="H14" i="1"/>
  <c r="I13" i="1"/>
  <c r="H37" i="1" s="1"/>
  <c r="H13" i="1"/>
  <c r="I12" i="1"/>
  <c r="H12" i="1"/>
  <c r="B5" i="1"/>
  <c r="AE50" i="11"/>
  <c r="AD50" i="11"/>
  <c r="AE49" i="11"/>
  <c r="AD49" i="11"/>
  <c r="AE48" i="11"/>
  <c r="AD48" i="11"/>
  <c r="AE47" i="11"/>
  <c r="AD47" i="11"/>
  <c r="AE46" i="11"/>
  <c r="AD46" i="11"/>
  <c r="AE45" i="11"/>
  <c r="AD45" i="11"/>
  <c r="AE44" i="11"/>
  <c r="AD44" i="11"/>
  <c r="AE43" i="11"/>
  <c r="AD43" i="11"/>
  <c r="AE42" i="11"/>
  <c r="AD42" i="11"/>
  <c r="AE41" i="11"/>
  <c r="AD41" i="11"/>
  <c r="AE40" i="11"/>
  <c r="AD40" i="11"/>
  <c r="AE39" i="11"/>
  <c r="AD39" i="11"/>
  <c r="AE38" i="11"/>
  <c r="AD38" i="11"/>
  <c r="AE37" i="11"/>
  <c r="AD37" i="11"/>
  <c r="AE36" i="11"/>
  <c r="AD36" i="11"/>
  <c r="AE35" i="11"/>
  <c r="AD35" i="11"/>
  <c r="AE34" i="11"/>
  <c r="AD34" i="11"/>
  <c r="AE33" i="11"/>
  <c r="AD33" i="11"/>
  <c r="AE32" i="11"/>
  <c r="AD32" i="11"/>
  <c r="AE31" i="11"/>
  <c r="AD31" i="11"/>
  <c r="AE30" i="11"/>
  <c r="AD30" i="11"/>
  <c r="AE29" i="11"/>
  <c r="AD29" i="11"/>
  <c r="AE28" i="11"/>
  <c r="AD28" i="11"/>
  <c r="AE27" i="11"/>
  <c r="AD27" i="11"/>
  <c r="AE26" i="11"/>
  <c r="AD26" i="11"/>
  <c r="AE25" i="11"/>
  <c r="AD25" i="11"/>
  <c r="AE24" i="11"/>
  <c r="AD24" i="11"/>
  <c r="AE23" i="11"/>
  <c r="AD23" i="11"/>
  <c r="AE22" i="11"/>
  <c r="AD22" i="11"/>
  <c r="AE21" i="11"/>
  <c r="AD21" i="11"/>
  <c r="AE20" i="11"/>
  <c r="AD20" i="11"/>
  <c r="AE19" i="11"/>
  <c r="AD19" i="11"/>
  <c r="AE18" i="11"/>
  <c r="D17" i="1" s="1"/>
  <c r="AD18" i="11"/>
  <c r="AE17" i="11"/>
  <c r="AD17" i="11"/>
  <c r="AE16" i="11"/>
  <c r="AD16" i="11"/>
  <c r="AE15" i="11"/>
  <c r="AD15" i="11"/>
  <c r="AE14" i="11"/>
  <c r="AD14" i="11"/>
  <c r="AE13" i="11"/>
  <c r="AD13" i="11"/>
  <c r="AE12" i="11"/>
  <c r="AD12" i="11"/>
  <c r="AE11" i="11"/>
  <c r="AD11" i="11"/>
  <c r="AE10" i="11"/>
  <c r="AD10" i="11"/>
  <c r="AE9" i="11"/>
  <c r="AD9" i="11"/>
  <c r="AE8" i="11"/>
  <c r="AD8" i="11"/>
  <c r="AE7" i="11"/>
  <c r="AD7" i="11"/>
  <c r="AE6" i="11"/>
  <c r="AD6" i="11"/>
  <c r="AE5" i="11"/>
  <c r="AD5" i="11"/>
  <c r="AE4" i="11"/>
  <c r="AD4" i="11"/>
  <c r="AI20" i="11" l="1"/>
  <c r="B21" i="1"/>
  <c r="E21" i="1" s="1"/>
  <c r="D12" i="1"/>
  <c r="AI11" i="11"/>
  <c r="AI43" i="11"/>
  <c r="AI42" i="11"/>
  <c r="AI40" i="11"/>
  <c r="AI22" i="11"/>
  <c r="AI21" i="11"/>
  <c r="AI36" i="11"/>
  <c r="AI25" i="11"/>
  <c r="AI30" i="11"/>
  <c r="AI24" i="11"/>
  <c r="AI23" i="11"/>
  <c r="AF35" i="11"/>
  <c r="AF34" i="11"/>
  <c r="AH34" i="11"/>
  <c r="AI34" i="11"/>
  <c r="AF33" i="11"/>
  <c r="AI33" i="11"/>
  <c r="AH33" i="11"/>
  <c r="AF32" i="11"/>
  <c r="AI32" i="11"/>
  <c r="AH32" i="11"/>
  <c r="AF31" i="11"/>
  <c r="AI31" i="11"/>
  <c r="AH31" i="11"/>
  <c r="AI10" i="11"/>
  <c r="AI8" i="11"/>
  <c r="AI15" i="11"/>
  <c r="AI14" i="11"/>
  <c r="AI13" i="11"/>
  <c r="AI9" i="11"/>
  <c r="AI39" i="11"/>
  <c r="J20" i="1"/>
  <c r="J15" i="1"/>
  <c r="J16" i="1"/>
  <c r="AI49" i="11"/>
  <c r="AI47" i="11"/>
  <c r="AI46" i="11"/>
  <c r="AI45" i="11"/>
  <c r="AI44" i="11"/>
  <c r="D20" i="1"/>
  <c r="AI27" i="11"/>
  <c r="AI26" i="11"/>
  <c r="AI7" i="11"/>
  <c r="AI5" i="11"/>
  <c r="AI4" i="11"/>
  <c r="J21" i="1"/>
  <c r="J23" i="1"/>
  <c r="J19" i="1"/>
  <c r="J17" i="1"/>
  <c r="J18" i="1"/>
  <c r="J22" i="1"/>
  <c r="AF40" i="11"/>
  <c r="AH40" i="11"/>
  <c r="AF39" i="11"/>
  <c r="AH39" i="11"/>
  <c r="AF38" i="11"/>
  <c r="AF36" i="11"/>
  <c r="AH36" i="11"/>
  <c r="AH35" i="11"/>
  <c r="AI35" i="11"/>
  <c r="AH30" i="11"/>
  <c r="AF12" i="11"/>
  <c r="AF11" i="11"/>
  <c r="AH11" i="11"/>
  <c r="AF10" i="11"/>
  <c r="AH10" i="11"/>
  <c r="AF9" i="11"/>
  <c r="AH9" i="11"/>
  <c r="AF8" i="11"/>
  <c r="AH8" i="11"/>
  <c r="J14" i="1"/>
  <c r="D13" i="1"/>
  <c r="AI50" i="11"/>
  <c r="AF50" i="11"/>
  <c r="AH50" i="11"/>
  <c r="B13" i="1"/>
  <c r="E13" i="1" s="1"/>
  <c r="AF49" i="11"/>
  <c r="AH49" i="11"/>
  <c r="D22" i="1"/>
  <c r="AI48" i="11"/>
  <c r="AF48" i="11"/>
  <c r="B22" i="1"/>
  <c r="E22" i="1" s="1"/>
  <c r="AH48" i="11"/>
  <c r="AF47" i="11"/>
  <c r="AH47" i="11"/>
  <c r="AF46" i="11"/>
  <c r="AH46" i="11"/>
  <c r="AF45" i="11"/>
  <c r="AH45" i="11"/>
  <c r="AF44" i="11"/>
  <c r="AH44" i="11"/>
  <c r="AH43" i="11"/>
  <c r="AF43" i="11"/>
  <c r="AF42" i="11"/>
  <c r="AH42" i="11"/>
  <c r="D23" i="1"/>
  <c r="AI41" i="11"/>
  <c r="AF41" i="11"/>
  <c r="B23" i="1"/>
  <c r="E23" i="1" s="1"/>
  <c r="AH41" i="11"/>
  <c r="AF30" i="11"/>
  <c r="B20" i="1"/>
  <c r="E20" i="1" s="1"/>
  <c r="AF29" i="11"/>
  <c r="B19" i="1"/>
  <c r="E19" i="1" s="1"/>
  <c r="AF28" i="11"/>
  <c r="AI28" i="11"/>
  <c r="AH28" i="11"/>
  <c r="AF27" i="11"/>
  <c r="AH27" i="11"/>
  <c r="AF26" i="11"/>
  <c r="AH26" i="11"/>
  <c r="AF25" i="11"/>
  <c r="AH25" i="11"/>
  <c r="AF24" i="11"/>
  <c r="AH24" i="11"/>
  <c r="AF23" i="11"/>
  <c r="AH23" i="11"/>
  <c r="AF22" i="11"/>
  <c r="AH22" i="11"/>
  <c r="AF21" i="11"/>
  <c r="AH21" i="11"/>
  <c r="AF20" i="11"/>
  <c r="AH20" i="11"/>
  <c r="AI19" i="11"/>
  <c r="D18" i="1"/>
  <c r="AF19" i="11"/>
  <c r="AH19" i="11"/>
  <c r="B18" i="1"/>
  <c r="E18" i="1" s="1"/>
  <c r="AF18" i="11"/>
  <c r="B17" i="1"/>
  <c r="E17" i="1" s="1"/>
  <c r="D16" i="1"/>
  <c r="AI17" i="11"/>
  <c r="AF17" i="11"/>
  <c r="B16" i="1"/>
  <c r="E16" i="1" s="1"/>
  <c r="AH17" i="11"/>
  <c r="AF16" i="11"/>
  <c r="AF15" i="11"/>
  <c r="AH15" i="11"/>
  <c r="AF14" i="11"/>
  <c r="AH14" i="11"/>
  <c r="AF13" i="11"/>
  <c r="AH13" i="11"/>
  <c r="B15" i="1"/>
  <c r="E15" i="1" s="1"/>
  <c r="AI12" i="11"/>
  <c r="AH12" i="11"/>
  <c r="AF7" i="11"/>
  <c r="AH7" i="11"/>
  <c r="D14" i="1"/>
  <c r="AI6" i="11"/>
  <c r="AF6" i="11"/>
  <c r="AH6" i="11"/>
  <c r="B14" i="1"/>
  <c r="E14" i="1" s="1"/>
  <c r="AF5" i="11"/>
  <c r="AH5" i="11"/>
  <c r="C8" i="1"/>
  <c r="AH4" i="11"/>
  <c r="B8" i="1"/>
  <c r="B12" i="1"/>
  <c r="E12" i="1" s="1"/>
  <c r="AF4" i="11"/>
  <c r="C5" i="1"/>
  <c r="AI29" i="11"/>
  <c r="AH29" i="11"/>
  <c r="D19" i="1"/>
  <c r="AI38" i="11"/>
  <c r="AH38" i="11"/>
  <c r="J13" i="1"/>
  <c r="H36" i="1"/>
  <c r="J12" i="1"/>
  <c r="H24" i="1"/>
  <c r="J24" i="1" s="1"/>
  <c r="AF37" i="11"/>
  <c r="AI37" i="11"/>
  <c r="AH37" i="11"/>
  <c r="D21" i="1"/>
  <c r="I24" i="1"/>
  <c r="AI18" i="11"/>
  <c r="AH18" i="11"/>
  <c r="AH16" i="11"/>
  <c r="AI16" i="11"/>
  <c r="D15" i="1"/>
  <c r="D5" i="1"/>
  <c r="D8" i="1"/>
  <c r="B44" i="1"/>
  <c r="C24" i="1"/>
  <c r="D24" i="1" l="1"/>
  <c r="AG5" i="11"/>
  <c r="AG48" i="11"/>
  <c r="AG37" i="11"/>
  <c r="AG16" i="11"/>
  <c r="AG4" i="11"/>
  <c r="AG43" i="11"/>
  <c r="AG31" i="11"/>
  <c r="B24" i="1"/>
  <c r="E24" i="1" s="1"/>
  <c r="AG18" i="11"/>
  <c r="AG12" i="11"/>
  <c r="AG27" i="11"/>
  <c r="AG23" i="11"/>
  <c r="AG40" i="11"/>
  <c r="AG11" i="11"/>
  <c r="AG50" i="11"/>
  <c r="AG47" i="11"/>
  <c r="AG45" i="11"/>
  <c r="AG10" i="11"/>
  <c r="AG38" i="11"/>
  <c r="AG34" i="11"/>
  <c r="AG30" i="11"/>
  <c r="AG25" i="11"/>
  <c r="AG22" i="11"/>
  <c r="AG15" i="11"/>
  <c r="AG7" i="11"/>
  <c r="AG49" i="11"/>
  <c r="AG46" i="11"/>
  <c r="AG44" i="11"/>
  <c r="AG39" i="11"/>
  <c r="AG36" i="11"/>
  <c r="AG32" i="11"/>
  <c r="AG28" i="11"/>
  <c r="AG24" i="11"/>
  <c r="AG19" i="11"/>
  <c r="AG13" i="11"/>
  <c r="AG9" i="11"/>
  <c r="AG42" i="11"/>
  <c r="AG35" i="11"/>
  <c r="AG29" i="11"/>
  <c r="AG26" i="11"/>
  <c r="AG21" i="11"/>
  <c r="AG14" i="11"/>
  <c r="AG8" i="11"/>
  <c r="AG41" i="11"/>
  <c r="AG17" i="11"/>
  <c r="AG6" i="11"/>
  <c r="AG33" i="11"/>
  <c r="AG20" i="11"/>
  <c r="E5" i="1"/>
  <c r="B41" i="1"/>
  <c r="B42" i="1"/>
  <c r="B29" i="1" l="1"/>
  <c r="D37" i="1"/>
  <c r="C37" i="1"/>
  <c r="E37" i="1" s="1"/>
  <c r="A37" i="1"/>
  <c r="C36" i="1"/>
  <c r="E36" i="1" s="1"/>
  <c r="D28" i="1"/>
  <c r="B37" i="1"/>
  <c r="D36" i="1"/>
  <c r="B36" i="1"/>
  <c r="D35" i="1"/>
  <c r="B35" i="1"/>
  <c r="A36" i="1"/>
  <c r="C35" i="1"/>
  <c r="E35" i="1" s="1"/>
  <c r="D34" i="1"/>
  <c r="B34" i="1"/>
  <c r="D33" i="1"/>
  <c r="B33" i="1"/>
  <c r="D32" i="1"/>
  <c r="B32" i="1"/>
  <c r="A35" i="1"/>
  <c r="C34" i="1"/>
  <c r="E34" i="1" s="1"/>
  <c r="A34" i="1"/>
  <c r="C33" i="1"/>
  <c r="E33" i="1" s="1"/>
  <c r="A33" i="1"/>
  <c r="C32" i="1"/>
  <c r="E32" i="1" s="1"/>
  <c r="A32" i="1"/>
  <c r="C28" i="1"/>
  <c r="E28" i="1" s="1"/>
  <c r="A28" i="1"/>
  <c r="D31" i="1"/>
  <c r="C31" i="1"/>
  <c r="E31" i="1" s="1"/>
  <c r="B31" i="1"/>
  <c r="A31" i="1"/>
  <c r="D30" i="1"/>
  <c r="C30" i="1"/>
  <c r="E30" i="1" s="1"/>
  <c r="B30" i="1"/>
  <c r="A30" i="1"/>
  <c r="D29" i="1"/>
  <c r="C29" i="1"/>
  <c r="E29" i="1" s="1"/>
  <c r="A29" i="1"/>
  <c r="B28" i="1"/>
</calcChain>
</file>

<file path=xl/sharedStrings.xml><?xml version="1.0" encoding="utf-8"?>
<sst xmlns="http://schemas.openxmlformats.org/spreadsheetml/2006/main" count="3458" uniqueCount="1287">
  <si>
    <t>Indicador</t>
  </si>
  <si>
    <t>Valor</t>
  </si>
  <si>
    <t>Projetos</t>
  </si>
  <si>
    <t>Saídas</t>
  </si>
  <si>
    <t>Cobertura</t>
  </si>
  <si>
    <t>Links registrados</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</si>
  <si>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</si>
  <si>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</si>
  <si>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</si>
  <si>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</si>
  <si>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</si>
  <si>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</si>
  <si>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</si>
  <si>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</si>
  <si>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</si>
  <si>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</si>
  <si>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</si>
  <si>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</si>
  <si>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</si>
  <si>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</si>
  <si>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</si>
  <si>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</si>
  <si>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</si>
  <si>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</si>
  <si>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</si>
  <si>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</si>
  <si>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</si>
  <si>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</si>
  <si>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</si>
  <si>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</si>
  <si>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</si>
  <si>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</si>
  <si>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</si>
  <si>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</si>
  <si>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</si>
  <si>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</si>
  <si>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</si>
  <si>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</si>
  <si>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</si>
  <si>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</si>
  <si>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</si>
  <si>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</si>
  <si>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</si>
  <si>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</si>
  <si>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</si>
  <si>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</si>
  <si>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</si>
  <si>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</si>
  <si>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</si>
  <si>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</si>
  <si>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</si>
  <si>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</si>
  <si>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</si>
  <si>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</si>
  <si>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</si>
  <si>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</si>
  <si>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</si>
  <si>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</si>
  <si>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</si>
  <si>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</si>
  <si>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</si>
  <si>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</si>
  <si>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</si>
  <si>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</si>
  <si>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</si>
  <si>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</si>
  <si>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</si>
  <si>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</si>
  <si>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</si>
  <si>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</si>
  <si>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</si>
  <si>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</si>
  <si>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</si>
  <si>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</si>
  <si>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</si>
  <si>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</si>
  <si>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</si>
  <si>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</si>
  <si>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</si>
  <si>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</si>
  <si>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</si>
  <si>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</si>
  <si>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</si>
  <si>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</si>
  <si>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</si>
  <si>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</si>
  <si>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</si>
  <si>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</si>
  <si>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</si>
  <si>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</si>
  <si>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</si>
  <si>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</si>
  <si>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</si>
  <si>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</si>
  <si>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</si>
  <si>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</si>
  <si>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</si>
  <si>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</si>
  <si>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</si>
  <si>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</si>
  <si>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</si>
  <si>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</si>
  <si>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</si>
  <si>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</si>
  <si>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</si>
  <si>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</si>
  <si>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</si>
  <si>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</si>
  <si>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</si>
  <si>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</si>
  <si>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</si>
  <si>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</si>
  <si>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</si>
  <si>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</si>
  <si>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</si>
  <si>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</si>
  <si>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</si>
  <si>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</si>
  <si>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</si>
  <si>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</si>
  <si>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</si>
  <si>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</si>
  <si>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</si>
  <si>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</si>
  <si>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</si>
  <si>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</si>
  <si>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</si>
  <si>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</si>
  <si>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</si>
  <si>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</si>
  <si>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</si>
  <si>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</si>
  <si>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</si>
  <si>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</si>
  <si>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</si>
  <si>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</si>
  <si>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</si>
  <si>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</si>
  <si>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</si>
  <si>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</si>
  <si>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</si>
  <si>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</si>
  <si>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</si>
  <si>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</si>
  <si>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</si>
  <si>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</si>
  <si>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</si>
  <si>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</si>
  <si>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</si>
  <si>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</si>
  <si>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</si>
  <si>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</si>
  <si>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</si>
  <si>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</si>
  <si>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</si>
  <si>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</si>
  <si>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</si>
  <si>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</si>
  <si>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</si>
  <si>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</si>
  <si>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</si>
  <si>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</si>
  <si>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</si>
  <si>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</si>
  <si>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</si>
  <si>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</si>
  <si>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</si>
  <si>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</si>
  <si>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</si>
  <si>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</si>
  <si>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</si>
  <si>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</si>
  <si>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</si>
  <si>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</si>
  <si>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</si>
  <si>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</si>
  <si>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</si>
  <si>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</si>
  <si>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</si>
  <si>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</si>
  <si>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</si>
  <si>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</si>
  <si>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</si>
  <si>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</si>
  <si>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</si>
  <si>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</si>
  <si>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</si>
  <si>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</si>
  <si>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</si>
  <si>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</si>
  <si>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</si>
  <si>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</si>
  <si>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</si>
  <si>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</si>
  <si>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</si>
  <si>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</si>
  <si>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</si>
  <si>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</si>
  <si>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</si>
  <si>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</si>
  <si>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</si>
  <si>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</si>
  <si>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</si>
  <si>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</si>
  <si>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</si>
  <si>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</si>
  <si>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</si>
  <si>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</si>
  <si>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</si>
  <si>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</si>
  <si>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</si>
  <si>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</si>
  <si>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</si>
  <si>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</si>
  <si>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</si>
  <si>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</si>
  <si>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</si>
  <si>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</si>
  <si>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</si>
  <si>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</si>
  <si>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</si>
  <si>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</si>
  <si>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</si>
  <si>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</si>
  <si>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</si>
  <si>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</si>
  <si>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</si>
  <si>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</si>
  <si>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</si>
  <si>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</si>
  <si>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</si>
  <si>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</si>
  <si>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</si>
  <si>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</si>
  <si>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</si>
  <si>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</si>
  <si>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</si>
  <si>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</si>
  <si>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</si>
  <si>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</si>
  <si>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</si>
  <si>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</si>
  <si>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</si>
  <si>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</si>
  <si>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</si>
  <si>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</si>
  <si>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</si>
  <si>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</si>
  <si>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</si>
  <si>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</si>
  <si>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</si>
  <si>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</si>
  <si>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</si>
  <si>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</si>
  <si>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</si>
  <si>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</si>
  <si>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</si>
  <si>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</si>
  <si>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</si>
  <si>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</si>
  <si>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</si>
  <si>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</si>
  <si>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</si>
  <si>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</si>
  <si>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</si>
  <si>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</si>
  <si>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</si>
  <si>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</si>
  <si>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</si>
  <si>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</si>
  <si>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</si>
  <si>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</si>
  <si>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</si>
  <si>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</si>
  <si>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</si>
  <si>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</si>
  <si>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</si>
  <si>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</si>
  <si>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</si>
  <si>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</si>
  <si>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</si>
  <si>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</si>
  <si>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</si>
  <si>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</si>
  <si>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</si>
  <si>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</si>
  <si>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</si>
  <si>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</si>
  <si>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</si>
  <si>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</si>
  <si>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</si>
  <si>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</si>
  <si>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</si>
  <si>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</si>
  <si>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</si>
  <si>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</si>
  <si>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</si>
  <si>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</si>
  <si>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</si>
  <si>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</si>
  <si>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</si>
  <si>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</si>
  <si>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</si>
  <si>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</si>
  <si>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</si>
  <si>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</si>
  <si>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</si>
  <si>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</si>
  <si>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</si>
  <si>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</si>
  <si>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</si>
  <si>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</si>
  <si>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</si>
  <si>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</si>
  <si>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</si>
  <si>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</si>
  <si>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</si>
  <si>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</si>
  <si>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</si>
  <si>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</si>
  <si>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</si>
  <si>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</si>
  <si>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</si>
  <si>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</si>
  <si>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</si>
  <si>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</si>
  <si>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</si>
  <si>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</si>
  <si>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</si>
  <si>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</si>
  <si>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</si>
  <si>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</si>
  <si>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</si>
  <si>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</si>
  <si>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</si>
  <si>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</si>
  <si>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</si>
  <si>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</si>
  <si>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</si>
  <si>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</si>
  <si>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</si>
  <si>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</si>
  <si>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</si>
  <si>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</si>
  <si>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</si>
  <si>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</si>
  <si>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</si>
  <si>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</si>
  <si>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</si>
  <si>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</si>
  <si>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</si>
  <si>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</si>
  <si>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</si>
  <si>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</si>
  <si>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</si>
  <si>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</si>
  <si>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</si>
  <si>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</si>
  <si>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</si>
  <si>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</si>
  <si>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</si>
  <si>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</si>
  <si>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</si>
  <si>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</si>
  <si>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</si>
  <si>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</si>
  <si>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</si>
  <si>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</si>
  <si>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</si>
  <si>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</si>
  <si>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</si>
  <si>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</si>
  <si>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</si>
  <si>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</si>
  <si>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</si>
  <si>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</si>
  <si>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</si>
  <si>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</si>
  <si>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</si>
  <si>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</si>
  <si>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</si>
  <si>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</si>
  <si>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</si>
  <si>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</si>
  <si>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</si>
  <si>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</si>
  <si>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</si>
  <si>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</si>
  <si>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</si>
  <si>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</si>
  <si>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</si>
  <si>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</si>
  <si>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</si>
  <si>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</si>
  <si>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</si>
  <si>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</si>
  <si>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</si>
  <si>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</si>
  <si>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</si>
  <si>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</si>
  <si>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</si>
  <si>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</si>
  <si>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</si>
  <si>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</si>
  <si>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</si>
  <si>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</si>
  <si>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</si>
  <si>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</si>
  <si>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</si>
  <si>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</si>
  <si>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</si>
  <si>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</si>
  <si>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</si>
  <si>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</si>
  <si>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</si>
  <si>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</si>
  <si>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</si>
  <si>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</si>
  <si>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</si>
  <si>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</si>
  <si>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</si>
  <si>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</si>
  <si>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</si>
  <si>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</si>
  <si>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</si>
  <si>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</si>
  <si>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</si>
  <si>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</si>
  <si>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</si>
  <si>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</si>
  <si>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</si>
  <si>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</si>
  <si>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</si>
  <si>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</si>
  <si>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</si>
  <si>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</si>
  <si>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</si>
  <si>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</si>
  <si>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</si>
  <si>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</si>
  <si>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</si>
  <si>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</si>
  <si>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</si>
  <si>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</si>
  <si>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</si>
  <si>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</si>
  <si>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</si>
  <si>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</si>
  <si>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</si>
  <si>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</si>
  <si>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</si>
  <si>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</si>
  <si>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</si>
  <si>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</si>
  <si>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</si>
  <si>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</si>
  <si>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</si>
  <si>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</si>
  <si>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</si>
  <si>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</si>
  <si>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</si>
  <si>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</si>
  <si>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</si>
  <si>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</si>
  <si>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</si>
  <si>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</si>
  <si>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</si>
  <si>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</si>
  <si>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</si>
  <si>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</si>
  <si>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</si>
  <si>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</si>
  <si>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</si>
  <si>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</si>
  <si>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</si>
  <si>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</si>
  <si>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</si>
  <si>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</si>
  <si>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</si>
  <si>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</si>
  <si>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</si>
  <si>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</si>
  <si>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</si>
  <si>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</si>
  <si>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</si>
  <si>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</si>
  <si>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</si>
  <si>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</si>
  <si>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</si>
  <si>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</si>
  <si>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</si>
  <si>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</si>
  <si>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</si>
  <si>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</si>
  <si>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</si>
  <si>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</si>
  <si>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</si>
  <si>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</si>
  <si>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</si>
  <si>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</si>
  <si>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</si>
  <si>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</si>
  <si>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</si>
  <si>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</si>
  <si>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</si>
  <si>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</si>
  <si>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</si>
  <si>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</si>
  <si>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</si>
  <si>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</si>
  <si>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</si>
  <si>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</si>
  <si>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</si>
  <si>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</si>
  <si>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</si>
  <si>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</si>
  <si>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</si>
  <si>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</si>
  <si>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</si>
  <si>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</si>
  <si>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</si>
  <si>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</si>
  <si>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</si>
  <si>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</si>
  <si>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</si>
  <si>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</si>
  <si>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</si>
  <si>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</si>
  <si>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</si>
  <si>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</si>
  <si>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</si>
  <si>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</si>
  <si>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</si>
  <si>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</si>
  <si>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</si>
  <si>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</si>
  <si>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</si>
  <si>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</si>
  <si>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</si>
  <si>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</si>
  <si>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</si>
  <si>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</si>
  <si>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</si>
  <si>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</si>
  <si>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</si>
  <si>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</si>
  <si>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</si>
  <si>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</si>
  <si>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</si>
  <si>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</si>
  <si>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</si>
  <si>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</si>
  <si>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</si>
  <si>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</si>
  <si>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</si>
  <si>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</si>
  <si>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</si>
  <si>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</si>
  <si>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</si>
  <si>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</si>
  <si>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</si>
  <si>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</si>
  <si>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</si>
  <si>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</si>
  <si>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</si>
  <si>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</si>
  <si>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</si>
  <si>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</si>
  <si>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</si>
  <si>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</si>
  <si>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</si>
  <si>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</si>
  <si>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</si>
  <si>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</si>
  <si>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</si>
  <si>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</si>
  <si>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</si>
  <si>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</si>
  <si>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</si>
  <si>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</si>
  <si>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</si>
  <si>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</si>
  <si>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</si>
  <si>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</si>
  <si>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</si>
  <si>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</si>
  <si>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</si>
  <si>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</si>
  <si>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</si>
  <si>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</si>
  <si>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</si>
  <si>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</si>
  <si>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</si>
  <si>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</si>
  <si>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</si>
  <si>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</si>
  <si>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</si>
  <si>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</si>
  <si>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</si>
  <si>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</si>
  <si>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</si>
  <si>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</si>
  <si>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</si>
  <si>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</si>
  <si>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</si>
  <si>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</si>
  <si>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</si>
  <si>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</si>
  <si>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</si>
  <si>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</si>
  <si>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</si>
  <si>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</si>
  <si>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</si>
  <si>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</si>
  <si>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</si>
  <si>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</si>
  <si>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</si>
  <si>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</si>
  <si>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</si>
  <si>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</si>
  <si>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</si>
  <si>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</si>
  <si>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</si>
  <si>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</si>
  <si>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</si>
  <si>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</si>
  <si>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</si>
  <si>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</si>
  <si>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</si>
  <si>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</si>
  <si>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</si>
  <si>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</si>
  <si>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</si>
  <si>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</si>
  <si>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</si>
  <si>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</si>
  <si>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</si>
  <si>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</si>
  <si>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</si>
  <si>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</si>
  <si>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</si>
  <si>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</si>
  <si>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</si>
  <si>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</si>
  <si>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</si>
  <si>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</si>
  <si>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</si>
  <si>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</si>
  <si>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</si>
  <si>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</si>
  <si>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</si>
  <si>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</si>
  <si>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</si>
  <si>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</si>
  <si>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</si>
  <si>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</si>
  <si>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</si>
  <si>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</si>
  <si>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</si>
  <si>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</si>
  <si>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</si>
  <si>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</si>
  <si>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</si>
  <si>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</si>
  <si>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</si>
  <si>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</si>
  <si>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</si>
  <si>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</si>
  <si>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</si>
  <si>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</si>
  <si>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</si>
  <si>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</si>
  <si>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</si>
  <si>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</si>
  <si>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</si>
  <si>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</si>
  <si>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</si>
  <si>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</si>
  <si>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</si>
  <si>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</si>
  <si>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</si>
  <si>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</si>
  <si>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</si>
  <si>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</si>
  <si>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</si>
  <si>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</si>
  <si>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</si>
  <si>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</si>
  <si>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</si>
  <si>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</si>
  <si>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</si>
  <si>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</si>
  <si>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</si>
  <si>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</si>
  <si>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</si>
  <si>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</si>
  <si>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</si>
  <si>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</si>
  <si>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</si>
  <si>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</si>
  <si>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</si>
  <si>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</si>
  <si>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</si>
  <si>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</si>
  <si>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</si>
  <si>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</si>
  <si>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</si>
  <si>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</si>
  <si>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</si>
  <si>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</si>
  <si>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</si>
  <si>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</si>
  <si>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</si>
  <si>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</si>
  <si>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</si>
  <si>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</si>
  <si>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</si>
  <si>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</si>
  <si>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</si>
  <si>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</si>
  <si>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</si>
  <si>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</si>
  <si>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</si>
  <si>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</si>
  <si>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</si>
  <si>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</si>
  <si>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</si>
  <si>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</si>
  <si>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</si>
  <si>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</si>
  <si>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</si>
  <si>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</si>
  <si>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</si>
  <si>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</si>
  <si>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</si>
  <si>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</si>
  <si>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</si>
  <si>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</si>
  <si>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</si>
  <si>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</si>
  <si>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</si>
  <si>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</si>
  <si>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</si>
  <si>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</si>
  <si>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</si>
  <si>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</si>
  <si>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</si>
  <si>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</si>
  <si>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</si>
  <si>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</si>
  <si>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</si>
  <si>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</si>
  <si>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</si>
  <si>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</si>
  <si>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</si>
  <si>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</si>
  <si>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</si>
  <si>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</si>
  <si>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</si>
  <si>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</si>
  <si>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</si>
  <si>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</si>
  <si>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</si>
  <si>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</si>
  <si>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</si>
  <si>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</si>
  <si>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</si>
  <si>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</si>
  <si>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</si>
  <si>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</si>
  <si>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</si>
  <si>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</si>
  <si>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</si>
  <si>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</si>
  <si>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</si>
  <si>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</si>
  <si>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</si>
  <si>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</si>
  <si>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</si>
  <si>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</si>
  <si>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</si>
  <si>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</si>
  <si>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</si>
  <si>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</si>
  <si>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</si>
  <si>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</si>
  <si>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</si>
  <si>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</si>
  <si>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</si>
  <si>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</si>
  <si>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</si>
  <si>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</si>
  <si>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</si>
  <si>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</si>
  <si>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</si>
  <si>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</si>
  <si>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</si>
  <si>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</si>
  <si>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</si>
  <si>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</si>
  <si>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</si>
  <si>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</si>
  <si>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</si>
  <si>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</si>
  <si>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</si>
  <si>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</si>
  <si>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</si>
  <si>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</si>
  <si>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</si>
  <si>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</si>
  <si>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</si>
  <si>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</si>
  <si>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</si>
  <si>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</si>
  <si>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</si>
  <si>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</si>
  <si>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</si>
  <si>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</si>
  <si>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</si>
  <si>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</si>
  <si>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</si>
  <si>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</si>
  <si>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</si>
  <si>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</si>
  <si>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</si>
  <si>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</si>
  <si>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</si>
  <si>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</si>
  <si>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</si>
  <si>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</si>
  <si>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</si>
  <si>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</si>
  <si>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</si>
  <si>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</si>
  <si>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</si>
  <si>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</si>
  <si>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</si>
  <si>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</si>
  <si>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</si>
  <si>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</si>
  <si>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</si>
  <si>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</si>
  <si>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</si>
  <si>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</si>
  <si>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</si>
  <si>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</si>
  <si>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</si>
  <si>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</si>
  <si>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</si>
  <si>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</si>
  <si>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</si>
  <si>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</si>
  <si>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</si>
  <si>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</si>
  <si>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</si>
  <si>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</si>
  <si>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</si>
  <si>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</si>
  <si>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</si>
  <si>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</si>
  <si>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</si>
  <si>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</si>
  <si>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</si>
  <si>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</si>
  <si>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</si>
  <si>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</si>
  <si>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</si>
  <si>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</si>
  <si>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</si>
  <si>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</si>
  <si>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</si>
  <si>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</si>
  <si>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</si>
  <si>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</si>
  <si>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</si>
  <si>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</si>
  <si>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</si>
  <si>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</si>
  <si>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</si>
  <si>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</si>
  <si>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</si>
  <si>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</si>
  <si>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</si>
  <si>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</si>
  <si>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</si>
  <si>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</si>
  <si>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</si>
  <si>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</si>
  <si>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</si>
  <si>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</si>
  <si>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</si>
  <si>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</si>
  <si>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</si>
  <si>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</si>
  <si>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</si>
  <si>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</si>
  <si>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</si>
  <si>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</si>
  <si>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</si>
  <si>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</si>
  <si>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</si>
  <si>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</si>
  <si>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</si>
  <si>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</si>
  <si>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</si>
  <si>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</si>
  <si>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</si>
  <si>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</si>
  <si>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</si>
  <si>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</si>
  <si>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</si>
  <si>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</si>
  <si>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</si>
  <si>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</si>
  <si>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</si>
  <si>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</si>
  <si>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</si>
  <si>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</si>
  <si>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</si>
  <si>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</si>
  <si>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</si>
  <si>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</si>
  <si>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</si>
  <si>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</si>
  <si>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</si>
  <si>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</si>
  <si>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</si>
  <si>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</si>
  <si>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</si>
  <si>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</si>
  <si>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</si>
  <si>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</si>
  <si>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</si>
  <si>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</si>
  <si>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</si>
  <si>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</si>
  <si>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</si>
  <si>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</si>
  <si>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</si>
  <si>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</si>
  <si>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</si>
  <si>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</si>
  <si>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</si>
  <si>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</si>
  <si>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</si>
  <si>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</si>
  <si>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</si>
  <si>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</si>
  <si>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</si>
  <si>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</si>
  <si>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</si>
  <si>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</si>
  <si>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</si>
  <si>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</si>
  <si>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</si>
  <si>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</si>
  <si>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</si>
  <si>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</si>
  <si>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</si>
  <si>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</si>
  <si>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</si>
  <si>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</si>
  <si>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</si>
  <si>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</si>
  <si>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</si>
  <si>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</si>
  <si>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</si>
  <si>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</si>
  <si>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</si>
  <si>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</si>
  <si>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</si>
  <si>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</si>
  <si>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</si>
  <si>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</si>
  <si>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</si>
  <si>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</si>
  <si>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</si>
  <si>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</si>
  <si>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</si>
  <si>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</si>
  <si>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</si>
  <si>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</si>
  <si>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</si>
  <si>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</si>
  <si>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</si>
  <si>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</si>
  <si>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</si>
  <si>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</si>
  <si>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</si>
  <si>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</si>
  <si>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</si>
  <si>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</si>
  <si>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</si>
  <si>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</si>
  <si>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</si>
  <si>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</si>
  <si>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</si>
  <si>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</si>
  <si>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</si>
  <si>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</si>
  <si>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</si>
  <si>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</si>
  <si>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</si>
  <si>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</si>
  <si>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</si>
  <si>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</si>
  <si>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</si>
  <si>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</si>
  <si>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</si>
  <si>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</si>
  <si>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Temas ativos</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</si>
  <si>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</si>
  <si>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</si>
  <si>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</si>
  <si>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</si>
  <si>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</si>
  <si>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</si>
  <si>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</si>
  <si>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</si>
  <si>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</si>
  <si>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</si>
  <si>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</si>
  <si>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</si>
  <si>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</si>
  <si>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</si>
  <si>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</si>
  <si>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</si>
  <si>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</si>
  <si>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</si>
  <si>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</si>
  <si>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</si>
  <si>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</si>
  <si>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</si>
  <si>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</si>
  <si>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</si>
  <si>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</si>
  <si>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</si>
  <si>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</si>
  <si>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</si>
  <si>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</si>
  <si>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</si>
  <si>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</si>
  <si>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</si>
  <si>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</si>
  <si>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</si>
  <si>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</si>
  <si>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</si>
  <si>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</si>
  <si>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</si>
  <si>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</si>
  <si>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</si>
  <si>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</si>
  <si>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</si>
  <si>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</si>
  <si>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</si>
  <si>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</si>
  <si>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</si>
  <si>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</si>
  <si>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</si>
  <si>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</si>
  <si>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</si>
  <si>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</si>
  <si>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</si>
  <si>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</si>
  <si>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</si>
  <si>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</si>
  <si>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</si>
  <si>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</si>
  <si>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</si>
  <si>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</si>
  <si>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</si>
  <si>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</si>
  <si>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</si>
  <si>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</si>
  <si>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</si>
  <si>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</si>
  <si>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</si>
  <si>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</si>
  <si>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</si>
  <si>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</si>
  <si>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</si>
  <si>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</si>
  <si>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</si>
  <si>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</si>
  <si>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</si>
  <si>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</si>
  <si>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</si>
  <si>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</si>
  <si>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</si>
  <si>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</si>
  <si>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</si>
  <si>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</si>
  <si>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</si>
  <si>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</si>
  <si>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</si>
  <si>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</si>
  <si>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</si>
  <si>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</si>
  <si>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</si>
  <si>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</si>
  <si>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</si>
  <si>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</si>
  <si>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</si>
  <si>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Temas com grafia divergente (ex.: "algebra" vs "Álgebra")</t>
  </si>
  <si>
    <t>Concluídas sem link</t>
  </si>
  <si>
    <t>Links sem marcação</t>
  </si>
  <si>
    <t>Saídas concluídas (canais)</t>
  </si>
  <si>
    <t>https://www.linkedin.com/pulse/apply-vs-npselect-pandas-uma-an%C3%A1lise-quantitativa-de-santos-pereira-0u32f/?trackingId=7PoWseq%2BSxi1JMzABWt3FA%3D%3D</t>
  </si>
  <si>
    <t>https://www.linkedin.com/posts/ozsp12_apply-vs-npselect-no-pandas-uma-an%C3%A1lise-activity-7394895580038238208-vA47?utm_source=share&amp;utm_medium=member_desktop&amp;rcm=ACoAAAYVLuwBRoOGLctydlL6oZP7Ffwirgxbs9Q</t>
  </si>
  <si>
    <t>Título</t>
  </si>
  <si>
    <t>Link</t>
  </si>
  <si>
    <t>Publicação</t>
  </si>
  <si>
    <t>Duração</t>
  </si>
  <si>
    <t>2026-08-04</t>
  </si>
  <si>
    <t>00:00:12</t>
  </si>
  <si>
    <t>2026-08-02</t>
  </si>
  <si>
    <t>00:04:02</t>
  </si>
  <si>
    <t>Equação diofantina sem solução: uma demonstração formal</t>
  </si>
  <si>
    <t>https://www.youtube.com/watch?v=QzFgALxe2N8</t>
  </si>
  <si>
    <t>2026-08-01</t>
  </si>
  <si>
    <t>00:01:59</t>
  </si>
  <si>
    <t>2026-07-29</t>
  </si>
  <si>
    <t>00:13:41</t>
  </si>
  <si>
    <t>Seções Cônicas</t>
  </si>
  <si>
    <t>https://www.youtube.com/watch?v=zvC9Bpsa-2s</t>
  </si>
  <si>
    <t>2026-07-23</t>
  </si>
  <si>
    <t>00:07:54</t>
  </si>
  <si>
    <t>Can You Solve This Probability Puzzle? | Combinatorics Challenge</t>
  </si>
  <si>
    <t>Five different numbers are selected from one to eighteen and arranged from smallest to largest. The challenge is to determine the probability that seven appears in the second position and eleven appears in the fourth position. Pause the video, choose your answer, and then follow the handwritten solution.</t>
  </si>
  <si>
    <t>https://www.youtube.com/watch?v=ZZHex64CWnU</t>
  </si>
  <si>
    <t>2026-07-18</t>
  </si>
  <si>
    <t>Handwritten notes on the Klein–Gordon equation,</t>
  </si>
  <si>
    <t>concise set of handwritten notes on the Klein–Gordon equation, developed from the relativistic relation between energy and momentum and organized through its covariant formulation.</t>
  </si>
  <si>
    <t>https://www.youtube.com/watch?v=Y3y8SKBVphI</t>
  </si>
  <si>
    <t>2026-07-15</t>
  </si>
  <si>
    <t>Hidrostática: Como Ordenar as Densidades de Cinco Esferas?</t>
  </si>
  <si>
    <t>Cinco esferas de volume igual são colocadas em um recipiente contendo um líquido de densidade conhecida. Uma delas flutua parcialmente submersa, duas permanecem totalmente submersas em alturas diferentes e outras duas repousam no fundo. 
Neste vídeo, resolvemos o problema aplicando o princípio de Arquimedes e analisando o equilíbrio entre o peso, o empuxo e a força normal. Também discutimos por que a profundidade não altera o empuxo sobre um corpo completamente submerso em um líquido homogêneo e por que não é possível determinar a ordem das densidades das duas esferas apoiadas no fundo apenas com as informações fornecidas.
Referências
[1] H. Moysés Nussenzveig, Curso de Física Básica — Volume 2: Fluidos, Oscilações e Ondas, Calor.
[2] David Halliday, Robert Resnick e Jearl Walker, Fundamentos de Física.
[3] Raymond A. Serway e John W. Jewett, Física para Cientistas e Engenheiros.</t>
  </si>
  <si>
    <t>https://www.youtube.com/watch?v=mNLSu9W8MZA</t>
  </si>
  <si>
    <t>2026-07-14</t>
  </si>
  <si>
    <t>Types of numbers from analytic number theory with python animation</t>
  </si>
  <si>
    <t>I created a GitHub repository dedicated to number theory and mathematical visualization. In it, I present the construction, using Python and Matplotlib, of the animation attached to this post, which illustrates different classes of numbers between 1 and 100, such as primes, composites, semiprimes, perfect numbers, Fibonacci, Pell, Kaprekar, and others. The repository brings together the code, mathematical definitions, and export options for MP4, GIF, and PNG, along with instructions for customizing the animation.
https://github.com/ozsp12/number_types
#NumberTheory #Python #Matplotlib #Mathematics #DataVisualization #ScientificComputing #GitHub</t>
  </si>
  <si>
    <t>https://www.youtube.com/watch?v=63HE6owk0XQ</t>
  </si>
  <si>
    <t>2026-07-13</t>
  </si>
  <si>
    <t>00:02:15</t>
  </si>
  <si>
    <t>O problema de polias que engana quase todo mundo</t>
  </si>
  <si>
    <t>Esse é um daqueles problemas de física que parecem simples, mas derrubam muita gente.</t>
  </si>
  <si>
    <t>https://www.youtube.com/watch?v=GvLIOXMsUlA</t>
  </si>
  <si>
    <t>2026-07-09</t>
  </si>
  <si>
    <t>00:02:33</t>
  </si>
  <si>
    <t>Quando um Meme Entrega uma Prova Matemática</t>
  </si>
  <si>
    <t>Você já viu o meme do 18 − 9 que entra em loop infinito? Por trás da piada, existe uma propriedade matemática simples e bonita: para números de 10 a 19, subtrair 9 resulta exatamente na soma dos algarismos. O meme virou macete, o macete virou teorema, e o teorema ganhou demonstração. Matemática também nasce da zoeira.
#matemática #enem #vestibular #professor #educação #curiosidades #meme #matematicabasica #aprendanotiktok</t>
  </si>
  <si>
    <t>https://www.youtube.com/watch?v=ymQxXvnGH-M</t>
  </si>
  <si>
    <t>2026-07-05</t>
  </si>
  <si>
    <t>2026-05-14</t>
  </si>
  <si>
    <t>00:09:04</t>
  </si>
  <si>
    <t>2026-05-08</t>
  </si>
  <si>
    <t>00:11:13</t>
  </si>
  <si>
    <t>2026-05-06</t>
  </si>
  <si>
    <t>00:06:29</t>
  </si>
  <si>
    <t>2026-05-02</t>
  </si>
  <si>
    <t>00:11:05</t>
  </si>
  <si>
    <t>2026-04-25</t>
  </si>
  <si>
    <t>00:12:02</t>
  </si>
  <si>
    <t>2026-04-23</t>
  </si>
  <si>
    <t>00:06:56</t>
  </si>
  <si>
    <t>2026-01-07</t>
  </si>
  <si>
    <t>01:09:31</t>
  </si>
  <si>
    <t>2026-01-04</t>
  </si>
  <si>
    <t>00:43:08</t>
  </si>
  <si>
    <t>2026-01-01</t>
  </si>
  <si>
    <t>00:42:06</t>
  </si>
  <si>
    <t>2025-12-31</t>
  </si>
  <si>
    <t>00:34:11</t>
  </si>
  <si>
    <t>00:40:04</t>
  </si>
  <si>
    <t>2025-12-30</t>
  </si>
  <si>
    <t>00:23:04</t>
  </si>
  <si>
    <t>2025-12-29</t>
  </si>
  <si>
    <t>00:22:29</t>
  </si>
  <si>
    <t>2025-12-27</t>
  </si>
  <si>
    <t>00:39:31</t>
  </si>
  <si>
    <t>01:25:23</t>
  </si>
  <si>
    <t>2025-12-26</t>
  </si>
  <si>
    <t>00:36:00</t>
  </si>
  <si>
    <t>2025-12-21</t>
  </si>
  <si>
    <t>00:18:43</t>
  </si>
  <si>
    <t>2025-12-17</t>
  </si>
  <si>
    <t>00:24:50</t>
  </si>
  <si>
    <t>2025-12-15</t>
  </si>
  <si>
    <t>00:25:23</t>
  </si>
  <si>
    <t>2025-12-10</t>
  </si>
  <si>
    <t>00:42:23</t>
  </si>
  <si>
    <t>O vídeo apresenta uma explicação do teste não paramétrico de Wilcoxon, destacando sua utilidade quando a suposição de normalidade não pode ser assumida. A exposição enfatiza quando o método é apropriado, seus limites práticos e como aplicá-lo de forma tecnicamente consistente.</t>
  </si>
  <si>
    <t>2025-11-26</t>
  </si>
  <si>
    <t>00:28:46</t>
  </si>
  <si>
    <t>2025-11-22</t>
  </si>
  <si>
    <t>00:22:01</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</si>
  <si>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avaliam-se os comportamentos de ambos os métodos em diferentes tamanhos de dados, variando de 10 a 1 milhão de linhas. 
Notebook Jupyter: 
https://github.com/ozsp12/oz_youtube/blob/main/videos/034_cs_algorithms_analise_complexidade_pandas_vs_numpy/apply_vs_select_methods.ipynb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</si>
  <si>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2025-11-14</t>
  </si>
  <si>
    <t>00:16:20</t>
  </si>
  <si>
    <t>2025-10-20</t>
  </si>
  <si>
    <t>00:05:56</t>
  </si>
  <si>
    <t>2025-10-17</t>
  </si>
  <si>
    <t>00:01:39</t>
  </si>
  <si>
    <t>#stem #maths #olimpiadasmatematicas #ramatematica #education #mathematics</t>
  </si>
  <si>
    <t>https://www.youtube.com/watch?v=vk3Ew9gxj4k</t>
  </si>
  <si>
    <t>2025-10-13</t>
  </si>
  <si>
    <t>00:00:17</t>
  </si>
  <si>
    <t>#stem #maths #olimpiadasmatematicas #mathematics #ramatematica #education #sdah</t>
  </si>
  <si>
    <t>https://www.youtube.com/watch?v=uOWYMCiI_fA</t>
  </si>
  <si>
    <t>00:00:18</t>
  </si>
  <si>
    <t>#stem #maths #olimpiadasmatematicas #mathematics #education</t>
  </si>
  <si>
    <t>derivative of x^n</t>
  </si>
  <si>
    <t>https://www.youtube.com/watch?v=YifLDTrwCa8</t>
  </si>
  <si>
    <t>00:00:27</t>
  </si>
  <si>
    <t>#stem #olimpiadasmatematicas #mathematics #education</t>
  </si>
  <si>
    <t>https://www.youtube.com/watch?v=Y5GyN7rkBw0</t>
  </si>
  <si>
    <t>00:00:22</t>
  </si>
  <si>
    <t>Simple equation #stem #maths #olimpiadasmatematicas #mathematics #educaçãomatemática #education</t>
  </si>
  <si>
    <t>https://www.youtube.com/watch?v=R6VnAXdwiH8</t>
  </si>
  <si>
    <t>2025-10-12</t>
  </si>
  <si>
    <t>00:00:19</t>
  </si>
  <si>
    <t>2025-10-04</t>
  </si>
  <si>
    <t>00:03:09</t>
  </si>
  <si>
    <t>2025-09-29</t>
  </si>
  <si>
    <t>00:04:56</t>
  </si>
  <si>
    <t>2025-09-28</t>
  </si>
  <si>
    <t>00:08:25</t>
  </si>
  <si>
    <t>2025-09-25</t>
  </si>
  <si>
    <t>00:07:15</t>
  </si>
  <si>
    <t>2025-09-19</t>
  </si>
  <si>
    <t>00:11:28</t>
  </si>
  <si>
    <t>2025-08-09</t>
  </si>
  <si>
    <t>00:05:43</t>
  </si>
  <si>
    <t>Dedução de expressão #foryou #maths #mathstricks #sdah #mathgenius #fyp #fypyoutuber  #gifted</t>
  </si>
  <si>
    <t>Consegue acompanhar o raciocínio? Só para quem é inteligente! Se conseguir, você se encontra no top 2% da população!
Can you follow the steps? Only for smart people! If you follow, you are in the top 2%!</t>
  </si>
  <si>
    <t>https://www.youtube.com/watch?v=c4GlnXAY9eE</t>
  </si>
  <si>
    <t>2025-08-03</t>
  </si>
  <si>
    <t>https://www.youtube.com/watch?v=7-Lxh-yTNl0</t>
  </si>
  <si>
    <t>2025-08-01</t>
  </si>
  <si>
    <t>Dedução de expressão #foryou #maths #mathstricks #sdah #mathgenius #fyp #fypyoutube #gifted</t>
  </si>
  <si>
    <t>https://www.youtube.com/watch?v=t1ry23INzLk</t>
  </si>
  <si>
    <t>Resolução de equação #short #foryou #maths #mathstricks #mathsfun #sdah #mathgenius</t>
  </si>
  <si>
    <t>Consegue acompanhar o raciocínio? Só para quem é inteligente! Se conseguir, você se encontra no top 2% da população!
Can you follow the steps? Only for smart people!</t>
  </si>
  <si>
    <t>https://www.youtube.com/watch?v=r4VlkcjmK2U</t>
  </si>
  <si>
    <t>2025-07-30</t>
  </si>
  <si>
    <t>00:00:28</t>
  </si>
  <si>
    <t>2025-07-27</t>
  </si>
  <si>
    <t>00:03:27</t>
  </si>
  <si>
    <t>2025-07-25</t>
  </si>
  <si>
    <t>00:04:24</t>
  </si>
  <si>
    <t>Soma dos n primeiros ímpares é igual à n² #maths #shorts #shortsfeed #mathstricks #funmaths #foryou</t>
  </si>
  <si>
    <t>Esse padrão matemático impressionante mostra como os números ímpares constroem quadrados perfeitos. Simples, elegante e profundamente satisfatório. 👇✨</t>
  </si>
  <si>
    <t>https://www.youtube.com/watch?v=Yn0JttpsrVQ</t>
  </si>
  <si>
    <t>2025-07-23</t>
  </si>
  <si>
    <t>00:00:31</t>
  </si>
  <si>
    <t>Sum of the n first n odd numbers is n² #maths #mathstricks #shorts #shortsfeed #shortsyoutube</t>
  </si>
  <si>
    <t>The sum of the first n consecutive odd numbers is n²
(also known as the odd number square identity)</t>
  </si>
  <si>
    <t>https://www.youtube.com/watch?v=Ibfhu1LQsCQ</t>
  </si>
  <si>
    <t>📚 Você consegue resolver essa? #shorts #matematicabasica #dicasdematematica #mathtricks #mathshorts</t>
  </si>
  <si>
    <t>📚 Você consegue resolver essa?
Uma equação simples, mas que muita gente erra! Vamos treinar a mente com um pouco de álgebra básica e raciocínio lógico.
#matematica #aprendamatematica #shorts #desafiomatematico #matematicabasica #educacao #dicasdematematica #algébra #ensinomedio #resolvaisso #estudantedededicacao #mathtricks #mathchallenge #mathshorts #tiktokensina #foryoupage #fy #foryoupage</t>
  </si>
  <si>
    <t>https://www.youtube.com/watch?v=WXRjzCGxcaM</t>
  </si>
  <si>
    <t>2025-07-21</t>
  </si>
  <si>
    <t>Simplifique a expressão #matematicabasica #dicasdematematica #algebra #ensinomedio #mathshorts</t>
  </si>
  <si>
    <t>📚 Você consegue resolver essa?
Uma expressão simples, mas que muita gente erra! Vamos treinar a mente com um pouco de álgebra básica e raciocínio lógico.</t>
  </si>
  <si>
    <t>https://www.youtube.com/watch?v=178OpIPLtl8</t>
  </si>
  <si>
    <t>2025-07-20</t>
  </si>
  <si>
    <t>00:05:17</t>
  </si>
  <si>
    <t>Efeito túnel da mecânica quântica - Simulação em Python</t>
  </si>
  <si>
    <t>Esta animação apresenta o fenômeno do tunelamento quântico, no qual um pacote de ondas representando uma partícula se aproxima de uma barreira de potencial com energia inferior à altura da barreira. Enquanto a física clássica proíbe a travessia, a mecânica quântica permite uma amplitude de probabilidade diferente de zero para que a partícula penetre e seja transmitida através da barreira. Esse comportamento é descrito pela equação de Schrödinger dependente do tempo e é fundamental para tecnologias modernas como diodos de tunelamento, computação quântica e fusão nuclear. A animação foi feita com Python.
#QuantumTunneling #QuantumMechanics #WaveFunction #PhysicsAnimation #QuantumPhysics #SciComm #STEM #Schrodinger #TunnelingEffect #QuantumWorld #PhysicsShorts #YouTubeShorts #TikTokScience #InstagramScience #PythonSimulation</t>
  </si>
  <si>
    <t>https://www.youtube.com/watch?v=h4B-unb2UGI</t>
  </si>
  <si>
    <t>2025-07-16</t>
  </si>
  <si>
    <t>00:00:09</t>
  </si>
  <si>
    <t>Quantum tunneling (potencial barrier) - Python simulation</t>
  </si>
  <si>
    <t>This animation illustrates the quantum mechanical phenomenon of tunneling, where a wave packet representing a particle approaches a potential barrier with an energy equal to or less than the barrier height. While classical physics forbids the particle from crossing, quantum mechanics allows a non-zero probability amplitude to penetrate and transmit through the barrier. This behavior is governed by the time-dependent Schrödinger equation and is fundamental to modern technologies, including tunnel diodes, quantum computing, and nuclear fusion. 
#QuantumTunneling #QuantumMechanics #WaveFunction #PhysicsAnimation #QuantumPhysics #SciComm #STEM #Schrodinger #TunnelingEffect #QuantumWorld #PhysicsShorts #YouTubeShorts #TikTokScience #InstagramScience</t>
  </si>
  <si>
    <t>https://www.youtube.com/watch?v=rhZG1Rgyg5Y</t>
  </si>
  <si>
    <t>Animação da soma de Riemann #soma #Riemann #calculo #integral</t>
  </si>
  <si>
    <t>Animação da soma de Riemann</t>
  </si>
  <si>
    <t>https://www.youtube.com/watch?v=VlJ784LCkhE</t>
  </si>
  <si>
    <t>2025-07-10</t>
  </si>
  <si>
    <t>2025-03-24</t>
  </si>
  <si>
    <t>00:20:37</t>
  </si>
  <si>
    <t>2025-03-20</t>
  </si>
  <si>
    <t>00:24:48</t>
  </si>
  <si>
    <t>Tipo</t>
  </si>
  <si>
    <t>Video</t>
  </si>
  <si>
    <t>Short</t>
  </si>
  <si>
    <t>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</si>
</sst>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6">
    <font>
      <sz val="11"/>
      <name val="Carlito"/>
    </font>
    <font>
      <sz val="11"/>
      <color theme="1"/>
      <name val="Calibri"/>
      <family val="2"/>
      <scheme val="minor"/>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sz val="11"/>
      <name val="Carlito"/>
    </font>
    <font>
      <b/>
      <sz val="16"/>
      <color rgb="FF1F3864"/>
      <name val="Calibri"/>
      <family val="2"/>
      <scheme val="minor"/>
    </font>
    <font>
      <i/>
      <sz val="9"/>
      <color rgb="FF595959"/>
      <name val="Calibri"/>
      <family val="2"/>
      <scheme val="minor"/>
    </font>
    <font>
      <b/>
      <sz val="9"/>
      <color rgb="FF595959"/>
      <name val="Calibri"/>
      <family val="2"/>
      <scheme val="minor"/>
    </font>
    <font>
      <b/>
      <sz val="14"/>
      <color rgb="FF1F3864"/>
      <name val="Calibri"/>
      <family val="2"/>
      <scheme val="minor"/>
    </font>
    <font>
      <b/>
      <sz val="12"/>
      <color rgb="FF1F3864"/>
      <name val="Calibri"/>
      <family val="2"/>
      <scheme val="minor"/>
    </font>
    <font>
      <b/>
      <sz val="11"/>
      <color rgb="FFFFFFFF"/>
      <name val="Calibri"/>
      <family val="2"/>
      <scheme val="minor"/>
    </font>
    <font>
      <u/>
      <sz val="11"/>
      <color theme="10"/>
      <name val="Calibri"/>
      <family val="2"/>
      <scheme val="minor"/>
    </font>
  </fonts>
  <fills count="8">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
      <patternFill patternType="solid">
        <fgColor theme="5"/>
        <bgColor indexed="64"/>
      </patternFill>
    </fill>
    <fill>
      <patternFill patternType="solid">
        <fgColor theme="0" tint="-0.499984740745262"/>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n">
        <color rgb="FFB4C6E7"/>
      </left>
      <right/>
      <top style="thin">
        <color rgb="FFB4C6E7"/>
      </top>
      <bottom style="thin">
        <color indexed="64"/>
      </bottom>
      <diagonal/>
    </border>
    <border>
      <left style="thin">
        <color indexed="64"/>
      </left>
      <right/>
      <top style="thin">
        <color indexed="64"/>
      </top>
      <bottom style="thin">
        <color indexed="64"/>
      </bottom>
      <diagonal/>
    </border>
  </borders>
  <cellStyleXfs count="4">
    <xf numFmtId="0" fontId="0" fillId="0" borderId="0"/>
    <xf numFmtId="0" fontId="6" fillId="0" borderId="0" applyNumberFormat="0" applyFill="0" applyBorder="0" applyAlignment="0" applyProtection="0"/>
    <xf numFmtId="9" fontId="8" fillId="0" borderId="0" applyFont="0" applyFill="0" applyBorder="0" applyAlignment="0" applyProtection="0"/>
    <xf numFmtId="0" fontId="1" fillId="0" borderId="0"/>
  </cellStyleXfs>
  <cellXfs count="42">
    <xf numFmtId="0" fontId="0" fillId="0" borderId="0" xfId="0"/>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2" borderId="3" xfId="0" applyFont="1" applyFill="1" applyBorder="1" applyAlignment="1">
      <alignment horizontal="left" vertical="center"/>
    </xf>
    <xf numFmtId="0" fontId="4" fillId="0" borderId="0" xfId="0" applyFont="1"/>
    <xf numFmtId="0" fontId="4" fillId="0" borderId="3" xfId="0" applyFont="1" applyBorder="1" applyAlignment="1">
      <alignment vertical="top"/>
    </xf>
    <xf numFmtId="0" fontId="4" fillId="0" borderId="3" xfId="0" applyFont="1" applyBorder="1" applyAlignment="1">
      <alignment horizontal="left" vertical="center"/>
    </xf>
    <xf numFmtId="0" fontId="4" fillId="0" borderId="3" xfId="0" applyFont="1" applyBorder="1" applyAlignment="1">
      <alignment horizontal="left" vertical="center" wrapText="1"/>
    </xf>
    <xf numFmtId="0" fontId="4" fillId="0" borderId="3" xfId="0" applyFont="1" applyBorder="1" applyAlignment="1">
      <alignment horizontal="center"/>
    </xf>
    <xf numFmtId="0" fontId="6" fillId="0" borderId="3" xfId="1" applyBorder="1"/>
    <xf numFmtId="0" fontId="7" fillId="0" borderId="3" xfId="1" applyFont="1" applyBorder="1"/>
    <xf numFmtId="0" fontId="9" fillId="0" borderId="0" xfId="0" applyFont="1" applyAlignment="1">
      <alignment vertical="center"/>
    </xf>
    <xf numFmtId="0" fontId="4"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4" fillId="0" borderId="4" xfId="0" applyFont="1" applyBorder="1" applyAlignment="1">
      <alignment vertical="center"/>
    </xf>
    <xf numFmtId="0" fontId="5" fillId="4" borderId="4" xfId="0" applyFont="1" applyFill="1" applyBorder="1" applyAlignment="1">
      <alignment vertical="center"/>
    </xf>
    <xf numFmtId="0" fontId="14" fillId="5" borderId="4" xfId="0" applyFont="1" applyFill="1" applyBorder="1" applyAlignment="1">
      <alignment horizontal="center" vertical="center"/>
    </xf>
    <xf numFmtId="1" fontId="4" fillId="0" borderId="4" xfId="0" applyNumberFormat="1" applyFont="1" applyBorder="1" applyAlignment="1">
      <alignment horizontal="center" vertical="center"/>
    </xf>
    <xf numFmtId="165" fontId="4" fillId="0" borderId="4" xfId="0" applyNumberFormat="1" applyFont="1" applyBorder="1" applyAlignment="1">
      <alignment horizontal="center" vertical="center"/>
    </xf>
    <xf numFmtId="1" fontId="5" fillId="4" borderId="4" xfId="0" applyNumberFormat="1" applyFont="1" applyFill="1" applyBorder="1" applyAlignment="1">
      <alignment horizontal="center" vertical="center"/>
    </xf>
    <xf numFmtId="165" fontId="5" fillId="4" borderId="4" xfId="0" applyNumberFormat="1" applyFont="1" applyFill="1" applyBorder="1" applyAlignment="1">
      <alignment horizontal="center" vertical="center"/>
    </xf>
    <xf numFmtId="2" fontId="4" fillId="0" borderId="4" xfId="0" applyNumberFormat="1" applyFont="1" applyBorder="1" applyAlignment="1">
      <alignment horizontal="center" vertical="center"/>
    </xf>
    <xf numFmtId="1" fontId="9" fillId="0" borderId="3" xfId="0" applyNumberFormat="1" applyFont="1" applyBorder="1" applyAlignment="1">
      <alignment horizontal="center" vertical="center"/>
    </xf>
    <xf numFmtId="164" fontId="9" fillId="0" borderId="7" xfId="0" applyNumberFormat="1" applyFont="1" applyBorder="1" applyAlignment="1">
      <alignment vertical="center"/>
    </xf>
    <xf numFmtId="1" fontId="9" fillId="0" borderId="7" xfId="0" applyNumberFormat="1" applyFont="1" applyBorder="1" applyAlignment="1">
      <alignment vertical="center"/>
    </xf>
    <xf numFmtId="0" fontId="14" fillId="5" borderId="5" xfId="0" applyFont="1" applyFill="1" applyBorder="1" applyAlignment="1">
      <alignment horizontal="center" vertical="center" wrapText="1"/>
    </xf>
    <xf numFmtId="0" fontId="14" fillId="5" borderId="6" xfId="0" applyFont="1" applyFill="1" applyBorder="1" applyAlignment="1">
      <alignment horizontal="center" vertical="center" wrapText="1"/>
    </xf>
    <xf numFmtId="0" fontId="4" fillId="0" borderId="0" xfId="0" applyFont="1" applyAlignment="1">
      <alignment wrapText="1"/>
    </xf>
    <xf numFmtId="0" fontId="4" fillId="0" borderId="3" xfId="0" applyFont="1" applyBorder="1" applyAlignment="1">
      <alignment horizontal="center" vertical="center" wrapText="1"/>
    </xf>
    <xf numFmtId="0" fontId="14" fillId="5" borderId="4" xfId="0" applyFont="1" applyFill="1" applyBorder="1" applyAlignment="1">
      <alignment horizontal="center" vertical="center" wrapText="1"/>
    </xf>
    <xf numFmtId="9" fontId="4" fillId="0" borderId="0" xfId="2" applyFont="1" applyAlignment="1">
      <alignment horizontal="center" vertical="center"/>
    </xf>
    <xf numFmtId="9" fontId="4" fillId="0" borderId="3" xfId="2" applyFont="1" applyBorder="1" applyAlignment="1">
      <alignment horizontal="center" vertical="center"/>
    </xf>
    <xf numFmtId="0" fontId="14" fillId="6" borderId="5"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3" borderId="1" xfId="0" applyFont="1" applyFill="1" applyBorder="1" applyAlignment="1">
      <alignment horizontal="center" vertical="center"/>
    </xf>
    <xf numFmtId="0" fontId="1" fillId="0" borderId="0" xfId="3" applyFont="1" applyAlignment="1"/>
    <xf numFmtId="0" fontId="4" fillId="0" borderId="3" xfId="3" applyFont="1" applyBorder="1" applyAlignment="1">
      <alignment horizontal="left" vertical="center"/>
    </xf>
    <xf numFmtId="0" fontId="4" fillId="0" borderId="3" xfId="3" applyFont="1" applyBorder="1" applyAlignment="1">
      <alignment horizontal="center" vertical="center"/>
    </xf>
    <xf numFmtId="0" fontId="15" fillId="0" borderId="3" xfId="1" applyFont="1" applyBorder="1" applyAlignment="1">
      <alignment horizontal="left" vertical="center"/>
    </xf>
  </cellXfs>
  <cellStyles count="4">
    <cellStyle name="Hiperlink" xfId="1" builtinId="8"/>
    <cellStyle name="Normal" xfId="0" builtinId="0"/>
    <cellStyle name="Normal 2" xfId="3" xr:uid="{F079B6A3-4670-4625-9C94-F1466B601BF6}"/>
    <cellStyle name="Porcentagem" xfId="2" builtinId="5"/>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jt6RW7yieIs" TargetMode="External"/><Relationship Id="rId13" Type="http://schemas.openxmlformats.org/officeDocument/2006/relationships/hyperlink" Target="https://www.youtube.com/watch?v=z7aMYTNa7ms" TargetMode="External"/><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12" Type="http://schemas.openxmlformats.org/officeDocument/2006/relationships/hyperlink" Target="https://www.youtube.com/watch?v=LqBHkFpW6vk"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11" Type="http://schemas.openxmlformats.org/officeDocument/2006/relationships/hyperlink" Target="https://www.linkedin.com/pulse/apply-vs-npselect-pandas-uma-an%C3%A1lise-quantitativa-de-santos-pereira-0u32f/?trackingId=7PoWseq%2BSxi1JMzABWt3FA%3D%3D" TargetMode="External"/><Relationship Id="rId5" Type="http://schemas.openxmlformats.org/officeDocument/2006/relationships/hyperlink" Target="https://www.youtube.com/watch?v=jdkhDn97CMA" TargetMode="External"/><Relationship Id="rId15" Type="http://schemas.openxmlformats.org/officeDocument/2006/relationships/hyperlink" Target="https://arxiv.org/abs/2008.06560" TargetMode="External"/><Relationship Id="rId10" Type="http://schemas.openxmlformats.org/officeDocument/2006/relationships/hyperlink" Target="https://www.linkedin.com/posts/ozsp12_apply-vs-npselect-no-pandas-uma-an%C3%A1lise-activity-7394895580038238208-vA47?utm_source=share&amp;utm_medium=member_desktop&amp;rcm=ACoAAAYVLuwBRoOGLctydlL6oZP7Ffwirgxbs9Q" TargetMode="External"/><Relationship Id="rId4" Type="http://schemas.openxmlformats.org/officeDocument/2006/relationships/hyperlink" Target="https://www.youtube.com/watch?v=SxDXN2_ATpM" TargetMode="External"/><Relationship Id="rId9" Type="http://schemas.openxmlformats.org/officeDocument/2006/relationships/hyperlink" Target="https://www.youtube.com/watch?v=dJwS3mv8Ooo" TargetMode="External"/><Relationship Id="rId14" Type="http://schemas.openxmlformats.org/officeDocument/2006/relationships/hyperlink" Target="https://www.youtube.com/watch?v=oclZGqDb9R0"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youtube.com/watch?v=QzFgALxe2N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8"/>
  <sheetViews>
    <sheetView showGridLines="0" topLeftCell="A10" zoomScaleNormal="100" workbookViewId="0">
      <selection activeCell="A28" sqref="A28"/>
    </sheetView>
  </sheetViews>
  <sheetFormatPr defaultRowHeight="14.25"/>
  <cols>
    <col min="1" max="1" width="75.9375" style="4" bestFit="1" customWidth="1"/>
    <col min="2" max="5" width="15" style="4" customWidth="1"/>
    <col min="6" max="6" width="5.75" style="4" customWidth="1"/>
    <col min="7" max="7" width="31.375" style="4" bestFit="1" customWidth="1"/>
    <col min="8" max="8" width="15" style="4" customWidth="1"/>
    <col min="9" max="9" width="17.125" style="4" bestFit="1" customWidth="1"/>
    <col min="10" max="10" width="15" style="4" customWidth="1"/>
    <col min="11" max="11" width="18.875" style="4" bestFit="1" customWidth="1"/>
    <col min="12" max="13" width="15" style="4" customWidth="1"/>
    <col min="14" max="16384" width="9" style="4"/>
  </cols>
  <sheetData>
    <row r="1" spans="1:13" ht="34.049999999999997" customHeight="1">
      <c r="A1" s="11" t="s">
        <v>1002</v>
      </c>
      <c r="B1" s="12"/>
      <c r="C1" s="12"/>
      <c r="D1" s="12"/>
      <c r="E1" s="12"/>
      <c r="F1" s="12"/>
      <c r="G1" s="12"/>
      <c r="H1" s="12"/>
      <c r="I1" s="12"/>
      <c r="J1" s="12"/>
      <c r="K1" s="12"/>
      <c r="L1" s="12"/>
      <c r="M1" s="12"/>
    </row>
    <row r="2" spans="1:13">
      <c r="A2" s="13" t="s">
        <v>1093</v>
      </c>
      <c r="B2" s="12"/>
      <c r="C2" s="12"/>
      <c r="D2" s="12"/>
      <c r="E2" s="12"/>
      <c r="F2" s="12"/>
      <c r="G2" s="12"/>
      <c r="H2" s="12"/>
      <c r="I2" s="12"/>
      <c r="J2" s="12"/>
      <c r="K2" s="12"/>
      <c r="L2" s="12"/>
      <c r="M2" s="12"/>
    </row>
    <row r="3" spans="1:13">
      <c r="A3" s="12"/>
      <c r="B3" s="12"/>
      <c r="C3" s="12"/>
      <c r="D3" s="12"/>
      <c r="E3" s="12"/>
      <c r="F3" s="12"/>
      <c r="G3" s="12"/>
      <c r="H3" s="12"/>
      <c r="I3" s="12"/>
      <c r="J3" s="12"/>
      <c r="K3" s="12"/>
      <c r="L3" s="12"/>
      <c r="M3" s="12"/>
    </row>
    <row r="4" spans="1:13" ht="28.5">
      <c r="B4" s="28" t="s">
        <v>1094</v>
      </c>
      <c r="C4" s="29" t="s">
        <v>1106</v>
      </c>
      <c r="D4" s="28" t="s">
        <v>5</v>
      </c>
      <c r="E4" s="29" t="s">
        <v>1007</v>
      </c>
      <c r="F4" s="12"/>
      <c r="H4" s="12"/>
      <c r="L4" s="14"/>
      <c r="M4" s="12"/>
    </row>
    <row r="5" spans="1:13" ht="28.05" customHeight="1">
      <c r="B5" s="25">
        <f>COUNTIF(Matriz!$C$4:$C$53,"&lt;&gt;")</f>
        <v>47</v>
      </c>
      <c r="C5" s="27">
        <f>SUM(Matriz!$AD$4:$AD$53)</f>
        <v>152</v>
      </c>
      <c r="D5" s="25">
        <f>SUM(Matriz!$AE$4:$AE$53)</f>
        <v>61</v>
      </c>
      <c r="E5" s="26">
        <f>IFERROR($C$5/$B$5,0)</f>
        <v>3.2340425531914891</v>
      </c>
      <c r="F5" s="12"/>
      <c r="H5" s="12"/>
      <c r="L5" s="15"/>
      <c r="M5" s="12"/>
    </row>
    <row r="6" spans="1:13">
      <c r="B6" s="12"/>
      <c r="C6" s="12"/>
      <c r="D6" s="12"/>
      <c r="E6" s="12"/>
      <c r="F6" s="12"/>
      <c r="H6" s="12"/>
      <c r="L6" s="12"/>
      <c r="M6" s="12"/>
    </row>
    <row r="7" spans="1:13" ht="28.5">
      <c r="B7" s="28" t="s">
        <v>1008</v>
      </c>
      <c r="C7" s="29" t="s">
        <v>1009</v>
      </c>
      <c r="D7" s="28" t="s">
        <v>1010</v>
      </c>
      <c r="E7" s="29" t="s">
        <v>1013</v>
      </c>
      <c r="F7" s="12"/>
      <c r="H7" s="12"/>
      <c r="L7" s="14"/>
      <c r="M7" s="12"/>
    </row>
    <row r="8" spans="1:13" ht="28.05" customHeight="1">
      <c r="B8" s="25">
        <f>COUNTIF(Matriz!$AD$4:$AD$53,"&gt;=1")</f>
        <v>47</v>
      </c>
      <c r="C8" s="27">
        <f>COUNTIF(Matriz!$AD$4:$AD$53,0)</f>
        <v>0</v>
      </c>
      <c r="D8" s="25">
        <f>COUNTIF($C$12:$C$23,"&gt;0")</f>
        <v>12</v>
      </c>
      <c r="E8" s="27">
        <f>COUNTIF(Periódicos!$A$2:$A$168,"&lt;&gt;")</f>
        <v>167</v>
      </c>
      <c r="F8" s="12"/>
      <c r="H8" s="12"/>
      <c r="L8" s="15"/>
      <c r="M8" s="12"/>
    </row>
    <row r="9" spans="1:13">
      <c r="A9" s="12"/>
      <c r="B9" s="12"/>
      <c r="C9" s="12"/>
      <c r="D9" s="12"/>
      <c r="E9" s="12"/>
      <c r="F9" s="12"/>
      <c r="G9" s="12"/>
      <c r="H9" s="12"/>
      <c r="I9" s="12"/>
      <c r="J9" s="12"/>
      <c r="K9" s="12"/>
      <c r="L9" s="12"/>
      <c r="M9" s="12"/>
    </row>
    <row r="10" spans="1:13" ht="15.75">
      <c r="A10" s="16" t="s">
        <v>1005</v>
      </c>
      <c r="B10" s="12"/>
      <c r="C10" s="12"/>
      <c r="D10" s="12"/>
      <c r="E10" s="12"/>
      <c r="F10" s="12"/>
      <c r="G10" s="16" t="s">
        <v>1006</v>
      </c>
      <c r="H10" s="12"/>
      <c r="I10" s="12"/>
      <c r="J10" s="12"/>
      <c r="K10" s="12"/>
      <c r="L10" s="12"/>
      <c r="M10" s="12"/>
    </row>
    <row r="11" spans="1:13">
      <c r="A11" s="19" t="s">
        <v>1003</v>
      </c>
      <c r="B11" s="19" t="s">
        <v>1004</v>
      </c>
      <c r="C11" s="19" t="s">
        <v>2</v>
      </c>
      <c r="D11" s="19" t="s">
        <v>6</v>
      </c>
      <c r="E11" s="19" t="s">
        <v>4</v>
      </c>
      <c r="F11" s="12"/>
      <c r="G11" s="19" t="s">
        <v>997</v>
      </c>
      <c r="H11" s="19" t="s">
        <v>1004</v>
      </c>
      <c r="I11" s="19" t="s">
        <v>6</v>
      </c>
      <c r="J11" s="19" t="s">
        <v>4</v>
      </c>
      <c r="K11" s="12"/>
      <c r="L11" s="12"/>
      <c r="M11" s="12"/>
    </row>
    <row r="12" spans="1:13">
      <c r="A12" s="17" t="s">
        <v>1078</v>
      </c>
      <c r="B12" s="20">
        <f>SUMIF(Matriz!$B$4:$B$53,$A12,Matriz!$AD$4:$AD$53)</f>
        <v>6</v>
      </c>
      <c r="C12" s="20">
        <f>COUNTIFS(Matriz!$B$4:$B$53,$A12,Matriz!$C$4:$C$53,"&lt;&gt;")</f>
        <v>2</v>
      </c>
      <c r="D12" s="20">
        <f>SUMIF(Matriz!$B$4:$B$53,$A12,Matriz!$AE$4:$AE$53)</f>
        <v>2</v>
      </c>
      <c r="E12" s="21">
        <f>IFERROR($B12/($C12*12),0)</f>
        <v>0.25</v>
      </c>
      <c r="F12" s="12"/>
      <c r="G12" s="17" t="s">
        <v>7</v>
      </c>
      <c r="H12" s="20">
        <f>SUM(INDEX(Matriz!$E$4:$P$53,0,MATCH($G12,Matriz!$E$3:$P$3,0)))</f>
        <v>8</v>
      </c>
      <c r="I12" s="20">
        <f>COUNTIF(INDEX(Matriz!$Q$4:$AB$53,0,MATCH($G12&amp;" (link)",Matriz!$Q$3:$AB$3,0)),"http*")</f>
        <v>8</v>
      </c>
      <c r="J12" s="21">
        <f>IFERROR($H12/$B$5,0)</f>
        <v>0.1702127659574468</v>
      </c>
      <c r="K12" s="12"/>
      <c r="L12" s="12"/>
      <c r="M12" s="12"/>
    </row>
    <row r="13" spans="1:13">
      <c r="A13" s="17" t="s">
        <v>1088</v>
      </c>
      <c r="B13" s="20">
        <f>SUMIF(Matriz!$B$4:$B$53,$A13,Matriz!$AD$4:$AD$53)</f>
        <v>3</v>
      </c>
      <c r="C13" s="20">
        <f>COUNTIFS(Matriz!$B$4:$B$53,$A13,Matriz!$C$4:$C$53,"&lt;&gt;")</f>
        <v>1</v>
      </c>
      <c r="D13" s="20">
        <f>SUMIF(Matriz!$B$4:$B$53,$A13,Matriz!$AE$4:$AE$53)</f>
        <v>1</v>
      </c>
      <c r="E13" s="21">
        <f t="shared" ref="E13:E23" si="0">IFERROR($B13/($C13*12),0)</f>
        <v>0.25</v>
      </c>
      <c r="F13" s="12"/>
      <c r="G13" s="17" t="s">
        <v>8</v>
      </c>
      <c r="H13" s="20">
        <f>SUM(INDEX(Matriz!$E$4:$P$53,0,MATCH($G13,Matriz!$E$3:$P$3,0)))</f>
        <v>8</v>
      </c>
      <c r="I13" s="20">
        <f>COUNTIF(INDEX(Matriz!$Q$4:$AB$53,0,MATCH($G13&amp;" (link)",Matriz!$Q$3:$AB$3,0)),"http*")</f>
        <v>8</v>
      </c>
      <c r="J13" s="21">
        <f>IFERROR($H13/$B$5,0)</f>
        <v>0.1702127659574468</v>
      </c>
      <c r="K13" s="12"/>
      <c r="L13" s="12"/>
      <c r="M13" s="12"/>
    </row>
    <row r="14" spans="1:13">
      <c r="A14" s="17" t="s">
        <v>1075</v>
      </c>
      <c r="B14" s="20">
        <f>SUMIF(Matriz!$B$4:$B$53,$A14,Matriz!$AD$4:$AD$53)</f>
        <v>9</v>
      </c>
      <c r="C14" s="20">
        <f>COUNTIFS(Matriz!$B$4:$B$53,$A14,Matriz!$C$4:$C$53,"&lt;&gt;")</f>
        <v>3</v>
      </c>
      <c r="D14" s="20">
        <f>SUMIF(Matriz!$B$4:$B$53,$A14,Matriz!$AE$4:$AE$53)</f>
        <v>3</v>
      </c>
      <c r="E14" s="21">
        <f t="shared" si="0"/>
        <v>0.25</v>
      </c>
      <c r="F14" s="12"/>
      <c r="G14" s="17" t="s">
        <v>9</v>
      </c>
      <c r="H14" s="20">
        <f>SUM(INDEX(Matriz!$E$4:$P$53,0,MATCH($G14,Matriz!$E$3:$P$3,0)))</f>
        <v>8</v>
      </c>
      <c r="I14" s="20">
        <f>COUNTIF(INDEX(Matriz!$Q$4:$AB$53,0,MATCH($G14&amp;" (link)",Matriz!$Q$3:$AB$3,0)),"http*")</f>
        <v>0</v>
      </c>
      <c r="J14" s="21">
        <f>IFERROR($H14/$B$5,0)</f>
        <v>0.1702127659574468</v>
      </c>
      <c r="K14" s="12"/>
      <c r="L14" s="12"/>
      <c r="M14" s="12"/>
    </row>
    <row r="15" spans="1:13">
      <c r="A15" s="17" t="s">
        <v>1076</v>
      </c>
      <c r="B15" s="20">
        <f>SUMIF(Matriz!$B$4:$B$53,$A15,Matriz!$AD$4:$AD$53)</f>
        <v>24</v>
      </c>
      <c r="C15" s="20">
        <f>COUNTIFS(Matriz!$B$4:$B$53,$A15,Matriz!$C$4:$C$53,"&lt;&gt;")</f>
        <v>8</v>
      </c>
      <c r="D15" s="20">
        <f>SUMIF(Matriz!$B$4:$B$53,$A15,Matriz!$AE$4:$AE$53)</f>
        <v>8</v>
      </c>
      <c r="E15" s="21">
        <f t="shared" si="0"/>
        <v>0.25</v>
      </c>
      <c r="F15" s="12"/>
      <c r="G15" s="17" t="s">
        <v>10</v>
      </c>
      <c r="H15" s="20">
        <f>SUM(INDEX(Matriz!$E$4:$P$53,0,MATCH($G15,Matriz!$E$3:$P$3,0)))</f>
        <v>40</v>
      </c>
      <c r="I15" s="20">
        <f>COUNTIF(INDEX(Matriz!$Q$4:$AB$53,0,MATCH($G15&amp;" (link)",Matriz!$Q$3:$AB$3,0)),"http*")</f>
        <v>40</v>
      </c>
      <c r="J15" s="21">
        <f>IFERROR($H15/$B$5,0)</f>
        <v>0.85106382978723405</v>
      </c>
      <c r="K15" s="12"/>
      <c r="L15" s="12"/>
      <c r="M15" s="12"/>
    </row>
    <row r="16" spans="1:13">
      <c r="A16" s="17" t="s">
        <v>999</v>
      </c>
      <c r="B16" s="20">
        <f>SUMIF(Matriz!$B$4:$B$53,$A16,Matriz!$AD$4:$AD$53)</f>
        <v>3</v>
      </c>
      <c r="C16" s="20">
        <f>COUNTIFS(Matriz!$B$4:$B$53,$A16,Matriz!$C$4:$C$53,"&lt;&gt;")</f>
        <v>1</v>
      </c>
      <c r="D16" s="20">
        <f>SUMIF(Matriz!$B$4:$B$53,$A16,Matriz!$AE$4:$AE$53)</f>
        <v>1</v>
      </c>
      <c r="E16" s="21">
        <f t="shared" si="0"/>
        <v>0.25</v>
      </c>
      <c r="F16" s="12"/>
      <c r="G16" s="17" t="s">
        <v>11</v>
      </c>
      <c r="H16" s="20">
        <f>SUM(INDEX(Matriz!$E$4:$P$53,0,MATCH($G16,Matriz!$E$3:$P$3,0)))</f>
        <v>40</v>
      </c>
      <c r="I16" s="20">
        <f>COUNTIF(INDEX(Matriz!$Q$4:$AB$53,0,MATCH($G16&amp;" (link)",Matriz!$Q$3:$AB$3,0)),"http*")</f>
        <v>2</v>
      </c>
      <c r="J16" s="21">
        <f>IFERROR($H16/$B$5,0)</f>
        <v>0.85106382978723405</v>
      </c>
      <c r="K16" s="12"/>
      <c r="L16" s="12"/>
      <c r="M16" s="12"/>
    </row>
    <row r="17" spans="1:13">
      <c r="A17" s="17" t="s">
        <v>998</v>
      </c>
      <c r="B17" s="20">
        <f>SUMIF(Matriz!$B$4:$B$53,$A17,Matriz!$AD$4:$AD$53)</f>
        <v>3</v>
      </c>
      <c r="C17" s="20">
        <f>COUNTIFS(Matriz!$B$4:$B$53,$A17,Matriz!$C$4:$C$53,"&lt;&gt;")</f>
        <v>1</v>
      </c>
      <c r="D17" s="20">
        <f>SUMIF(Matriz!$B$4:$B$53,$A17,Matriz!$AE$4:$AE$53)</f>
        <v>1</v>
      </c>
      <c r="E17" s="21">
        <f t="shared" si="0"/>
        <v>0.25</v>
      </c>
      <c r="F17" s="12"/>
      <c r="G17" s="17" t="s">
        <v>12</v>
      </c>
      <c r="H17" s="20">
        <f>SUM(INDEX(Matriz!$E$4:$P$53,0,MATCH($G17,Matriz!$E$3:$P$3,0)))</f>
        <v>1</v>
      </c>
      <c r="I17" s="20">
        <f>COUNTIF(INDEX(Matriz!$Q$4:$AB$53,0,MATCH($G17&amp;" (link)",Matriz!$Q$3:$AB$3,0)),"http*")</f>
        <v>1</v>
      </c>
      <c r="J17" s="21">
        <f>IFERROR($H17/$B$5,0)</f>
        <v>2.1276595744680851E-2</v>
      </c>
      <c r="K17" s="12"/>
      <c r="L17" s="12"/>
      <c r="M17" s="12"/>
    </row>
    <row r="18" spans="1:13">
      <c r="A18" s="17" t="s">
        <v>1000</v>
      </c>
      <c r="B18" s="20">
        <f>SUMIF(Matriz!$B$4:$B$53,$A18,Matriz!$AD$4:$AD$53)</f>
        <v>34</v>
      </c>
      <c r="C18" s="20">
        <f>COUNTIFS(Matriz!$B$4:$B$53,$A18,Matriz!$C$4:$C$53,"&lt;&gt;")</f>
        <v>10</v>
      </c>
      <c r="D18" s="20">
        <f>SUMIF(Matriz!$B$4:$B$53,$A18,Matriz!$AE$4:$AE$53)</f>
        <v>15</v>
      </c>
      <c r="E18" s="21">
        <f t="shared" si="0"/>
        <v>0.28333333333333333</v>
      </c>
      <c r="F18" s="12"/>
      <c r="G18" s="17" t="s">
        <v>13</v>
      </c>
      <c r="H18" s="20">
        <f>SUM(INDEX(Matriz!$E$4:$P$53,0,MATCH($G18,Matriz!$E$3:$P$3,0)))</f>
        <v>1</v>
      </c>
      <c r="I18" s="20">
        <f>COUNTIF(INDEX(Matriz!$Q$4:$AB$53,0,MATCH($G18&amp;" (link)",Matriz!$Q$3:$AB$3,0)),"http*")</f>
        <v>1</v>
      </c>
      <c r="J18" s="21">
        <f>IFERROR($H18/$B$5,0)</f>
        <v>2.1276595744680851E-2</v>
      </c>
      <c r="K18" s="12"/>
      <c r="L18" s="12"/>
      <c r="M18" s="12"/>
    </row>
    <row r="19" spans="1:13">
      <c r="A19" s="17" t="s">
        <v>1077</v>
      </c>
      <c r="B19" s="20">
        <f>SUMIF(Matriz!$B$4:$B$53,$A19,Matriz!$AD$4:$AD$53)</f>
        <v>3</v>
      </c>
      <c r="C19" s="20">
        <f>COUNTIFS(Matriz!$B$4:$B$53,$A19,Matriz!$C$4:$C$53,"&lt;&gt;")</f>
        <v>1</v>
      </c>
      <c r="D19" s="20">
        <f>SUMIF(Matriz!$B$4:$B$53,$A19,Matriz!$AE$4:$AE$53)</f>
        <v>1</v>
      </c>
      <c r="E19" s="21">
        <f t="shared" si="0"/>
        <v>0.25</v>
      </c>
      <c r="F19" s="12"/>
      <c r="G19" s="17" t="s">
        <v>14</v>
      </c>
      <c r="H19" s="20">
        <f>SUM(INDEX(Matriz!$E$4:$P$53,0,MATCH($G19,Matriz!$E$3:$P$3,0)))</f>
        <v>0</v>
      </c>
      <c r="I19" s="20">
        <f>COUNTIF(INDEX(Matriz!$Q$4:$AB$53,0,MATCH($G19&amp;" (link)",Matriz!$Q$3:$AB$3,0)),"http*")</f>
        <v>0</v>
      </c>
      <c r="J19" s="21">
        <f>IFERROR($H19/$B$5,0)</f>
        <v>0</v>
      </c>
      <c r="K19" s="12"/>
      <c r="L19" s="12"/>
      <c r="M19" s="12"/>
    </row>
    <row r="20" spans="1:13">
      <c r="A20" s="17" t="s">
        <v>1001</v>
      </c>
      <c r="B20" s="20">
        <f>SUMIF(Matriz!$B$4:$B$53,$A20,Matriz!$AD$4:$AD$53)</f>
        <v>21</v>
      </c>
      <c r="C20" s="20">
        <f>COUNTIFS(Matriz!$B$4:$B$53,$A20,Matriz!$C$4:$C$53,"&lt;&gt;")</f>
        <v>7</v>
      </c>
      <c r="D20" s="20">
        <f>SUMIF(Matriz!$B$4:$B$53,$A20,Matriz!$AE$4:$AE$53)</f>
        <v>8</v>
      </c>
      <c r="E20" s="21">
        <f t="shared" si="0"/>
        <v>0.25</v>
      </c>
      <c r="F20" s="12"/>
      <c r="G20" s="17" t="s">
        <v>15</v>
      </c>
      <c r="H20" s="20">
        <f>SUM(INDEX(Matriz!$E$4:$P$53,0,MATCH($G20,Matriz!$E$3:$P$3,0)))</f>
        <v>46</v>
      </c>
      <c r="I20" s="20">
        <f>COUNTIF(INDEX(Matriz!$Q$4:$AB$53,0,MATCH($G20&amp;" (link)",Matriz!$Q$3:$AB$3,0)),"http*")</f>
        <v>1</v>
      </c>
      <c r="J20" s="21">
        <f>IFERROR($H20/$B$5,0)</f>
        <v>0.97872340425531912</v>
      </c>
      <c r="K20" s="12"/>
      <c r="L20" s="12"/>
      <c r="M20" s="12"/>
    </row>
    <row r="21" spans="1:13">
      <c r="A21" s="17" t="s">
        <v>1074</v>
      </c>
      <c r="B21" s="20">
        <f>SUMIF(Matriz!$B$4:$B$53,$A21,Matriz!$AD$4:$AD$53)</f>
        <v>11</v>
      </c>
      <c r="C21" s="20">
        <f>COUNTIFS(Matriz!$B$4:$B$53,$A21,Matriz!$C$4:$C$53,"&lt;&gt;")</f>
        <v>3</v>
      </c>
      <c r="D21" s="20">
        <f>SUMIF(Matriz!$B$4:$B$53,$A21,Matriz!$AE$4:$AE$53)</f>
        <v>5</v>
      </c>
      <c r="E21" s="21">
        <f t="shared" si="0"/>
        <v>0.30555555555555558</v>
      </c>
      <c r="F21" s="12"/>
      <c r="G21" s="17" t="s">
        <v>16</v>
      </c>
      <c r="H21" s="20">
        <f>SUM(INDEX(Matriz!$E$4:$P$53,0,MATCH($G21,Matriz!$E$3:$P$3,0)))</f>
        <v>0</v>
      </c>
      <c r="I21" s="20">
        <f>COUNTIF(INDEX(Matriz!$Q$4:$AB$53,0,MATCH($G21&amp;" (link)",Matriz!$Q$3:$AB$3,0)),"http*")</f>
        <v>0</v>
      </c>
      <c r="J21" s="21">
        <f>IFERROR($H21/$B$5,0)</f>
        <v>0</v>
      </c>
      <c r="K21" s="12"/>
      <c r="L21" s="12"/>
      <c r="M21" s="12"/>
    </row>
    <row r="22" spans="1:13">
      <c r="A22" s="17" t="s">
        <v>30</v>
      </c>
      <c r="B22" s="20">
        <f>SUMIF(Matriz!$B$4:$B$53,$A22,Matriz!$AD$4:$AD$53)</f>
        <v>6</v>
      </c>
      <c r="C22" s="20">
        <f>COUNTIFS(Matriz!$B$4:$B$53,$A22,Matriz!$C$4:$C$53,"&lt;&gt;")</f>
        <v>2</v>
      </c>
      <c r="D22" s="20">
        <f>SUMIF(Matriz!$B$4:$B$53,$A22,Matriz!$AE$4:$AE$53)</f>
        <v>2</v>
      </c>
      <c r="E22" s="21">
        <f t="shared" si="0"/>
        <v>0.25</v>
      </c>
      <c r="F22" s="12"/>
      <c r="G22" s="17" t="s">
        <v>17</v>
      </c>
      <c r="H22" s="20">
        <f>SUM(INDEX(Matriz!$E$4:$P$53,0,MATCH($G22,Matriz!$E$3:$P$3,0)))</f>
        <v>0</v>
      </c>
      <c r="I22" s="20">
        <f>COUNTIF(INDEX(Matriz!$Q$4:$AB$53,0,MATCH($G22&amp;" (link)",Matriz!$Q$3:$AB$3,0)),"http*")</f>
        <v>0</v>
      </c>
      <c r="J22" s="21">
        <f>IFERROR($H22/$B$5,0)</f>
        <v>0</v>
      </c>
      <c r="K22" s="12"/>
      <c r="L22" s="12"/>
      <c r="M22" s="12"/>
    </row>
    <row r="23" spans="1:13">
      <c r="A23" s="17" t="s">
        <v>1080</v>
      </c>
      <c r="B23" s="20">
        <f>SUMIF(Matriz!$B$4:$B$53,$A23,Matriz!$AD$4:$AD$53)</f>
        <v>29</v>
      </c>
      <c r="C23" s="20">
        <f>COUNTIFS(Matriz!$B$4:$B$53,$A23,Matriz!$C$4:$C$53,"&lt;&gt;")</f>
        <v>8</v>
      </c>
      <c r="D23" s="20">
        <f>SUMIF(Matriz!$B$4:$B$53,$A23,Matriz!$AE$4:$AE$53)</f>
        <v>14</v>
      </c>
      <c r="E23" s="21">
        <f t="shared" si="0"/>
        <v>0.30208333333333331</v>
      </c>
      <c r="F23" s="12"/>
      <c r="G23" s="17" t="s">
        <v>18</v>
      </c>
      <c r="H23" s="20">
        <f>SUM(INDEX(Matriz!$E$4:$P$53,0,MATCH($G23,Matriz!$E$3:$P$3,0)))</f>
        <v>0</v>
      </c>
      <c r="I23" s="20">
        <f>COUNTIF(INDEX(Matriz!$Q$4:$AB$53,0,MATCH($G23&amp;" (link)",Matriz!$Q$3:$AB$3,0)),"http*")</f>
        <v>0</v>
      </c>
      <c r="J23" s="21">
        <f>IFERROR($H23/$B$5,0)</f>
        <v>0</v>
      </c>
      <c r="K23" s="12"/>
      <c r="L23" s="12"/>
      <c r="M23" s="12"/>
    </row>
    <row r="24" spans="1:13">
      <c r="A24" s="18" t="s">
        <v>1095</v>
      </c>
      <c r="B24" s="22">
        <f>SUM($B$12:$B$23)</f>
        <v>152</v>
      </c>
      <c r="C24" s="22">
        <f>SUM($C$12:$C$23)</f>
        <v>47</v>
      </c>
      <c r="D24" s="22">
        <f>SUM($D$12:$D$23)</f>
        <v>61</v>
      </c>
      <c r="E24" s="23">
        <f>IFERROR($B$24/($C$24*12),0)</f>
        <v>0.26950354609929078</v>
      </c>
      <c r="F24" s="12"/>
      <c r="G24" s="18" t="s">
        <v>1095</v>
      </c>
      <c r="H24" s="22">
        <f>SUM($H$12:$H$23)</f>
        <v>152</v>
      </c>
      <c r="I24" s="22">
        <f>SUM($I$12:$I$23)</f>
        <v>61</v>
      </c>
      <c r="J24" s="23">
        <f>IFERROR($H$24/($B$5*12),0)</f>
        <v>0.26950354609929078</v>
      </c>
      <c r="K24" s="12"/>
      <c r="L24" s="12"/>
      <c r="M24" s="12"/>
    </row>
    <row r="25" spans="1:13">
      <c r="A25" s="12"/>
      <c r="B25" s="12"/>
      <c r="C25" s="12"/>
      <c r="D25" s="12"/>
      <c r="E25" s="12"/>
      <c r="F25" s="12"/>
      <c r="G25" s="12"/>
      <c r="H25" s="12"/>
      <c r="I25" s="12"/>
      <c r="J25" s="12"/>
      <c r="K25" s="12"/>
      <c r="L25" s="12"/>
      <c r="M25" s="12"/>
    </row>
    <row r="26" spans="1:13" ht="15.75">
      <c r="A26" s="16" t="s">
        <v>1011</v>
      </c>
      <c r="B26" s="12"/>
      <c r="C26" s="12"/>
      <c r="D26" s="12"/>
      <c r="E26" s="12"/>
      <c r="F26" s="12"/>
      <c r="G26" s="16" t="s">
        <v>1012</v>
      </c>
      <c r="H26" s="12"/>
      <c r="K26" s="12"/>
      <c r="L26" s="12"/>
      <c r="M26" s="12"/>
    </row>
    <row r="27" spans="1:13">
      <c r="A27" s="19" t="s">
        <v>1096</v>
      </c>
      <c r="B27" s="19" t="s">
        <v>1003</v>
      </c>
      <c r="C27" s="19" t="s">
        <v>3</v>
      </c>
      <c r="D27" s="19" t="s">
        <v>6</v>
      </c>
      <c r="E27" s="19" t="s">
        <v>4</v>
      </c>
      <c r="G27" s="19" t="s">
        <v>0</v>
      </c>
      <c r="H27" s="19" t="s">
        <v>1</v>
      </c>
      <c r="L27" s="12"/>
      <c r="M27" s="12"/>
    </row>
    <row r="28" spans="1:13">
      <c r="A28" s="17" t="str">
        <f>IFERROR(INDEX(Matriz!$C$4:$C$53,MATCH(ROWS($A$28:$A28),Matriz!$AG$4:$AG$53,0)),"")</f>
        <v>O problema do SAT que todos erraram: paradoxo das moedas e roda de Aristóteles</v>
      </c>
      <c r="B28" s="17" t="str">
        <f>IFERROR(INDEX(Matriz!$B$4:$B$53,MATCH(ROWS($A$28:$A28),Matriz!$AG$4:$AG$53,0)),"")</f>
        <v>Física Clássica</v>
      </c>
      <c r="C28" s="20">
        <f>IFERROR(INDEX(Matriz!$AD$4:$AD$53,MATCH(ROWS($A$28:$A28),Matriz!$AG$4:$AG$53,0)),"")</f>
        <v>6</v>
      </c>
      <c r="D28" s="20">
        <f>IFERROR(INDEX(Matriz!$AE$4:$AE$53,MATCH(ROWS($A$28:$A28),Matriz!$AG$4:$AG$53,0)),"")</f>
        <v>4</v>
      </c>
      <c r="E28" s="21">
        <f>IFERROR($C28/12,0)</f>
        <v>0.5</v>
      </c>
      <c r="G28" s="17" t="s">
        <v>1013</v>
      </c>
      <c r="H28" s="20">
        <f>COUNTIF(Periódicos!$A$2:$A$168,"&lt;&gt;")</f>
        <v>167</v>
      </c>
      <c r="L28" s="12"/>
      <c r="M28" s="12"/>
    </row>
    <row r="29" spans="1:13">
      <c r="A29" s="17" t="str">
        <f>IFERROR(INDEX(Matriz!$C$4:$C$53,MATCH(ROWS($A$28:$A29),Matriz!$AG$4:$AG$53,0)),"")</f>
        <v>Teste de complexidade temporal do método select (numpy) vs apply (pandas)</v>
      </c>
      <c r="B29" s="17" t="str">
        <f>IFERROR(INDEX(Matriz!$B$4:$B$53,MATCH(ROWS($A$28:$A29),Matriz!$AG$4:$AG$53,0)),"")</f>
        <v>Programação</v>
      </c>
      <c r="C29" s="20">
        <f>IFERROR(INDEX(Matriz!$AD$4:$AD$53,MATCH(ROWS($A$28:$A29),Matriz!$AG$4:$AG$53,0)),"")</f>
        <v>5</v>
      </c>
      <c r="D29" s="20">
        <f>IFERROR(INDEX(Matriz!$AE$4:$AE$53,MATCH(ROWS($A$28:$A29),Matriz!$AG$4:$AG$53,0)),"")</f>
        <v>3</v>
      </c>
      <c r="E29" s="21">
        <f>IFERROR($C29/12,0)</f>
        <v>0.41666666666666669</v>
      </c>
      <c r="G29" s="17" t="s">
        <v>1014</v>
      </c>
      <c r="H29" s="20">
        <f>COUNTIF(Periódicos!$I$2:$I$168,5)</f>
        <v>27</v>
      </c>
      <c r="L29" s="12"/>
      <c r="M29" s="12"/>
    </row>
    <row r="30" spans="1:13">
      <c r="A30" s="17" t="str">
        <f>IFERROR(INDEX(Matriz!$C$4:$C$53,MATCH(ROWS($A$28:$A30),Matriz!$AG$4:$AG$53,0)),"")</f>
        <v>Experimento de medição da densidade da água</v>
      </c>
      <c r="B30" s="17" t="str">
        <f>IFERROR(INDEX(Matriz!$B$4:$B$53,MATCH(ROWS($A$28:$A30),Matriz!$AG$4:$AG$53,0)),"")</f>
        <v>Física Clássica</v>
      </c>
      <c r="C30" s="20">
        <f>IFERROR(INDEX(Matriz!$AD$4:$AD$53,MATCH(ROWS($A$28:$A30),Matriz!$AG$4:$AG$53,0)),"")</f>
        <v>4</v>
      </c>
      <c r="D30" s="20">
        <f>IFERROR(INDEX(Matriz!$AE$4:$AE$53,MATCH(ROWS($A$28:$A30),Matriz!$AG$4:$AG$53,0)),"")</f>
        <v>3</v>
      </c>
      <c r="E30" s="21">
        <f>IFERROR($C30/12,0)</f>
        <v>0.33333333333333331</v>
      </c>
      <c r="G30" s="17" t="s">
        <v>1015</v>
      </c>
      <c r="H30" s="20">
        <f>COUNTIF(Periódicos!$I$2:$I$168,"&gt;=4")</f>
        <v>113</v>
      </c>
      <c r="L30" s="12"/>
      <c r="M30" s="12"/>
    </row>
    <row r="31" spans="1:13">
      <c r="A31" s="17" t="str">
        <f>IFERROR(INDEX(Matriz!$C$4:$C$53,MATCH(ROWS($A$28:$A31),Matriz!$AG$4:$AG$53,0)),"")</f>
        <v>Fluid dynamics in the warp drive spacetime geometry</v>
      </c>
      <c r="B31" s="17" t="str">
        <f>IFERROR(INDEX(Matriz!$B$4:$B$53,MATCH(ROWS($A$28:$A31),Matriz!$AG$4:$AG$53,0)),"")</f>
        <v>Warp Drive</v>
      </c>
      <c r="C31" s="20">
        <f>IFERROR(INDEX(Matriz!$AD$4:$AD$53,MATCH(ROWS($A$28:$A31),Matriz!$AG$4:$AG$53,0)),"")</f>
        <v>4</v>
      </c>
      <c r="D31" s="20">
        <f>IFERROR(INDEX(Matriz!$AE$4:$AE$53,MATCH(ROWS($A$28:$A31),Matriz!$AG$4:$AG$53,0)),"")</f>
        <v>2</v>
      </c>
      <c r="E31" s="21">
        <f>IFERROR($C31/12,0)</f>
        <v>0.33333333333333331</v>
      </c>
      <c r="G31" s="17" t="s">
        <v>1016</v>
      </c>
      <c r="H31" s="24">
        <f>IFERROR(AVERAGE(Periódicos!$D$2:$D$168),0)</f>
        <v>6.8288611111111113</v>
      </c>
      <c r="L31" s="12"/>
      <c r="M31" s="12"/>
    </row>
    <row r="32" spans="1:13">
      <c r="A32" s="17" t="str">
        <f>IFERROR(INDEX(Matriz!$C$4:$C$53,MATCH(ROWS($A$28:$A32),Matriz!$AG$4:$AG$53,0)),"")</f>
        <v>Charged dust solutions for the warp drive spacetime</v>
      </c>
      <c r="B32" s="17" t="str">
        <f>IFERROR(INDEX(Matriz!$B$4:$B$53,MATCH(ROWS($A$28:$A32),Matriz!$AG$4:$AG$53,0)),"")</f>
        <v>Warp Drive</v>
      </c>
      <c r="C32" s="20">
        <f>IFERROR(INDEX(Matriz!$AD$4:$AD$53,MATCH(ROWS($A$28:$A32),Matriz!$AG$4:$AG$53,0)),"")</f>
        <v>4</v>
      </c>
      <c r="D32" s="20">
        <f>IFERROR(INDEX(Matriz!$AE$4:$AE$53,MATCH(ROWS($A$28:$A32),Matriz!$AG$4:$AG$53,0)),"")</f>
        <v>2</v>
      </c>
      <c r="E32" s="21">
        <f>IFERROR($C32/12,0)</f>
        <v>0.33333333333333331</v>
      </c>
      <c r="G32" s="17" t="s">
        <v>1097</v>
      </c>
      <c r="H32" s="20">
        <f>COUNTIF(Periódicos!$E$2:$E$168,"matemática")</f>
        <v>140</v>
      </c>
      <c r="L32" s="12"/>
      <c r="M32" s="12"/>
    </row>
    <row r="33" spans="1:13">
      <c r="A33" s="17" t="str">
        <f>IFERROR(INDEX(Matriz!$C$4:$C$53,MATCH(ROWS($A$28:$A33),Matriz!$AG$4:$AG$53,0)),"")</f>
        <v>Perfect fluid warp drive solutions with the cosmological constant</v>
      </c>
      <c r="B33" s="17" t="str">
        <f>IFERROR(INDEX(Matriz!$B$4:$B$53,MATCH(ROWS($A$28:$A33),Matriz!$AG$4:$AG$53,0)),"")</f>
        <v>Warp Drive</v>
      </c>
      <c r="C33" s="20">
        <f>IFERROR(INDEX(Matriz!$AD$4:$AD$53,MATCH(ROWS($A$28:$A33),Matriz!$AG$4:$AG$53,0)),"")</f>
        <v>4</v>
      </c>
      <c r="D33" s="20">
        <f>IFERROR(INDEX(Matriz!$AE$4:$AE$53,MATCH(ROWS($A$28:$A33),Matriz!$AG$4:$AG$53,0)),"")</f>
        <v>2</v>
      </c>
      <c r="E33" s="21">
        <f>IFERROR($C33/12,0)</f>
        <v>0.33333333333333331</v>
      </c>
      <c r="G33" s="17" t="s">
        <v>1098</v>
      </c>
      <c r="H33" s="20">
        <f>COUNTIF(Periódicos!$E$2:$E$168,"física")</f>
        <v>26</v>
      </c>
      <c r="L33" s="12"/>
      <c r="M33" s="12"/>
    </row>
    <row r="34" spans="1:13">
      <c r="A34" s="17" t="str">
        <f>IFERROR(INDEX(Matriz!$C$4:$C$53,MATCH(ROWS($A$28:$A34),Matriz!$AG$4:$AG$53,0)),"")</f>
        <v>Warp drive dynamic solutions considering different fluid sources</v>
      </c>
      <c r="B34" s="17" t="str">
        <f>IFERROR(INDEX(Matriz!$B$4:$B$53,MATCH(ROWS($A$28:$A34),Matriz!$AG$4:$AG$53,0)),"")</f>
        <v>Warp Drive</v>
      </c>
      <c r="C34" s="20">
        <f>IFERROR(INDEX(Matriz!$AD$4:$AD$53,MATCH(ROWS($A$28:$A34),Matriz!$AG$4:$AG$53,0)),"")</f>
        <v>4</v>
      </c>
      <c r="D34" s="20">
        <f>IFERROR(INDEX(Matriz!$AE$4:$AE$53,MATCH(ROWS($A$28:$A34),Matriz!$AG$4:$AG$53,0)),"")</f>
        <v>2</v>
      </c>
      <c r="E34" s="21">
        <f>IFERROR($C34/12,0)</f>
        <v>0.33333333333333331</v>
      </c>
      <c r="G34" s="17" t="s">
        <v>1099</v>
      </c>
      <c r="H34" s="20">
        <f>COUNTIF(Periódicos!$E$2:$E$168,"data science")</f>
        <v>1</v>
      </c>
      <c r="L34" s="12"/>
      <c r="M34" s="12"/>
    </row>
    <row r="35" spans="1:13">
      <c r="A35" s="17" t="str">
        <f>IFERROR(INDEX(Matriz!$C$4:$C$53,MATCH(ROWS($A$28:$A35),Matriz!$AG$4:$AG$53,0)),"")</f>
        <v>Matching the Alcubierre and Minkowski spacetimes.</v>
      </c>
      <c r="B35" s="17" t="str">
        <f>IFERROR(INDEX(Matriz!$B$4:$B$53,MATCH(ROWS($A$28:$A35),Matriz!$AG$4:$AG$53,0)),"")</f>
        <v>Warp Drive</v>
      </c>
      <c r="C35" s="20">
        <f>IFERROR(INDEX(Matriz!$AD$4:$AD$53,MATCH(ROWS($A$28:$A35),Matriz!$AG$4:$AG$53,0)),"")</f>
        <v>4</v>
      </c>
      <c r="D35" s="20">
        <f>IFERROR(INDEX(Matriz!$AE$4:$AE$53,MATCH(ROWS($A$28:$A35),Matriz!$AG$4:$AG$53,0)),"")</f>
        <v>2</v>
      </c>
      <c r="E35" s="21">
        <f>IFERROR($C35/12,0)</f>
        <v>0.33333333333333331</v>
      </c>
      <c r="G35" s="17" t="s">
        <v>1017</v>
      </c>
      <c r="H35" s="20">
        <f>COUNTIF(Periódicos!$K$2:$K$168,"Open Access*")</f>
        <v>40</v>
      </c>
      <c r="L35" s="12"/>
      <c r="M35" s="12"/>
    </row>
    <row r="36" spans="1:13">
      <c r="A36" s="17" t="str">
        <f>IFERROR(INDEX(Matriz!$C$4:$C$53,MATCH(ROWS($A$28:$A36),Matriz!$AG$4:$AG$53,0)),"")</f>
        <v>Resolvendo equação polinomial de quarta ordem e demonstrando um teorema de redução de ordem</v>
      </c>
      <c r="B36" s="17" t="str">
        <f>IFERROR(INDEX(Matriz!$B$4:$B$53,MATCH(ROWS($A$28:$A36),Matriz!$AG$4:$AG$53,0)),"")</f>
        <v>Álgebra</v>
      </c>
      <c r="C36" s="20">
        <f>IFERROR(INDEX(Matriz!$AD$4:$AD$53,MATCH(ROWS($A$28:$A36),Matriz!$AG$4:$AG$53,0)),"")</f>
        <v>3</v>
      </c>
      <c r="D36" s="20">
        <f>IFERROR(INDEX(Matriz!$AE$4:$AE$53,MATCH(ROWS($A$28:$A36),Matriz!$AG$4:$AG$53,0)),"")</f>
        <v>1</v>
      </c>
      <c r="E36" s="21">
        <f>IFERROR($C36/12,0)</f>
        <v>0.25</v>
      </c>
      <c r="G36" s="17" t="s">
        <v>1018</v>
      </c>
      <c r="H36" s="20">
        <f>$H$13</f>
        <v>8</v>
      </c>
      <c r="L36" s="12"/>
      <c r="M36" s="12"/>
    </row>
    <row r="37" spans="1:13">
      <c r="A37" s="17" t="str">
        <f>IFERROR(INDEX(Matriz!$C$4:$C$53,MATCH(ROWS($A$28:$A37),Matriz!$AG$4:$AG$53,0)),"")</f>
        <v>Resolvendo (polinômios): x³ + px + q é divisível por (x-a)², encontre a relação entre p e q.</v>
      </c>
      <c r="B37" s="17" t="str">
        <f>IFERROR(INDEX(Matriz!$B$4:$B$53,MATCH(ROWS($A$28:$A37),Matriz!$AG$4:$AG$53,0)),"")</f>
        <v>Álgebra</v>
      </c>
      <c r="C37" s="20">
        <f>IFERROR(INDEX(Matriz!$AD$4:$AD$53,MATCH(ROWS($A$28:$A37),Matriz!$AG$4:$AG$53,0)),"")</f>
        <v>3</v>
      </c>
      <c r="D37" s="20">
        <f>IFERROR(INDEX(Matriz!$AE$4:$AE$53,MATCH(ROWS($A$28:$A37),Matriz!$AG$4:$AG$53,0)),"")</f>
        <v>1</v>
      </c>
      <c r="E37" s="21">
        <f>IFERROR($C37/12,0)</f>
        <v>0.25</v>
      </c>
      <c r="G37" s="17" t="s">
        <v>1100</v>
      </c>
      <c r="H37" s="20">
        <f>$I$13</f>
        <v>8</v>
      </c>
      <c r="L37" s="12"/>
      <c r="M37" s="12"/>
    </row>
    <row r="38" spans="1:13">
      <c r="A38" s="12"/>
      <c r="B38" s="12"/>
      <c r="C38" s="12"/>
      <c r="D38" s="12"/>
      <c r="E38" s="12"/>
      <c r="F38" s="12"/>
      <c r="G38" s="12"/>
      <c r="H38" s="12"/>
      <c r="I38" s="12"/>
      <c r="J38" s="12"/>
      <c r="K38" s="12"/>
      <c r="L38" s="12"/>
      <c r="M38" s="12"/>
    </row>
    <row r="39" spans="1:13" ht="15.75">
      <c r="A39" s="16" t="s">
        <v>1019</v>
      </c>
      <c r="B39" s="12"/>
      <c r="C39" s="12"/>
      <c r="D39" s="12"/>
      <c r="E39" s="12"/>
      <c r="F39" s="12"/>
      <c r="G39" s="12"/>
      <c r="H39" s="12"/>
      <c r="I39" s="12"/>
      <c r="J39" s="12"/>
      <c r="K39" s="12"/>
      <c r="L39" s="12"/>
      <c r="M39" s="12"/>
    </row>
    <row r="40" spans="1:13">
      <c r="A40" s="19" t="s">
        <v>1020</v>
      </c>
      <c r="B40" s="19" t="s">
        <v>1021</v>
      </c>
      <c r="C40" s="12"/>
      <c r="D40" s="12"/>
      <c r="F40" s="12"/>
      <c r="G40" s="12"/>
      <c r="H40" s="12"/>
      <c r="I40" s="12"/>
      <c r="J40" s="12"/>
      <c r="K40" s="12"/>
      <c r="L40" s="12"/>
      <c r="M40" s="12"/>
    </row>
    <row r="41" spans="1:13">
      <c r="A41" s="17" t="s">
        <v>1101</v>
      </c>
      <c r="B41" s="20">
        <f>SUM(Matriz!$AH$4:$AH$53)</f>
        <v>91</v>
      </c>
      <c r="C41" s="12"/>
      <c r="D41" s="12"/>
      <c r="F41" s="12"/>
      <c r="G41" s="12"/>
      <c r="H41" s="12"/>
      <c r="I41" s="12"/>
      <c r="J41" s="12"/>
      <c r="K41" s="12"/>
      <c r="L41" s="12"/>
      <c r="M41" s="12"/>
    </row>
    <row r="42" spans="1:13">
      <c r="A42" s="17" t="s">
        <v>1102</v>
      </c>
      <c r="B42" s="20">
        <f>SUM(Matriz!$AI$4:$AI$53)</f>
        <v>0</v>
      </c>
      <c r="C42" s="12"/>
      <c r="D42" s="12"/>
      <c r="F42" s="12"/>
      <c r="G42" s="12"/>
      <c r="H42" s="12"/>
      <c r="I42" s="12"/>
      <c r="J42" s="12"/>
      <c r="K42" s="12"/>
      <c r="L42" s="12"/>
      <c r="M42" s="12"/>
    </row>
    <row r="43" spans="1:13">
      <c r="A43" s="17" t="s">
        <v>1022</v>
      </c>
      <c r="B43" s="20">
        <f>COUNTIFS(Matriz!$C$4:$C$53,"&lt;&gt;",Matriz!$B$4:$B$53,"")</f>
        <v>0</v>
      </c>
      <c r="C43" s="12"/>
      <c r="D43" s="12"/>
      <c r="F43" s="12"/>
      <c r="G43" s="12"/>
      <c r="H43" s="12"/>
      <c r="I43" s="12"/>
      <c r="J43" s="12"/>
      <c r="K43" s="12"/>
      <c r="L43" s="12"/>
      <c r="M43" s="12"/>
    </row>
    <row r="44" spans="1:13">
      <c r="A44" s="17" t="s">
        <v>1103</v>
      </c>
      <c r="B44" s="20">
        <f>$C$13</f>
        <v>1</v>
      </c>
      <c r="C44" s="12"/>
      <c r="D44" s="12"/>
      <c r="F44" s="12"/>
      <c r="G44" s="12"/>
      <c r="H44" s="12"/>
      <c r="I44" s="12"/>
      <c r="J44" s="12"/>
      <c r="K44" s="12"/>
      <c r="L44" s="12"/>
      <c r="M44" s="12"/>
    </row>
    <row r="45" spans="1:13">
      <c r="A45" s="17" t="s">
        <v>1023</v>
      </c>
      <c r="B45" s="20">
        <f>COUNTIFS(Periódicos!$A$2:$A$168,"&lt;&gt;",Periódicos!$D$2:$D$168,"")</f>
        <v>0</v>
      </c>
      <c r="C45" s="12"/>
      <c r="D45" s="12"/>
      <c r="F45" s="12"/>
      <c r="G45" s="12"/>
      <c r="H45" s="12"/>
      <c r="I45" s="12"/>
      <c r="J45" s="12"/>
      <c r="K45" s="12"/>
      <c r="L45" s="12"/>
      <c r="M45" s="12"/>
    </row>
    <row r="46" spans="1:13">
      <c r="A46" s="12"/>
      <c r="B46" s="12"/>
      <c r="C46" s="12"/>
      <c r="D46" s="12"/>
      <c r="E46" s="12"/>
      <c r="F46" s="12"/>
      <c r="G46" s="12"/>
      <c r="H46" s="12"/>
      <c r="I46" s="12"/>
      <c r="J46" s="12"/>
      <c r="K46" s="12"/>
      <c r="L46" s="12"/>
      <c r="M46" s="12"/>
    </row>
    <row r="47" spans="1:13">
      <c r="A47" s="12"/>
      <c r="B47" s="12"/>
      <c r="C47" s="12"/>
      <c r="D47" s="12"/>
      <c r="E47" s="12"/>
      <c r="F47" s="12"/>
      <c r="G47" s="12"/>
      <c r="H47" s="12"/>
      <c r="I47" s="12"/>
      <c r="J47" s="12"/>
      <c r="K47" s="12"/>
      <c r="L47" s="12"/>
      <c r="M47" s="12"/>
    </row>
    <row r="48" spans="1:13">
      <c r="A48" s="12"/>
      <c r="B48" s="12"/>
      <c r="C48" s="12"/>
      <c r="D48" s="12"/>
      <c r="E48" s="12"/>
      <c r="F48" s="12"/>
      <c r="G48" s="12"/>
      <c r="H48" s="12"/>
      <c r="I48" s="12"/>
      <c r="J48" s="12"/>
      <c r="K48" s="12"/>
      <c r="L48" s="12"/>
      <c r="M48" s="12"/>
    </row>
    <row r="49" spans="1:13">
      <c r="A49" s="12"/>
      <c r="B49" s="12"/>
      <c r="C49" s="12"/>
      <c r="D49" s="12"/>
      <c r="E49" s="12"/>
      <c r="F49" s="12"/>
      <c r="G49" s="12"/>
      <c r="H49" s="12"/>
      <c r="I49" s="12"/>
      <c r="J49" s="12"/>
      <c r="K49" s="12"/>
      <c r="L49" s="12"/>
      <c r="M49" s="12"/>
    </row>
    <row r="50" spans="1:13">
      <c r="A50" s="12"/>
      <c r="B50" s="12"/>
      <c r="C50" s="12"/>
      <c r="D50" s="12"/>
      <c r="E50" s="12"/>
      <c r="F50" s="12"/>
      <c r="G50" s="12"/>
      <c r="H50" s="12"/>
      <c r="I50" s="12"/>
      <c r="J50" s="12"/>
      <c r="K50" s="12"/>
      <c r="L50" s="12"/>
      <c r="M50" s="12"/>
    </row>
    <row r="51" spans="1:13">
      <c r="A51" s="12"/>
      <c r="B51" s="12"/>
      <c r="C51" s="12"/>
      <c r="D51" s="12"/>
      <c r="E51" s="12"/>
      <c r="F51" s="12"/>
      <c r="G51" s="12"/>
      <c r="H51" s="12"/>
      <c r="I51" s="12"/>
      <c r="J51" s="12"/>
      <c r="K51" s="12"/>
      <c r="L51" s="12"/>
      <c r="M51" s="12"/>
    </row>
    <row r="52" spans="1:13">
      <c r="A52" s="12"/>
      <c r="B52" s="12"/>
      <c r="C52" s="12"/>
      <c r="D52" s="12"/>
      <c r="E52" s="12"/>
      <c r="F52" s="12"/>
      <c r="G52" s="12"/>
      <c r="H52" s="12"/>
      <c r="I52" s="12"/>
      <c r="J52" s="12"/>
      <c r="K52" s="12"/>
      <c r="L52" s="12"/>
      <c r="M52" s="12"/>
    </row>
    <row r="53" spans="1:13">
      <c r="A53" s="12"/>
      <c r="B53" s="12"/>
      <c r="C53" s="12"/>
      <c r="D53" s="12"/>
      <c r="E53" s="12"/>
      <c r="F53" s="12"/>
      <c r="G53" s="12"/>
      <c r="H53" s="12"/>
      <c r="I53" s="12"/>
      <c r="J53" s="12"/>
      <c r="K53" s="12"/>
      <c r="L53" s="12"/>
      <c r="M53" s="12"/>
    </row>
    <row r="54" spans="1:13">
      <c r="A54" s="12"/>
      <c r="B54" s="12"/>
      <c r="C54" s="12"/>
      <c r="D54" s="12"/>
      <c r="E54" s="12"/>
      <c r="F54" s="12"/>
      <c r="G54" s="12"/>
      <c r="H54" s="12"/>
      <c r="I54" s="12"/>
      <c r="J54" s="12"/>
      <c r="K54" s="12"/>
      <c r="L54" s="12"/>
      <c r="M54" s="12"/>
    </row>
    <row r="55" spans="1:13">
      <c r="A55" s="12"/>
      <c r="B55" s="12"/>
      <c r="C55" s="12"/>
      <c r="D55" s="12"/>
      <c r="E55" s="12"/>
      <c r="F55" s="12"/>
      <c r="G55" s="12"/>
      <c r="H55" s="12"/>
      <c r="I55" s="12"/>
      <c r="J55" s="12"/>
      <c r="K55" s="12"/>
      <c r="L55" s="12"/>
      <c r="M55" s="12"/>
    </row>
    <row r="56" spans="1:13">
      <c r="A56" s="12"/>
      <c r="B56" s="12"/>
      <c r="C56" s="12"/>
      <c r="D56" s="12"/>
      <c r="E56" s="12"/>
      <c r="F56" s="12"/>
      <c r="G56" s="12"/>
      <c r="H56" s="12"/>
      <c r="I56" s="12"/>
      <c r="J56" s="12"/>
      <c r="K56" s="12"/>
      <c r="L56" s="12"/>
      <c r="M56" s="12"/>
    </row>
    <row r="57" spans="1:13">
      <c r="A57" s="12"/>
      <c r="B57" s="12"/>
      <c r="C57" s="12"/>
      <c r="D57" s="12"/>
      <c r="E57" s="12"/>
      <c r="F57" s="12"/>
      <c r="G57" s="12"/>
      <c r="H57" s="12"/>
      <c r="I57" s="12"/>
      <c r="J57" s="12"/>
      <c r="K57" s="12"/>
      <c r="L57" s="12"/>
      <c r="M57" s="12"/>
    </row>
    <row r="58" spans="1:13">
      <c r="A58" s="12"/>
      <c r="B58" s="12"/>
      <c r="C58" s="12"/>
      <c r="D58" s="12"/>
      <c r="E58" s="12"/>
      <c r="F58" s="12"/>
      <c r="G58" s="12"/>
      <c r="H58" s="12"/>
      <c r="I58" s="12"/>
      <c r="J58" s="12"/>
      <c r="K58" s="12"/>
      <c r="L58" s="12"/>
      <c r="M58"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59"/>
  <sheetViews>
    <sheetView showGridLines="0" topLeftCell="T21" zoomScaleNormal="100" workbookViewId="0">
      <selection activeCell="D2" sqref="D1:D1048576"/>
    </sheetView>
  </sheetViews>
  <sheetFormatPr defaultRowHeight="14.25"/>
  <cols>
    <col min="1" max="1" width="5.3125" style="4" customWidth="1"/>
    <col min="2" max="2" width="23.625" style="4" bestFit="1" customWidth="1"/>
    <col min="3" max="3" width="80.9375" style="4" bestFit="1" customWidth="1"/>
    <col min="4" max="4" width="80.9375" style="4" customWidth="1"/>
    <col min="5" max="16" width="8.6875" style="4" customWidth="1"/>
    <col min="17" max="28" width="15" style="4" customWidth="1"/>
    <col min="29" max="29" width="3.3125" style="4" customWidth="1"/>
    <col min="30" max="35" width="11.5625" style="30" customWidth="1"/>
    <col min="36" max="36" width="9" style="4"/>
    <col min="37" max="37" width="6.4375" style="4" bestFit="1" customWidth="1"/>
    <col min="38" max="16384" width="9" style="4"/>
  </cols>
  <sheetData>
    <row r="1" spans="1:37">
      <c r="E1" s="34">
        <f>SUM(E$4:E$53)/COUNT(E$4:E$53)</f>
        <v>0.1702127659574468</v>
      </c>
      <c r="F1" s="34">
        <f>SUM(F$4:F$53)/COUNT(F$4:F$53)</f>
        <v>0.1702127659574468</v>
      </c>
      <c r="G1" s="34">
        <f>SUM(G$4:G$53)/COUNT(G$4:G$53)</f>
        <v>0.1702127659574468</v>
      </c>
      <c r="H1" s="34">
        <f>SUM(H$4:H$53)/COUNT(H$4:H$53)</f>
        <v>0.85106382978723405</v>
      </c>
      <c r="I1" s="34">
        <f>SUM(I$4:I$53)/COUNT(I$4:I$53)</f>
        <v>0.85106382978723405</v>
      </c>
      <c r="J1" s="34">
        <f>SUM(J$4:J$53)/COUNT(J$4:J$53)</f>
        <v>2.1276595744680851E-2</v>
      </c>
      <c r="K1" s="34">
        <f>SUM(K$4:K$53)/COUNT(K$4:K$53)</f>
        <v>2.1276595744680851E-2</v>
      </c>
      <c r="L1" s="34">
        <f>SUM(L$4:L$53)/COUNT(L$4:L$53)</f>
        <v>0</v>
      </c>
      <c r="M1" s="34">
        <f>SUM(M$4:M$53)/COUNT(M$4:M$53)</f>
        <v>0.97872340425531912</v>
      </c>
      <c r="N1" s="34">
        <f>SUM(N$4:N$53)/COUNT(N$4:N$53)</f>
        <v>0</v>
      </c>
      <c r="O1" s="34">
        <f>SUM(O$4:O$53)/COUNT(O$4:O$53)</f>
        <v>0</v>
      </c>
      <c r="P1" s="34">
        <f>SUM(P$4:P$53)/COUNT(P$4:P$53)</f>
        <v>0</v>
      </c>
    </row>
    <row r="2" spans="1:37">
      <c r="E2" s="33"/>
    </row>
    <row r="3" spans="1:37" ht="42.75">
      <c r="A3" s="36" t="s">
        <v>19</v>
      </c>
      <c r="B3" s="36" t="s">
        <v>1003</v>
      </c>
      <c r="C3" s="36" t="s">
        <v>1081</v>
      </c>
      <c r="D3" s="36" t="s">
        <v>20</v>
      </c>
      <c r="E3" s="28" t="s">
        <v>7</v>
      </c>
      <c r="F3" s="28" t="s">
        <v>8</v>
      </c>
      <c r="G3" s="28" t="s">
        <v>9</v>
      </c>
      <c r="H3" s="28" t="s">
        <v>10</v>
      </c>
      <c r="I3" s="28" t="s">
        <v>11</v>
      </c>
      <c r="J3" s="28" t="s">
        <v>12</v>
      </c>
      <c r="K3" s="28" t="s">
        <v>13</v>
      </c>
      <c r="L3" s="28" t="s">
        <v>14</v>
      </c>
      <c r="M3" s="28" t="s">
        <v>15</v>
      </c>
      <c r="N3" s="28" t="s">
        <v>16</v>
      </c>
      <c r="O3" s="28" t="s">
        <v>17</v>
      </c>
      <c r="P3" s="28" t="s">
        <v>18</v>
      </c>
      <c r="Q3" s="35" t="s">
        <v>1024</v>
      </c>
      <c r="R3" s="35" t="s">
        <v>1025</v>
      </c>
      <c r="S3" s="35" t="s">
        <v>1026</v>
      </c>
      <c r="T3" s="35" t="s">
        <v>1027</v>
      </c>
      <c r="U3" s="35" t="s">
        <v>1028</v>
      </c>
      <c r="V3" s="35" t="s">
        <v>1029</v>
      </c>
      <c r="W3" s="35" t="s">
        <v>1030</v>
      </c>
      <c r="X3" s="35" t="s">
        <v>1031</v>
      </c>
      <c r="Y3" s="35" t="s">
        <v>1032</v>
      </c>
      <c r="Z3" s="35" t="s">
        <v>1033</v>
      </c>
      <c r="AA3" s="35" t="s">
        <v>1034</v>
      </c>
      <c r="AB3" s="35" t="s">
        <v>1035</v>
      </c>
      <c r="AD3" s="32" t="s">
        <v>1090</v>
      </c>
      <c r="AE3" s="32" t="s">
        <v>5</v>
      </c>
      <c r="AF3" s="32" t="s">
        <v>1091</v>
      </c>
      <c r="AG3" s="32" t="s">
        <v>1092</v>
      </c>
      <c r="AH3" s="32" t="s">
        <v>1104</v>
      </c>
      <c r="AI3" s="32" t="s">
        <v>1105</v>
      </c>
      <c r="AJ3" s="36" t="s">
        <v>1081</v>
      </c>
      <c r="AK3" s="36" t="s">
        <v>19</v>
      </c>
    </row>
    <row r="4" spans="1:37" ht="14.35" customHeight="1">
      <c r="A4" s="6">
        <v>1</v>
      </c>
      <c r="B4" s="6" t="s">
        <v>1078</v>
      </c>
      <c r="C4" s="7" t="s">
        <v>995</v>
      </c>
      <c r="D4" s="6" t="s">
        <v>1073</v>
      </c>
      <c r="E4" s="8">
        <v>0</v>
      </c>
      <c r="F4" s="8">
        <v>0</v>
      </c>
      <c r="G4" s="8">
        <v>0</v>
      </c>
      <c r="H4" s="8">
        <v>1</v>
      </c>
      <c r="I4" s="8">
        <v>1</v>
      </c>
      <c r="J4" s="8">
        <v>0</v>
      </c>
      <c r="K4" s="8">
        <v>0</v>
      </c>
      <c r="L4" s="8">
        <v>0</v>
      </c>
      <c r="M4" s="8">
        <v>1</v>
      </c>
      <c r="N4" s="8">
        <v>0</v>
      </c>
      <c r="O4" s="8">
        <v>0</v>
      </c>
      <c r="P4" s="8">
        <v>0</v>
      </c>
      <c r="Q4" s="10" t="s">
        <v>1079</v>
      </c>
      <c r="R4" s="10" t="s">
        <v>1079</v>
      </c>
      <c r="S4" s="10" t="s">
        <v>1079</v>
      </c>
      <c r="T4" s="9" t="s">
        <v>996</v>
      </c>
      <c r="U4" s="10" t="s">
        <v>1079</v>
      </c>
      <c r="V4" s="10" t="s">
        <v>1079</v>
      </c>
      <c r="W4" s="10" t="s">
        <v>1079</v>
      </c>
      <c r="X4" s="10" t="s">
        <v>1079</v>
      </c>
      <c r="Y4" s="10" t="s">
        <v>1079</v>
      </c>
      <c r="Z4" s="10" t="s">
        <v>1079</v>
      </c>
      <c r="AA4" s="10" t="s">
        <v>1079</v>
      </c>
      <c r="AB4" s="10" t="s">
        <v>1079</v>
      </c>
      <c r="AD4" s="31">
        <f>IF($C4="","",SUM($E4:$P4))</f>
        <v>3</v>
      </c>
      <c r="AE4" s="31">
        <f>IF($C4="","",COUNTIF($Q4:$AB4,"http*"))</f>
        <v>1</v>
      </c>
      <c r="AF4" s="31">
        <f>IF($C4="","",$AD4*1000+(1000-$A4))</f>
        <v>3999</v>
      </c>
      <c r="AG4" s="31">
        <f>IF($C4="","",RANK($AF4,$AF$4:$AF$53))</f>
        <v>9</v>
      </c>
      <c r="AH4" s="31">
        <f>IF($C4="","",MAX(0,$AD4-$AE4))</f>
        <v>2</v>
      </c>
      <c r="AI4" s="31">
        <f>IF($C4="","",MAX(0,$AE4-$AD4))</f>
        <v>0</v>
      </c>
      <c r="AJ4" s="6" t="str">
        <f>C4</f>
        <v>Resolvendo equação polinomial de quarta ordem e demonstrando um teorema de redução de ordem</v>
      </c>
      <c r="AK4" s="6">
        <v>1</v>
      </c>
    </row>
    <row r="5" spans="1:37" ht="14.35" customHeight="1">
      <c r="A5" s="6">
        <v>2</v>
      </c>
      <c r="B5" s="6" t="s">
        <v>1078</v>
      </c>
      <c r="C5" s="7" t="s">
        <v>965</v>
      </c>
      <c r="D5" s="7" t="s">
        <v>1058</v>
      </c>
      <c r="E5" s="8">
        <v>0</v>
      </c>
      <c r="F5" s="8">
        <v>0</v>
      </c>
      <c r="G5" s="8">
        <v>0</v>
      </c>
      <c r="H5" s="8">
        <v>1</v>
      </c>
      <c r="I5" s="8">
        <v>1</v>
      </c>
      <c r="J5" s="8">
        <v>0</v>
      </c>
      <c r="K5" s="8">
        <v>0</v>
      </c>
      <c r="L5" s="8">
        <v>0</v>
      </c>
      <c r="M5" s="8">
        <v>1</v>
      </c>
      <c r="N5" s="8">
        <v>0</v>
      </c>
      <c r="O5" s="8">
        <v>0</v>
      </c>
      <c r="P5" s="8">
        <v>0</v>
      </c>
      <c r="Q5" s="10" t="s">
        <v>1079</v>
      </c>
      <c r="R5" s="10" t="s">
        <v>1079</v>
      </c>
      <c r="S5" s="10" t="s">
        <v>1079</v>
      </c>
      <c r="T5" s="10" t="s">
        <v>966</v>
      </c>
      <c r="U5" s="10" t="s">
        <v>1079</v>
      </c>
      <c r="V5" s="10" t="s">
        <v>1079</v>
      </c>
      <c r="W5" s="10" t="s">
        <v>1079</v>
      </c>
      <c r="X5" s="10" t="s">
        <v>1079</v>
      </c>
      <c r="Y5" s="10" t="s">
        <v>1079</v>
      </c>
      <c r="Z5" s="10" t="s">
        <v>1079</v>
      </c>
      <c r="AA5" s="10" t="s">
        <v>1079</v>
      </c>
      <c r="AB5" s="10" t="s">
        <v>1079</v>
      </c>
      <c r="AD5" s="31">
        <f>IF($C5="","",SUM($E5:$P5))</f>
        <v>3</v>
      </c>
      <c r="AE5" s="31">
        <f>IF($C5="","",COUNTIF($Q5:$AB5,"http*"))</f>
        <v>1</v>
      </c>
      <c r="AF5" s="31">
        <f>IF($C5="","",$AD5*1000+(1000-$A5))</f>
        <v>3998</v>
      </c>
      <c r="AG5" s="31">
        <f>IF($C5="","",RANK($AF5,$AF$4:$AF$53))</f>
        <v>10</v>
      </c>
      <c r="AH5" s="31">
        <f>IF($C5="","",MAX(0,$AD5-$AE5))</f>
        <v>2</v>
      </c>
      <c r="AI5" s="31">
        <f>IF($C5="","",MAX(0,$AE5-$AD5))</f>
        <v>0</v>
      </c>
      <c r="AJ5" s="6" t="str">
        <f t="shared" ref="AJ5:AJ59" si="0">C5</f>
        <v>Resolvendo (polinômios): x³ + px + q é divisível por (x-a)², encontre a relação entre p e q.</v>
      </c>
      <c r="AK5" s="6">
        <v>2</v>
      </c>
    </row>
    <row r="6" spans="1:37" ht="14.35" customHeight="1">
      <c r="A6" s="6">
        <v>3</v>
      </c>
      <c r="B6" s="6" t="s">
        <v>1075</v>
      </c>
      <c r="C6" s="7" t="s">
        <v>974</v>
      </c>
      <c r="D6" s="7" t="s">
        <v>1063</v>
      </c>
      <c r="E6" s="8">
        <v>0</v>
      </c>
      <c r="F6" s="8">
        <v>0</v>
      </c>
      <c r="G6" s="8">
        <v>0</v>
      </c>
      <c r="H6" s="8">
        <v>1</v>
      </c>
      <c r="I6" s="8">
        <v>1</v>
      </c>
      <c r="J6" s="8">
        <v>0</v>
      </c>
      <c r="K6" s="8">
        <v>0</v>
      </c>
      <c r="L6" s="8">
        <v>0</v>
      </c>
      <c r="M6" s="8">
        <v>1</v>
      </c>
      <c r="N6" s="8">
        <v>0</v>
      </c>
      <c r="O6" s="8">
        <v>0</v>
      </c>
      <c r="P6" s="8">
        <v>0</v>
      </c>
      <c r="Q6" s="10" t="s">
        <v>1079</v>
      </c>
      <c r="R6" s="10" t="s">
        <v>1079</v>
      </c>
      <c r="S6" s="10" t="s">
        <v>1079</v>
      </c>
      <c r="T6" s="10" t="s">
        <v>975</v>
      </c>
      <c r="U6" s="10" t="s">
        <v>1079</v>
      </c>
      <c r="V6" s="10" t="s">
        <v>1079</v>
      </c>
      <c r="W6" s="10" t="s">
        <v>1079</v>
      </c>
      <c r="X6" s="10" t="s">
        <v>1079</v>
      </c>
      <c r="Y6" s="10" t="s">
        <v>1079</v>
      </c>
      <c r="Z6" s="10" t="s">
        <v>1079</v>
      </c>
      <c r="AA6" s="10" t="s">
        <v>1079</v>
      </c>
      <c r="AB6" s="10" t="s">
        <v>1079</v>
      </c>
      <c r="AD6" s="31">
        <f>IF($C6="","",SUM($E6:$P6))</f>
        <v>3</v>
      </c>
      <c r="AE6" s="31">
        <f>IF($C6="","",COUNTIF($Q6:$AB6,"http*"))</f>
        <v>1</v>
      </c>
      <c r="AF6" s="31">
        <f>IF($C6="","",$AD6*1000+(1000-$A6))</f>
        <v>3997</v>
      </c>
      <c r="AG6" s="31">
        <f>IF($C6="","",RANK($AF6,$AF$4:$AF$53))</f>
        <v>11</v>
      </c>
      <c r="AH6" s="31">
        <f>IF($C6="","",MAX(0,$AD6-$AE6))</f>
        <v>2</v>
      </c>
      <c r="AI6" s="31">
        <f>IF($C6="","",MAX(0,$AE6-$AD6))</f>
        <v>0</v>
      </c>
      <c r="AJ6" s="6" t="str">
        <f t="shared" si="0"/>
        <v>Como visualizar dados longitudinais: linhas, heatmaps e painéis</v>
      </c>
      <c r="AK6" s="6">
        <v>3</v>
      </c>
    </row>
    <row r="7" spans="1:37" ht="14.35" customHeight="1">
      <c r="A7" s="6">
        <v>4</v>
      </c>
      <c r="B7" s="6" t="s">
        <v>1075</v>
      </c>
      <c r="C7" s="7" t="s">
        <v>949</v>
      </c>
      <c r="D7" s="7" t="s">
        <v>1050</v>
      </c>
      <c r="E7" s="8">
        <v>0</v>
      </c>
      <c r="F7" s="8">
        <v>0</v>
      </c>
      <c r="G7" s="8">
        <v>0</v>
      </c>
      <c r="H7" s="8">
        <v>1</v>
      </c>
      <c r="I7" s="8">
        <v>1</v>
      </c>
      <c r="J7" s="8">
        <v>0</v>
      </c>
      <c r="K7" s="8">
        <v>0</v>
      </c>
      <c r="L7" s="8">
        <v>0</v>
      </c>
      <c r="M7" s="8">
        <v>1</v>
      </c>
      <c r="N7" s="8">
        <v>0</v>
      </c>
      <c r="O7" s="8">
        <v>0</v>
      </c>
      <c r="P7" s="8">
        <v>0</v>
      </c>
      <c r="Q7" s="10" t="s">
        <v>1079</v>
      </c>
      <c r="R7" s="10" t="s">
        <v>1079</v>
      </c>
      <c r="S7" s="10" t="s">
        <v>1079</v>
      </c>
      <c r="T7" s="10" t="s">
        <v>950</v>
      </c>
      <c r="U7" s="10" t="s">
        <v>1079</v>
      </c>
      <c r="V7" s="10" t="s">
        <v>1079</v>
      </c>
      <c r="W7" s="10" t="s">
        <v>1079</v>
      </c>
      <c r="X7" s="10" t="s">
        <v>1079</v>
      </c>
      <c r="Y7" s="10" t="s">
        <v>1079</v>
      </c>
      <c r="Z7" s="10" t="s">
        <v>1079</v>
      </c>
      <c r="AA7" s="10" t="s">
        <v>1079</v>
      </c>
      <c r="AB7" s="10" t="s">
        <v>1079</v>
      </c>
      <c r="AD7" s="31">
        <f>IF($C7="","",SUM($E7:$P7))</f>
        <v>3</v>
      </c>
      <c r="AE7" s="31">
        <f>IF($C7="","",COUNTIF($Q7:$AB7,"http*"))</f>
        <v>1</v>
      </c>
      <c r="AF7" s="31">
        <f>IF($C7="","",$AD7*1000+(1000-$A7))</f>
        <v>3996</v>
      </c>
      <c r="AG7" s="31">
        <f>IF($C7="","",RANK($AF7,$AF$4:$AF$53))</f>
        <v>12</v>
      </c>
      <c r="AH7" s="31">
        <f>IF($C7="","",MAX(0,$AD7-$AE7))</f>
        <v>2</v>
      </c>
      <c r="AI7" s="31">
        <f>IF($C7="","",MAX(0,$AE7-$AD7))</f>
        <v>0</v>
      </c>
      <c r="AJ7" s="6" t="str">
        <f t="shared" si="0"/>
        <v>"Quick and dirty": análise de dados com Python - Precificação e elasticidade.</v>
      </c>
      <c r="AK7" s="6">
        <v>4</v>
      </c>
    </row>
    <row r="8" spans="1:37" ht="14.35" customHeight="1">
      <c r="A8" s="6">
        <v>5</v>
      </c>
      <c r="B8" s="6" t="s">
        <v>1075</v>
      </c>
      <c r="C8" s="7" t="s">
        <v>942</v>
      </c>
      <c r="D8" s="7" t="s">
        <v>1046</v>
      </c>
      <c r="E8" s="8">
        <v>0</v>
      </c>
      <c r="F8" s="8">
        <v>0</v>
      </c>
      <c r="G8" s="8">
        <v>0</v>
      </c>
      <c r="H8" s="8">
        <v>1</v>
      </c>
      <c r="I8" s="8">
        <v>1</v>
      </c>
      <c r="J8" s="8">
        <v>0</v>
      </c>
      <c r="K8" s="8">
        <v>0</v>
      </c>
      <c r="L8" s="8">
        <v>0</v>
      </c>
      <c r="M8" s="8">
        <v>1</v>
      </c>
      <c r="N8" s="8">
        <v>0</v>
      </c>
      <c r="O8" s="8">
        <v>0</v>
      </c>
      <c r="P8" s="8">
        <v>0</v>
      </c>
      <c r="Q8" s="10" t="s">
        <v>1079</v>
      </c>
      <c r="R8" s="10" t="s">
        <v>1079</v>
      </c>
      <c r="S8" s="10" t="s">
        <v>1079</v>
      </c>
      <c r="T8" s="10" t="s">
        <v>943</v>
      </c>
      <c r="U8" s="10" t="s">
        <v>1079</v>
      </c>
      <c r="V8" s="10" t="s">
        <v>1079</v>
      </c>
      <c r="W8" s="10" t="s">
        <v>1079</v>
      </c>
      <c r="X8" s="10" t="s">
        <v>1079</v>
      </c>
      <c r="Y8" s="10" t="s">
        <v>1079</v>
      </c>
      <c r="Z8" s="10" t="s">
        <v>1079</v>
      </c>
      <c r="AA8" s="10" t="s">
        <v>1079</v>
      </c>
      <c r="AB8" s="10" t="s">
        <v>1079</v>
      </c>
      <c r="AD8" s="31">
        <f>IF($C8="","",SUM($E8:$P8))</f>
        <v>3</v>
      </c>
      <c r="AE8" s="31">
        <f>IF($C8="","",COUNTIF($Q8:$AB8,"http*"))</f>
        <v>1</v>
      </c>
      <c r="AF8" s="31">
        <f>IF($C8="","",$AD8*1000+(1000-$A8))</f>
        <v>3995</v>
      </c>
      <c r="AG8" s="31">
        <f>IF($C8="","",RANK($AF8,$AF$4:$AF$53))</f>
        <v>13</v>
      </c>
      <c r="AH8" s="31">
        <f>IF($C8="","",MAX(0,$AD8-$AE8))</f>
        <v>2</v>
      </c>
      <c r="AI8" s="31">
        <f>IF($C8="","",MAX(0,$AE8-$AD8))</f>
        <v>0</v>
      </c>
      <c r="AJ8" s="6" t="str">
        <f t="shared" si="0"/>
        <v>Aula "trilha rápida do analista de dados": exemplos de funções (Python, SQL e DAX) muito utilizadas.</v>
      </c>
      <c r="AK8" s="6">
        <v>5</v>
      </c>
    </row>
    <row r="9" spans="1:37" ht="14.35" customHeight="1">
      <c r="A9" s="6">
        <v>6</v>
      </c>
      <c r="B9" s="6" t="s">
        <v>1076</v>
      </c>
      <c r="C9" s="7" t="s">
        <v>940</v>
      </c>
      <c r="D9" s="7" t="s">
        <v>1045</v>
      </c>
      <c r="E9" s="8">
        <v>0</v>
      </c>
      <c r="F9" s="8">
        <v>0</v>
      </c>
      <c r="G9" s="8">
        <v>0</v>
      </c>
      <c r="H9" s="8">
        <v>1</v>
      </c>
      <c r="I9" s="8">
        <v>1</v>
      </c>
      <c r="J9" s="8">
        <v>0</v>
      </c>
      <c r="K9" s="8">
        <v>0</v>
      </c>
      <c r="L9" s="8">
        <v>0</v>
      </c>
      <c r="M9" s="8">
        <v>1</v>
      </c>
      <c r="N9" s="8">
        <v>0</v>
      </c>
      <c r="O9" s="8">
        <v>0</v>
      </c>
      <c r="P9" s="8">
        <v>0</v>
      </c>
      <c r="Q9" s="10" t="s">
        <v>1079</v>
      </c>
      <c r="R9" s="10" t="s">
        <v>1079</v>
      </c>
      <c r="S9" s="10" t="s">
        <v>1079</v>
      </c>
      <c r="T9" s="10" t="s">
        <v>941</v>
      </c>
      <c r="U9" s="10" t="s">
        <v>1079</v>
      </c>
      <c r="V9" s="10" t="s">
        <v>1079</v>
      </c>
      <c r="W9" s="10" t="s">
        <v>1079</v>
      </c>
      <c r="X9" s="10" t="s">
        <v>1079</v>
      </c>
      <c r="Y9" s="10" t="s">
        <v>1079</v>
      </c>
      <c r="Z9" s="10" t="s">
        <v>1079</v>
      </c>
      <c r="AA9" s="10" t="s">
        <v>1079</v>
      </c>
      <c r="AB9" s="10" t="s">
        <v>1079</v>
      </c>
      <c r="AD9" s="31">
        <f>IF($C9="","",SUM($E9:$P9))</f>
        <v>3</v>
      </c>
      <c r="AE9" s="31">
        <f>IF($C9="","",COUNTIF($Q9:$AB9,"http*"))</f>
        <v>1</v>
      </c>
      <c r="AF9" s="31">
        <f>IF($C9="","",$AD9*1000+(1000-$A9))</f>
        <v>3994</v>
      </c>
      <c r="AG9" s="31">
        <f>IF($C9="","",RANK($AF9,$AF$4:$AF$53))</f>
        <v>14</v>
      </c>
      <c r="AH9" s="31">
        <f>IF($C9="","",MAX(0,$AD9-$AE9))</f>
        <v>2</v>
      </c>
      <c r="AI9" s="31">
        <f>IF($C9="","",MAX(0,$AE9-$AD9))</f>
        <v>0</v>
      </c>
      <c r="AJ9" s="6" t="str">
        <f t="shared" si="0"/>
        <v>Derivative of the exponential function via the limit definition</v>
      </c>
      <c r="AK9" s="6">
        <v>6</v>
      </c>
    </row>
    <row r="10" spans="1:37" ht="14.35" customHeight="1">
      <c r="A10" s="6">
        <v>7</v>
      </c>
      <c r="B10" s="6" t="s">
        <v>1076</v>
      </c>
      <c r="C10" s="7" t="s">
        <v>930</v>
      </c>
      <c r="D10" s="7" t="s">
        <v>1040</v>
      </c>
      <c r="E10" s="8">
        <v>0</v>
      </c>
      <c r="F10" s="8">
        <v>0</v>
      </c>
      <c r="G10" s="8">
        <v>0</v>
      </c>
      <c r="H10" s="8">
        <v>1</v>
      </c>
      <c r="I10" s="8">
        <v>1</v>
      </c>
      <c r="J10" s="8">
        <v>0</v>
      </c>
      <c r="K10" s="8">
        <v>0</v>
      </c>
      <c r="L10" s="8">
        <v>0</v>
      </c>
      <c r="M10" s="8">
        <v>1</v>
      </c>
      <c r="N10" s="8">
        <v>0</v>
      </c>
      <c r="O10" s="8">
        <v>0</v>
      </c>
      <c r="P10" s="8">
        <v>0</v>
      </c>
      <c r="Q10" s="10" t="s">
        <v>1079</v>
      </c>
      <c r="R10" s="10" t="s">
        <v>1079</v>
      </c>
      <c r="S10" s="10" t="s">
        <v>1079</v>
      </c>
      <c r="T10" s="10" t="s">
        <v>931</v>
      </c>
      <c r="U10" s="10" t="s">
        <v>1079</v>
      </c>
      <c r="V10" s="10" t="s">
        <v>1079</v>
      </c>
      <c r="W10" s="10" t="s">
        <v>1079</v>
      </c>
      <c r="X10" s="10" t="s">
        <v>1079</v>
      </c>
      <c r="Y10" s="10" t="s">
        <v>1079</v>
      </c>
      <c r="Z10" s="10" t="s">
        <v>1079</v>
      </c>
      <c r="AA10" s="10" t="s">
        <v>1079</v>
      </c>
      <c r="AB10" s="10" t="s">
        <v>1079</v>
      </c>
      <c r="AD10" s="31">
        <f>IF($C10="","",SUM($E10:$P10))</f>
        <v>3</v>
      </c>
      <c r="AE10" s="31">
        <f>IF($C10="","",COUNTIF($Q10:$AB10,"http*"))</f>
        <v>1</v>
      </c>
      <c r="AF10" s="31">
        <f>IF($C10="","",$AD10*1000+(1000-$A10))</f>
        <v>3993</v>
      </c>
      <c r="AG10" s="31">
        <f>IF($C10="","",RANK($AF10,$AF$4:$AF$53))</f>
        <v>15</v>
      </c>
      <c r="AH10" s="31">
        <f>IF($C10="","",MAX(0,$AD10-$AE10))</f>
        <v>2</v>
      </c>
      <c r="AI10" s="31">
        <f>IF($C10="","",MAX(0,$AE10-$AD10))</f>
        <v>0</v>
      </c>
      <c r="AJ10" s="6" t="str">
        <f t="shared" si="0"/>
        <v>Why the Gradient Is Orthogonal to Level Surfaces</v>
      </c>
      <c r="AK10" s="6">
        <v>7</v>
      </c>
    </row>
    <row r="11" spans="1:37" ht="14.35" customHeight="1">
      <c r="A11" s="6">
        <v>8</v>
      </c>
      <c r="B11" s="6" t="s">
        <v>1076</v>
      </c>
      <c r="C11" s="7" t="s">
        <v>932</v>
      </c>
      <c r="D11" s="7" t="s">
        <v>1041</v>
      </c>
      <c r="E11" s="8">
        <v>0</v>
      </c>
      <c r="F11" s="8">
        <v>0</v>
      </c>
      <c r="G11" s="8">
        <v>0</v>
      </c>
      <c r="H11" s="8">
        <v>1</v>
      </c>
      <c r="I11" s="8">
        <v>1</v>
      </c>
      <c r="J11" s="8">
        <v>0</v>
      </c>
      <c r="K11" s="8">
        <v>0</v>
      </c>
      <c r="L11" s="8">
        <v>0</v>
      </c>
      <c r="M11" s="8">
        <v>1</v>
      </c>
      <c r="N11" s="8">
        <v>0</v>
      </c>
      <c r="O11" s="8">
        <v>0</v>
      </c>
      <c r="P11" s="8">
        <v>0</v>
      </c>
      <c r="Q11" s="10" t="s">
        <v>1079</v>
      </c>
      <c r="R11" s="10" t="s">
        <v>1079</v>
      </c>
      <c r="S11" s="10" t="s">
        <v>1079</v>
      </c>
      <c r="T11" s="10" t="s">
        <v>933</v>
      </c>
      <c r="U11" s="10" t="s">
        <v>1079</v>
      </c>
      <c r="V11" s="10" t="s">
        <v>1079</v>
      </c>
      <c r="W11" s="10" t="s">
        <v>1079</v>
      </c>
      <c r="X11" s="10" t="s">
        <v>1079</v>
      </c>
      <c r="Y11" s="10" t="s">
        <v>1079</v>
      </c>
      <c r="Z11" s="10" t="s">
        <v>1079</v>
      </c>
      <c r="AA11" s="10" t="s">
        <v>1079</v>
      </c>
      <c r="AB11" s="10" t="s">
        <v>1079</v>
      </c>
      <c r="AD11" s="31">
        <f>IF($C11="","",SUM($E11:$P11))</f>
        <v>3</v>
      </c>
      <c r="AE11" s="31">
        <f>IF($C11="","",COUNTIF($Q11:$AB11,"http*"))</f>
        <v>1</v>
      </c>
      <c r="AF11" s="31">
        <f>IF($C11="","",$AD11*1000+(1000-$A11))</f>
        <v>3992</v>
      </c>
      <c r="AG11" s="31">
        <f>IF($C11="","",RANK($AF11,$AF$4:$AF$53))</f>
        <v>16</v>
      </c>
      <c r="AH11" s="31">
        <f>IF($C11="","",MAX(0,$AD11-$AE11))</f>
        <v>2</v>
      </c>
      <c r="AI11" s="31">
        <f>IF($C11="","",MAX(0,$AE11-$AD11))</f>
        <v>0</v>
      </c>
      <c r="AJ11" s="6" t="str">
        <f t="shared" si="0"/>
        <v>Por que o gradiente é perpendicular às superfícies de nível?</v>
      </c>
      <c r="AK11" s="6">
        <v>8</v>
      </c>
    </row>
    <row r="12" spans="1:37" ht="14.35" customHeight="1">
      <c r="A12" s="6">
        <v>9</v>
      </c>
      <c r="B12" s="6" t="s">
        <v>1076</v>
      </c>
      <c r="C12" s="7" t="s">
        <v>993</v>
      </c>
      <c r="D12" s="7" t="s">
        <v>1072</v>
      </c>
      <c r="E12" s="8">
        <v>0</v>
      </c>
      <c r="F12" s="8">
        <v>0</v>
      </c>
      <c r="G12" s="8">
        <v>0</v>
      </c>
      <c r="H12" s="8">
        <v>1</v>
      </c>
      <c r="I12" s="8">
        <v>1</v>
      </c>
      <c r="J12" s="8">
        <v>0</v>
      </c>
      <c r="K12" s="8">
        <v>0</v>
      </c>
      <c r="L12" s="8">
        <v>0</v>
      </c>
      <c r="M12" s="8">
        <v>1</v>
      </c>
      <c r="N12" s="8">
        <v>0</v>
      </c>
      <c r="O12" s="8">
        <v>0</v>
      </c>
      <c r="P12" s="8">
        <v>0</v>
      </c>
      <c r="Q12" s="10" t="s">
        <v>1079</v>
      </c>
      <c r="R12" s="10" t="s">
        <v>1079</v>
      </c>
      <c r="S12" s="10" t="s">
        <v>1079</v>
      </c>
      <c r="T12" s="10" t="s">
        <v>994</v>
      </c>
      <c r="U12" s="10" t="s">
        <v>1079</v>
      </c>
      <c r="V12" s="10" t="s">
        <v>1079</v>
      </c>
      <c r="W12" s="10" t="s">
        <v>1079</v>
      </c>
      <c r="X12" s="10" t="s">
        <v>1079</v>
      </c>
      <c r="Y12" s="10" t="s">
        <v>1079</v>
      </c>
      <c r="Z12" s="10" t="s">
        <v>1079</v>
      </c>
      <c r="AA12" s="10" t="s">
        <v>1079</v>
      </c>
      <c r="AB12" s="10" t="s">
        <v>1079</v>
      </c>
      <c r="AD12" s="31">
        <f>IF($C12="","",SUM($E12:$P12))</f>
        <v>3</v>
      </c>
      <c r="AE12" s="31">
        <f>IF($C12="","",COUNTIF($Q12:$AB12,"http*"))</f>
        <v>1</v>
      </c>
      <c r="AF12" s="31">
        <f>IF($C12="","",$AD12*1000+(1000-$A12))</f>
        <v>3991</v>
      </c>
      <c r="AG12" s="31">
        <f>IF($C12="","",RANK($AF12,$AF$4:$AF$53))</f>
        <v>17</v>
      </c>
      <c r="AH12" s="31">
        <f>IF($C12="","",MAX(0,$AD12-$AE12))</f>
        <v>2</v>
      </c>
      <c r="AI12" s="31">
        <f>IF($C12="","",MAX(0,$AE12-$AD12))</f>
        <v>0</v>
      </c>
      <c r="AJ12" s="6" t="str">
        <f t="shared" si="0"/>
        <v>Benderama: banach-tarski machine and quantum Bender. Explanation of the harmonic series divergence.</v>
      </c>
      <c r="AK12" s="6">
        <v>9</v>
      </c>
    </row>
    <row r="13" spans="1:37" ht="14.35" customHeight="1">
      <c r="A13" s="6">
        <v>10</v>
      </c>
      <c r="B13" s="6" t="s">
        <v>1076</v>
      </c>
      <c r="C13" s="7" t="s">
        <v>953</v>
      </c>
      <c r="D13" s="7" t="s">
        <v>1052</v>
      </c>
      <c r="E13" s="8">
        <v>0</v>
      </c>
      <c r="F13" s="8">
        <v>0</v>
      </c>
      <c r="G13" s="8">
        <v>0</v>
      </c>
      <c r="H13" s="8">
        <v>1</v>
      </c>
      <c r="I13" s="8">
        <v>1</v>
      </c>
      <c r="J13" s="8">
        <v>0</v>
      </c>
      <c r="K13" s="8">
        <v>0</v>
      </c>
      <c r="L13" s="8">
        <v>0</v>
      </c>
      <c r="M13" s="8">
        <v>1</v>
      </c>
      <c r="N13" s="8">
        <v>0</v>
      </c>
      <c r="O13" s="8">
        <v>0</v>
      </c>
      <c r="P13" s="8">
        <v>0</v>
      </c>
      <c r="Q13" s="10" t="s">
        <v>1079</v>
      </c>
      <c r="R13" s="10" t="s">
        <v>1079</v>
      </c>
      <c r="S13" s="10" t="s">
        <v>1079</v>
      </c>
      <c r="T13" s="10" t="s">
        <v>954</v>
      </c>
      <c r="U13" s="10" t="s">
        <v>1079</v>
      </c>
      <c r="V13" s="10" t="s">
        <v>1079</v>
      </c>
      <c r="W13" s="10" t="s">
        <v>1079</v>
      </c>
      <c r="X13" s="10" t="s">
        <v>1079</v>
      </c>
      <c r="Y13" s="10" t="s">
        <v>1079</v>
      </c>
      <c r="Z13" s="10" t="s">
        <v>1079</v>
      </c>
      <c r="AA13" s="10" t="s">
        <v>1079</v>
      </c>
      <c r="AB13" s="10" t="s">
        <v>1079</v>
      </c>
      <c r="AD13" s="31">
        <f>IF($C13="","",SUM($E13:$P13))</f>
        <v>3</v>
      </c>
      <c r="AE13" s="31">
        <f>IF($C13="","",COUNTIF($Q13:$AB13,"http*"))</f>
        <v>1</v>
      </c>
      <c r="AF13" s="31">
        <f>IF($C13="","",$AD13*1000+(1000-$A13))</f>
        <v>3990</v>
      </c>
      <c r="AG13" s="31">
        <f>IF($C13="","",RANK($AF13,$AF$4:$AF$53))</f>
        <v>18</v>
      </c>
      <c r="AH13" s="31">
        <f>IF($C13="","",MAX(0,$AD13-$AE13))</f>
        <v>2</v>
      </c>
      <c r="AI13" s="31">
        <f>IF($C13="","",MAX(0,$AE13-$AD13))</f>
        <v>0</v>
      </c>
      <c r="AJ13" s="6" t="str">
        <f t="shared" si="0"/>
        <v>Questão Dissertativa do IME de 2026: uma demonstração que engana muita gente. Desafiadora!</v>
      </c>
      <c r="AK13" s="6">
        <v>10</v>
      </c>
    </row>
    <row r="14" spans="1:37" ht="14.35" customHeight="1">
      <c r="A14" s="6">
        <v>11</v>
      </c>
      <c r="B14" s="6" t="s">
        <v>1076</v>
      </c>
      <c r="C14" s="7" t="s">
        <v>959</v>
      </c>
      <c r="D14" s="6" t="s">
        <v>1055</v>
      </c>
      <c r="E14" s="8">
        <v>0</v>
      </c>
      <c r="F14" s="8">
        <v>0</v>
      </c>
      <c r="G14" s="8">
        <v>0</v>
      </c>
      <c r="H14" s="8">
        <v>1</v>
      </c>
      <c r="I14" s="8">
        <v>1</v>
      </c>
      <c r="J14" s="8">
        <v>0</v>
      </c>
      <c r="K14" s="8">
        <v>0</v>
      </c>
      <c r="L14" s="8">
        <v>0</v>
      </c>
      <c r="M14" s="8">
        <v>1</v>
      </c>
      <c r="N14" s="8">
        <v>0</v>
      </c>
      <c r="O14" s="8">
        <v>0</v>
      </c>
      <c r="P14" s="8">
        <v>0</v>
      </c>
      <c r="Q14" s="10" t="s">
        <v>1079</v>
      </c>
      <c r="R14" s="10" t="s">
        <v>1079</v>
      </c>
      <c r="S14" s="10" t="s">
        <v>1079</v>
      </c>
      <c r="T14" s="10" t="s">
        <v>960</v>
      </c>
      <c r="U14" s="10" t="s">
        <v>1079</v>
      </c>
      <c r="V14" s="10" t="s">
        <v>1079</v>
      </c>
      <c r="W14" s="10" t="s">
        <v>1079</v>
      </c>
      <c r="X14" s="10" t="s">
        <v>1079</v>
      </c>
      <c r="Y14" s="10" t="s">
        <v>1079</v>
      </c>
      <c r="Z14" s="10" t="s">
        <v>1079</v>
      </c>
      <c r="AA14" s="10" t="s">
        <v>1079</v>
      </c>
      <c r="AB14" s="10" t="s">
        <v>1079</v>
      </c>
      <c r="AD14" s="31">
        <f>IF($C14="","",SUM($E14:$P14))</f>
        <v>3</v>
      </c>
      <c r="AE14" s="31">
        <f>IF($C14="","",COUNTIF($Q14:$AB14,"http*"))</f>
        <v>1</v>
      </c>
      <c r="AF14" s="31">
        <f>IF($C14="","",$AD14*1000+(1000-$A14))</f>
        <v>3989</v>
      </c>
      <c r="AG14" s="31">
        <f>IF($C14="","",RANK($AF14,$AF$4:$AF$53))</f>
        <v>19</v>
      </c>
      <c r="AH14" s="31">
        <f>IF($C14="","",MAX(0,$AD14-$AE14))</f>
        <v>2</v>
      </c>
      <c r="AI14" s="31">
        <f>IF($C14="","",MAX(0,$AE14-$AD14))</f>
        <v>0</v>
      </c>
      <c r="AJ14" s="6" t="str">
        <f t="shared" si="0"/>
        <v>Desigualdade de Cauchy–Schwarz: uma demonstração simples para estudantes avançados do ensino médio.</v>
      </c>
      <c r="AK14" s="6">
        <v>11</v>
      </c>
    </row>
    <row r="15" spans="1:37" ht="14.35" customHeight="1">
      <c r="A15" s="6">
        <v>12</v>
      </c>
      <c r="B15" s="6" t="s">
        <v>1076</v>
      </c>
      <c r="C15" s="7" t="s">
        <v>955</v>
      </c>
      <c r="D15" s="7" t="s">
        <v>1053</v>
      </c>
      <c r="E15" s="8">
        <v>0</v>
      </c>
      <c r="F15" s="8">
        <v>0</v>
      </c>
      <c r="G15" s="8">
        <v>0</v>
      </c>
      <c r="H15" s="8">
        <v>1</v>
      </c>
      <c r="I15" s="8">
        <v>1</v>
      </c>
      <c r="J15" s="8">
        <v>0</v>
      </c>
      <c r="K15" s="8">
        <v>0</v>
      </c>
      <c r="L15" s="8">
        <v>0</v>
      </c>
      <c r="M15" s="8">
        <v>1</v>
      </c>
      <c r="N15" s="8">
        <v>0</v>
      </c>
      <c r="O15" s="8">
        <v>0</v>
      </c>
      <c r="P15" s="8">
        <v>0</v>
      </c>
      <c r="Q15" s="10" t="s">
        <v>1079</v>
      </c>
      <c r="R15" s="10" t="s">
        <v>1079</v>
      </c>
      <c r="S15" s="10" t="s">
        <v>1079</v>
      </c>
      <c r="T15" s="10" t="s">
        <v>956</v>
      </c>
      <c r="U15" s="10" t="s">
        <v>1079</v>
      </c>
      <c r="V15" s="10" t="s">
        <v>1079</v>
      </c>
      <c r="W15" s="10" t="s">
        <v>1079</v>
      </c>
      <c r="X15" s="10" t="s">
        <v>1079</v>
      </c>
      <c r="Y15" s="10" t="s">
        <v>1079</v>
      </c>
      <c r="Z15" s="10" t="s">
        <v>1079</v>
      </c>
      <c r="AA15" s="10" t="s">
        <v>1079</v>
      </c>
      <c r="AB15" s="10" t="s">
        <v>1079</v>
      </c>
      <c r="AD15" s="31">
        <f>IF($C15="","",SUM($E15:$P15))</f>
        <v>3</v>
      </c>
      <c r="AE15" s="31">
        <f>IF($C15="","",COUNTIF($Q15:$AB15,"http*"))</f>
        <v>1</v>
      </c>
      <c r="AF15" s="31">
        <f>IF($C15="","",$AD15*1000+(1000-$A15))</f>
        <v>3988</v>
      </c>
      <c r="AG15" s="31">
        <f>IF($C15="","",RANK($AF15,$AF$4:$AF$53))</f>
        <v>20</v>
      </c>
      <c r="AH15" s="31">
        <f>IF($C15="","",MAX(0,$AD15-$AE15))</f>
        <v>2</v>
      </c>
      <c r="AI15" s="31">
        <f>IF($C15="","",MAX(0,$AE15-$AD15))</f>
        <v>0</v>
      </c>
      <c r="AJ15" s="6" t="str">
        <f t="shared" si="0"/>
        <v>Demonstração da desigualdade matemática (exercício 2.7 do livro The Cauchy-Schwarz Master Class).</v>
      </c>
      <c r="AK15" s="6">
        <v>12</v>
      </c>
    </row>
    <row r="16" spans="1:37" ht="14.35" customHeight="1">
      <c r="A16" s="6">
        <v>13</v>
      </c>
      <c r="B16" s="6" t="s">
        <v>1076</v>
      </c>
      <c r="C16" s="7" t="s">
        <v>967</v>
      </c>
      <c r="D16" s="7" t="s">
        <v>1059</v>
      </c>
      <c r="E16" s="8">
        <v>0</v>
      </c>
      <c r="F16" s="8">
        <v>0</v>
      </c>
      <c r="G16" s="8">
        <v>0</v>
      </c>
      <c r="H16" s="8">
        <v>1</v>
      </c>
      <c r="I16" s="8">
        <v>1</v>
      </c>
      <c r="J16" s="8">
        <v>0</v>
      </c>
      <c r="K16" s="8">
        <v>0</v>
      </c>
      <c r="L16" s="8">
        <v>0</v>
      </c>
      <c r="M16" s="8">
        <v>1</v>
      </c>
      <c r="N16" s="8">
        <v>0</v>
      </c>
      <c r="O16" s="8">
        <v>0</v>
      </c>
      <c r="P16" s="8">
        <v>0</v>
      </c>
      <c r="Q16" s="10" t="s">
        <v>1079</v>
      </c>
      <c r="R16" s="10" t="s">
        <v>1079</v>
      </c>
      <c r="S16" s="10" t="s">
        <v>1079</v>
      </c>
      <c r="T16" s="9" t="s">
        <v>968</v>
      </c>
      <c r="U16" s="10" t="s">
        <v>1079</v>
      </c>
      <c r="V16" s="10" t="s">
        <v>1079</v>
      </c>
      <c r="W16" s="10" t="s">
        <v>1079</v>
      </c>
      <c r="X16" s="10" t="s">
        <v>1079</v>
      </c>
      <c r="Y16" s="10" t="s">
        <v>1079</v>
      </c>
      <c r="Z16" s="10" t="s">
        <v>1079</v>
      </c>
      <c r="AA16" s="10" t="s">
        <v>1079</v>
      </c>
      <c r="AB16" s="10" t="s">
        <v>1079</v>
      </c>
      <c r="AD16" s="31">
        <f>IF($C16="","",SUM($E16:$P16))</f>
        <v>3</v>
      </c>
      <c r="AE16" s="31">
        <f>IF($C16="","",COUNTIF($Q16:$AB16,"http*"))</f>
        <v>1</v>
      </c>
      <c r="AF16" s="31">
        <f>IF($C16="","",$AD16*1000+(1000-$A16))</f>
        <v>3987</v>
      </c>
      <c r="AG16" s="31">
        <f>IF($C16="","",RANK($AF16,$AF$4:$AF$53))</f>
        <v>21</v>
      </c>
      <c r="AH16" s="31">
        <f>IF($C16="","",MAX(0,$AD16-$AE16))</f>
        <v>2</v>
      </c>
      <c r="AI16" s="31">
        <f>IF($C16="","",MAX(0,$AE16-$AD16))</f>
        <v>0</v>
      </c>
      <c r="AJ16" s="6" t="str">
        <f t="shared" si="0"/>
        <v>Questão 05, Dia 02 da prova do IME-2025/2026 (questão dissertativa da prova de matemática)</v>
      </c>
      <c r="AK16" s="6">
        <v>13</v>
      </c>
    </row>
    <row r="17" spans="1:37" ht="14.35" customHeight="1">
      <c r="A17" s="6">
        <v>14</v>
      </c>
      <c r="B17" s="6" t="s">
        <v>999</v>
      </c>
      <c r="C17" s="7" t="s">
        <v>926</v>
      </c>
      <c r="D17" s="7" t="s">
        <v>1038</v>
      </c>
      <c r="E17" s="8">
        <v>0</v>
      </c>
      <c r="F17" s="8">
        <v>0</v>
      </c>
      <c r="G17" s="8">
        <v>0</v>
      </c>
      <c r="H17" s="8">
        <v>1</v>
      </c>
      <c r="I17" s="8">
        <v>1</v>
      </c>
      <c r="J17" s="8">
        <v>0</v>
      </c>
      <c r="K17" s="8">
        <v>0</v>
      </c>
      <c r="L17" s="8">
        <v>0</v>
      </c>
      <c r="M17" s="8">
        <v>1</v>
      </c>
      <c r="N17" s="8">
        <v>0</v>
      </c>
      <c r="O17" s="8">
        <v>0</v>
      </c>
      <c r="P17" s="8">
        <v>0</v>
      </c>
      <c r="Q17" s="10" t="s">
        <v>1079</v>
      </c>
      <c r="R17" s="10" t="s">
        <v>1079</v>
      </c>
      <c r="S17" s="10" t="s">
        <v>1079</v>
      </c>
      <c r="T17" s="10" t="s">
        <v>927</v>
      </c>
      <c r="U17" s="10" t="s">
        <v>1079</v>
      </c>
      <c r="V17" s="10" t="s">
        <v>1079</v>
      </c>
      <c r="W17" s="10" t="s">
        <v>1079</v>
      </c>
      <c r="X17" s="10" t="s">
        <v>1079</v>
      </c>
      <c r="Y17" s="10" t="s">
        <v>1079</v>
      </c>
      <c r="Z17" s="10" t="s">
        <v>1079</v>
      </c>
      <c r="AA17" s="10" t="s">
        <v>1079</v>
      </c>
      <c r="AB17" s="10" t="s">
        <v>1079</v>
      </c>
      <c r="AD17" s="31">
        <f>IF($C17="","",SUM($E17:$P17))</f>
        <v>3</v>
      </c>
      <c r="AE17" s="31">
        <f>IF($C17="","",COUNTIF($Q17:$AB17,"http*"))</f>
        <v>1</v>
      </c>
      <c r="AF17" s="31">
        <f>IF($C17="","",$AD17*1000+(1000-$A17))</f>
        <v>3986</v>
      </c>
      <c r="AG17" s="31">
        <f>IF($C17="","",RANK($AF17,$AF$4:$AF$53))</f>
        <v>22</v>
      </c>
      <c r="AH17" s="31">
        <f>IF($C17="","",MAX(0,$AD17-$AE17))</f>
        <v>2</v>
      </c>
      <c r="AI17" s="31">
        <f>IF($C17="","",MAX(0,$AE17-$AD17))</f>
        <v>0</v>
      </c>
      <c r="AJ17" s="6" t="str">
        <f t="shared" si="0"/>
        <v>Agentes de Inteligência Artificial: Conceitos, Funcionamento, Aplicações e Limitações</v>
      </c>
      <c r="AK17" s="6">
        <v>14</v>
      </c>
    </row>
    <row r="18" spans="1:37" ht="14.35" customHeight="1">
      <c r="A18" s="6">
        <v>15</v>
      </c>
      <c r="B18" s="6" t="s">
        <v>998</v>
      </c>
      <c r="C18" s="6" t="s">
        <v>969</v>
      </c>
      <c r="D18" s="7" t="s">
        <v>1060</v>
      </c>
      <c r="E18" s="8">
        <v>0</v>
      </c>
      <c r="F18" s="8">
        <v>0</v>
      </c>
      <c r="G18" s="8">
        <v>0</v>
      </c>
      <c r="H18" s="8">
        <v>1</v>
      </c>
      <c r="I18" s="8">
        <v>1</v>
      </c>
      <c r="J18" s="8">
        <v>0</v>
      </c>
      <c r="K18" s="8">
        <v>0</v>
      </c>
      <c r="L18" s="8">
        <v>0</v>
      </c>
      <c r="M18" s="8">
        <v>1</v>
      </c>
      <c r="N18" s="8">
        <v>0</v>
      </c>
      <c r="O18" s="8">
        <v>0</v>
      </c>
      <c r="P18" s="8">
        <v>0</v>
      </c>
      <c r="Q18" s="10" t="s">
        <v>1079</v>
      </c>
      <c r="R18" s="10" t="s">
        <v>1079</v>
      </c>
      <c r="S18" s="10" t="s">
        <v>1079</v>
      </c>
      <c r="T18" s="9" t="s">
        <v>970</v>
      </c>
      <c r="U18" s="10" t="s">
        <v>1079</v>
      </c>
      <c r="V18" s="10" t="s">
        <v>1079</v>
      </c>
      <c r="W18" s="10" t="s">
        <v>1079</v>
      </c>
      <c r="X18" s="10" t="s">
        <v>1079</v>
      </c>
      <c r="Y18" s="10" t="s">
        <v>1079</v>
      </c>
      <c r="Z18" s="10" t="s">
        <v>1079</v>
      </c>
      <c r="AA18" s="10" t="s">
        <v>1079</v>
      </c>
      <c r="AB18" s="10" t="s">
        <v>1079</v>
      </c>
      <c r="AD18" s="31">
        <f>IF($C18="","",SUM($E18:$P18))</f>
        <v>3</v>
      </c>
      <c r="AE18" s="31">
        <f>IF($C18="","",COUNTIF($Q18:$AB18,"http*"))</f>
        <v>1</v>
      </c>
      <c r="AF18" s="31">
        <f>IF($C18="","",$AD18*1000+(1000-$A18))</f>
        <v>3985</v>
      </c>
      <c r="AG18" s="31">
        <f>IF($C18="","",RANK($AF18,$AF$4:$AF$53))</f>
        <v>23</v>
      </c>
      <c r="AH18" s="31">
        <f>IF($C18="","",MAX(0,$AD18-$AE18))</f>
        <v>2</v>
      </c>
      <c r="AI18" s="31">
        <f>IF($C18="","",MAX(0,$AE18-$AD18))</f>
        <v>0</v>
      </c>
      <c r="AJ18" s="6" t="str">
        <f t="shared" si="0"/>
        <v>Teste de Wilcoxon: quando usar estatística não paramétrica</v>
      </c>
      <c r="AK18" s="6">
        <v>15</v>
      </c>
    </row>
    <row r="19" spans="1:37" ht="14.35" customHeight="1">
      <c r="A19" s="6">
        <v>16</v>
      </c>
      <c r="B19" s="6" t="s">
        <v>1000</v>
      </c>
      <c r="C19" s="6" t="s">
        <v>944</v>
      </c>
      <c r="D19" s="5" t="s">
        <v>1047</v>
      </c>
      <c r="E19" s="8">
        <v>1</v>
      </c>
      <c r="F19" s="8">
        <v>1</v>
      </c>
      <c r="G19" s="8">
        <v>1</v>
      </c>
      <c r="H19" s="8">
        <v>1</v>
      </c>
      <c r="I19" s="8">
        <v>1</v>
      </c>
      <c r="J19" s="8">
        <v>0</v>
      </c>
      <c r="K19" s="8">
        <v>0</v>
      </c>
      <c r="L19" s="8">
        <v>0</v>
      </c>
      <c r="M19" s="8">
        <v>1</v>
      </c>
      <c r="N19" s="8">
        <v>0</v>
      </c>
      <c r="O19" s="8">
        <v>0</v>
      </c>
      <c r="P19" s="8">
        <v>0</v>
      </c>
      <c r="Q19" s="10" t="s">
        <v>21</v>
      </c>
      <c r="R19" s="10" t="s">
        <v>22</v>
      </c>
      <c r="S19" s="10" t="s">
        <v>1079</v>
      </c>
      <c r="T19" s="10" t="s">
        <v>23</v>
      </c>
      <c r="U19" s="10" t="s">
        <v>24</v>
      </c>
      <c r="V19" s="10" t="s">
        <v>1079</v>
      </c>
      <c r="W19" s="10" t="s">
        <v>1079</v>
      </c>
      <c r="X19" s="10" t="s">
        <v>1079</v>
      </c>
      <c r="Y19" s="10" t="s">
        <v>1079</v>
      </c>
      <c r="Z19" s="10" t="s">
        <v>1079</v>
      </c>
      <c r="AA19" s="10" t="s">
        <v>1079</v>
      </c>
      <c r="AB19" s="10" t="s">
        <v>1079</v>
      </c>
      <c r="AD19" s="31">
        <f>IF($C19="","",SUM($E19:$P19))</f>
        <v>6</v>
      </c>
      <c r="AE19" s="31">
        <f>IF($C19="","",COUNTIF($Q19:$AB19,"http*"))</f>
        <v>4</v>
      </c>
      <c r="AF19" s="31">
        <f>IF($C19="","",$AD19*1000+(1000-$A19))</f>
        <v>6984</v>
      </c>
      <c r="AG19" s="31">
        <f>IF($C19="","",RANK($AF19,$AF$4:$AF$53))</f>
        <v>1</v>
      </c>
      <c r="AH19" s="31">
        <f>IF($C19="","",MAX(0,$AD19-$AE19))</f>
        <v>2</v>
      </c>
      <c r="AI19" s="31">
        <f>IF($C19="","",MAX(0,$AE19-$AD19))</f>
        <v>0</v>
      </c>
      <c r="AJ19" s="6" t="str">
        <f t="shared" si="0"/>
        <v>O problema do SAT que todos erraram: paradoxo das moedas e roda de Aristóteles</v>
      </c>
      <c r="AK19" s="6">
        <v>16</v>
      </c>
    </row>
    <row r="20" spans="1:37" ht="14.35" customHeight="1">
      <c r="A20" s="6">
        <v>17</v>
      </c>
      <c r="B20" s="6" t="s">
        <v>1000</v>
      </c>
      <c r="C20" s="6" t="s">
        <v>25</v>
      </c>
      <c r="D20" s="6" t="s">
        <v>1084</v>
      </c>
      <c r="E20" s="8">
        <v>1</v>
      </c>
      <c r="F20" s="8">
        <v>1</v>
      </c>
      <c r="G20" s="8">
        <v>1</v>
      </c>
      <c r="H20" s="8">
        <v>0</v>
      </c>
      <c r="I20" s="8">
        <v>0</v>
      </c>
      <c r="J20" s="8">
        <v>0</v>
      </c>
      <c r="K20" s="8">
        <v>0</v>
      </c>
      <c r="L20" s="8">
        <v>0</v>
      </c>
      <c r="M20" s="8">
        <v>1</v>
      </c>
      <c r="N20" s="8">
        <v>0</v>
      </c>
      <c r="O20" s="8">
        <v>0</v>
      </c>
      <c r="P20" s="8">
        <v>0</v>
      </c>
      <c r="Q20" s="10" t="s">
        <v>26</v>
      </c>
      <c r="R20" s="10" t="s">
        <v>27</v>
      </c>
      <c r="S20" s="10" t="s">
        <v>1079</v>
      </c>
      <c r="T20" s="10" t="s">
        <v>1079</v>
      </c>
      <c r="U20" s="10" t="s">
        <v>1079</v>
      </c>
      <c r="V20" s="10" t="s">
        <v>1079</v>
      </c>
      <c r="W20" s="10" t="s">
        <v>1079</v>
      </c>
      <c r="X20" s="10" t="s">
        <v>1079</v>
      </c>
      <c r="Y20" s="10" t="s">
        <v>1083</v>
      </c>
      <c r="Z20" s="10" t="s">
        <v>1079</v>
      </c>
      <c r="AA20" s="10" t="s">
        <v>1079</v>
      </c>
      <c r="AB20" s="10" t="s">
        <v>1079</v>
      </c>
      <c r="AD20" s="31">
        <f>IF($C20="","",SUM($E20:$P20))</f>
        <v>4</v>
      </c>
      <c r="AE20" s="31">
        <f>IF($C20="","",COUNTIF($Q20:$AB20,"http*"))</f>
        <v>3</v>
      </c>
      <c r="AF20" s="31">
        <f>IF($C20="","",$AD20*1000+(1000-$A20))</f>
        <v>4983</v>
      </c>
      <c r="AG20" s="31">
        <f>IF($C20="","",RANK($AF20,$AF$4:$AF$53))</f>
        <v>3</v>
      </c>
      <c r="AH20" s="31">
        <f>IF($C20="","",MAX(0,$AD20-$AE20))</f>
        <v>1</v>
      </c>
      <c r="AI20" s="31">
        <f>IF($C20="","",MAX(0,$AE20-$AD20))</f>
        <v>0</v>
      </c>
      <c r="AJ20" s="6" t="str">
        <f t="shared" si="0"/>
        <v>Experimento de medição da densidade da água</v>
      </c>
      <c r="AK20" s="6">
        <v>17</v>
      </c>
    </row>
    <row r="21" spans="1:37" ht="14.35" customHeight="1">
      <c r="A21" s="6">
        <v>18</v>
      </c>
      <c r="B21" s="6" t="s">
        <v>1000</v>
      </c>
      <c r="C21" s="7" t="s">
        <v>922</v>
      </c>
      <c r="D21" s="7" t="s">
        <v>1036</v>
      </c>
      <c r="E21" s="8">
        <v>0</v>
      </c>
      <c r="F21" s="8">
        <v>0</v>
      </c>
      <c r="G21" s="8">
        <v>0</v>
      </c>
      <c r="H21" s="8">
        <v>1</v>
      </c>
      <c r="I21" s="8">
        <v>1</v>
      </c>
      <c r="J21" s="8">
        <v>0</v>
      </c>
      <c r="K21" s="8">
        <v>0</v>
      </c>
      <c r="L21" s="8">
        <v>0</v>
      </c>
      <c r="M21" s="8">
        <v>1</v>
      </c>
      <c r="N21" s="8">
        <v>0</v>
      </c>
      <c r="O21" s="8">
        <v>0</v>
      </c>
      <c r="P21" s="8">
        <v>0</v>
      </c>
      <c r="Q21" s="10" t="s">
        <v>1079</v>
      </c>
      <c r="R21" s="10" t="s">
        <v>1079</v>
      </c>
      <c r="S21" s="10" t="s">
        <v>1079</v>
      </c>
      <c r="T21" s="10" t="s">
        <v>923</v>
      </c>
      <c r="U21" s="10" t="s">
        <v>1079</v>
      </c>
      <c r="V21" s="10" t="s">
        <v>1079</v>
      </c>
      <c r="W21" s="10" t="s">
        <v>1079</v>
      </c>
      <c r="X21" s="10" t="s">
        <v>1079</v>
      </c>
      <c r="Y21" s="10" t="s">
        <v>1079</v>
      </c>
      <c r="Z21" s="10" t="s">
        <v>1079</v>
      </c>
      <c r="AA21" s="10" t="s">
        <v>1079</v>
      </c>
      <c r="AB21" s="10" t="s">
        <v>1079</v>
      </c>
      <c r="AD21" s="31">
        <f>IF($C21="","",SUM($E21:$P21))</f>
        <v>3</v>
      </c>
      <c r="AE21" s="31">
        <f>IF($C21="","",COUNTIF($Q21:$AB21,"http*"))</f>
        <v>1</v>
      </c>
      <c r="AF21" s="31">
        <f>IF($C21="","",$AD21*1000+(1000-$A21))</f>
        <v>3982</v>
      </c>
      <c r="AG21" s="31">
        <f>IF($C21="","",RANK($AF21,$AF$4:$AF$53))</f>
        <v>24</v>
      </c>
      <c r="AH21" s="31">
        <f>IF($C21="","",MAX(0,$AD21-$AE21))</f>
        <v>2</v>
      </c>
      <c r="AI21" s="31">
        <f>IF($C21="","",MAX(0,$AE21-$AD21))</f>
        <v>0</v>
      </c>
      <c r="AJ21" s="6" t="str">
        <f t="shared" si="0"/>
        <v>Loop vertical, razão entre altura e raio e o alcance atual da automação de frontend</v>
      </c>
      <c r="AK21" s="6">
        <v>18</v>
      </c>
    </row>
    <row r="22" spans="1:37" ht="14.35" customHeight="1">
      <c r="A22" s="6">
        <v>19</v>
      </c>
      <c r="B22" s="6" t="s">
        <v>1000</v>
      </c>
      <c r="C22" s="7" t="s">
        <v>986</v>
      </c>
      <c r="D22" s="7" t="s">
        <v>1069</v>
      </c>
      <c r="E22" s="8">
        <v>0</v>
      </c>
      <c r="F22" s="8">
        <v>0</v>
      </c>
      <c r="G22" s="8">
        <v>0</v>
      </c>
      <c r="H22" s="8">
        <v>1</v>
      </c>
      <c r="I22" s="8">
        <v>1</v>
      </c>
      <c r="J22" s="8">
        <v>0</v>
      </c>
      <c r="K22" s="8">
        <v>0</v>
      </c>
      <c r="L22" s="8">
        <v>0</v>
      </c>
      <c r="M22" s="8">
        <v>1</v>
      </c>
      <c r="N22" s="8">
        <v>0</v>
      </c>
      <c r="O22" s="8">
        <v>0</v>
      </c>
      <c r="P22" s="8">
        <v>0</v>
      </c>
      <c r="Q22" s="10" t="s">
        <v>1079</v>
      </c>
      <c r="R22" s="10" t="s">
        <v>1079</v>
      </c>
      <c r="S22" s="10" t="s">
        <v>1079</v>
      </c>
      <c r="T22" s="10" t="s">
        <v>987</v>
      </c>
      <c r="U22" s="10" t="s">
        <v>1079</v>
      </c>
      <c r="V22" s="10" t="s">
        <v>1079</v>
      </c>
      <c r="W22" s="10" t="s">
        <v>1079</v>
      </c>
      <c r="X22" s="10" t="s">
        <v>1079</v>
      </c>
      <c r="Y22" s="10" t="s">
        <v>1079</v>
      </c>
      <c r="Z22" s="10" t="s">
        <v>1079</v>
      </c>
      <c r="AA22" s="10" t="s">
        <v>1079</v>
      </c>
      <c r="AB22" s="10" t="s">
        <v>1079</v>
      </c>
      <c r="AD22" s="31">
        <f>IF($C22="","",SUM($E22:$P22))</f>
        <v>3</v>
      </c>
      <c r="AE22" s="31">
        <f>IF($C22="","",COUNTIF($Q22:$AB22,"http*"))</f>
        <v>1</v>
      </c>
      <c r="AF22" s="31">
        <f>IF($C22="","",$AD22*1000+(1000-$A22))</f>
        <v>3981</v>
      </c>
      <c r="AG22" s="31">
        <f>IF($C22="","",RANK($AF22,$AF$4:$AF$53))</f>
        <v>25</v>
      </c>
      <c r="AH22" s="31">
        <f>IF($C22="","",MAX(0,$AD22-$AE22))</f>
        <v>2</v>
      </c>
      <c r="AI22" s="31">
        <f>IF($C22="","",MAX(0,$AE22-$AD22))</f>
        <v>0</v>
      </c>
      <c r="AJ22" s="6" t="str">
        <f t="shared" si="0"/>
        <v>Bloco em um Plano Inclinado Deslizante (Leis de Newton)</v>
      </c>
      <c r="AK22" s="6">
        <v>19</v>
      </c>
    </row>
    <row r="23" spans="1:37" ht="14.35" customHeight="1">
      <c r="A23" s="6">
        <v>20</v>
      </c>
      <c r="B23" s="6" t="s">
        <v>1000</v>
      </c>
      <c r="C23" s="7" t="s">
        <v>928</v>
      </c>
      <c r="D23" s="7" t="s">
        <v>1039</v>
      </c>
      <c r="E23" s="8">
        <v>0</v>
      </c>
      <c r="F23" s="8">
        <v>0</v>
      </c>
      <c r="G23" s="8">
        <v>0</v>
      </c>
      <c r="H23" s="8">
        <v>1</v>
      </c>
      <c r="I23" s="8">
        <v>1</v>
      </c>
      <c r="J23" s="8">
        <v>0</v>
      </c>
      <c r="K23" s="8">
        <v>0</v>
      </c>
      <c r="L23" s="8">
        <v>0</v>
      </c>
      <c r="M23" s="8">
        <v>1</v>
      </c>
      <c r="N23" s="8">
        <v>0</v>
      </c>
      <c r="O23" s="8">
        <v>0</v>
      </c>
      <c r="P23" s="8">
        <v>0</v>
      </c>
      <c r="Q23" s="10" t="s">
        <v>1079</v>
      </c>
      <c r="R23" s="10" t="s">
        <v>1079</v>
      </c>
      <c r="S23" s="10" t="s">
        <v>1079</v>
      </c>
      <c r="T23" s="10" t="s">
        <v>929</v>
      </c>
      <c r="U23" s="10" t="s">
        <v>1079</v>
      </c>
      <c r="V23" s="10" t="s">
        <v>1079</v>
      </c>
      <c r="W23" s="10" t="s">
        <v>1079</v>
      </c>
      <c r="X23" s="10" t="s">
        <v>1079</v>
      </c>
      <c r="Y23" s="10" t="s">
        <v>1079</v>
      </c>
      <c r="Z23" s="10" t="s">
        <v>1079</v>
      </c>
      <c r="AA23" s="10" t="s">
        <v>1079</v>
      </c>
      <c r="AB23" s="10" t="s">
        <v>1079</v>
      </c>
      <c r="AD23" s="31">
        <f>IF($C23="","",SUM($E23:$P23))</f>
        <v>3</v>
      </c>
      <c r="AE23" s="31">
        <f>IF($C23="","",COUNTIF($Q23:$AB23,"http*"))</f>
        <v>1</v>
      </c>
      <c r="AF23" s="31">
        <f>IF($C23="","",$AD23*1000+(1000-$A23))</f>
        <v>3980</v>
      </c>
      <c r="AG23" s="31">
        <f>IF($C23="","",RANK($AF23,$AF$4:$AF$53))</f>
        <v>26</v>
      </c>
      <c r="AH23" s="31">
        <f>IF($C23="","",MAX(0,$AD23-$AE23))</f>
        <v>2</v>
      </c>
      <c r="AI23" s="31">
        <f>IF($C23="","",MAX(0,$AE23-$AD23))</f>
        <v>0</v>
      </c>
      <c r="AJ23" s="6" t="str">
        <f t="shared" si="0"/>
        <v>Why Does He Spin Faster? Angular Momentum Explained Clearly</v>
      </c>
      <c r="AK23" s="6">
        <v>20</v>
      </c>
    </row>
    <row r="24" spans="1:37" ht="14.35" customHeight="1">
      <c r="A24" s="6">
        <v>21</v>
      </c>
      <c r="B24" s="6" t="s">
        <v>1000</v>
      </c>
      <c r="C24" s="7" t="s">
        <v>980</v>
      </c>
      <c r="D24" s="7" t="s">
        <v>1066</v>
      </c>
      <c r="E24" s="8">
        <v>0</v>
      </c>
      <c r="F24" s="8">
        <v>0</v>
      </c>
      <c r="G24" s="8">
        <v>0</v>
      </c>
      <c r="H24" s="8">
        <v>1</v>
      </c>
      <c r="I24" s="8">
        <v>1</v>
      </c>
      <c r="J24" s="8">
        <v>0</v>
      </c>
      <c r="K24" s="8">
        <v>0</v>
      </c>
      <c r="L24" s="8">
        <v>0</v>
      </c>
      <c r="M24" s="8">
        <v>1</v>
      </c>
      <c r="N24" s="8">
        <v>0</v>
      </c>
      <c r="O24" s="8">
        <v>0</v>
      </c>
      <c r="P24" s="8">
        <v>0</v>
      </c>
      <c r="Q24" s="10" t="s">
        <v>1079</v>
      </c>
      <c r="R24" s="10" t="s">
        <v>1079</v>
      </c>
      <c r="S24" s="10" t="s">
        <v>1079</v>
      </c>
      <c r="T24" s="10" t="s">
        <v>981</v>
      </c>
      <c r="U24" s="10" t="s">
        <v>1079</v>
      </c>
      <c r="V24" s="10" t="s">
        <v>1079</v>
      </c>
      <c r="W24" s="10" t="s">
        <v>1079</v>
      </c>
      <c r="X24" s="10" t="s">
        <v>1079</v>
      </c>
      <c r="Y24" s="10" t="s">
        <v>1079</v>
      </c>
      <c r="Z24" s="10" t="s">
        <v>1079</v>
      </c>
      <c r="AA24" s="10" t="s">
        <v>1079</v>
      </c>
      <c r="AB24" s="10" t="s">
        <v>1079</v>
      </c>
      <c r="AD24" s="31">
        <f>IF($C24="","",SUM($E24:$P24))</f>
        <v>3</v>
      </c>
      <c r="AE24" s="31">
        <f>IF($C24="","",COUNTIF($Q24:$AB24,"http*"))</f>
        <v>1</v>
      </c>
      <c r="AF24" s="31">
        <f>IF($C24="","",$AD24*1000+(1000-$A24))</f>
        <v>3979</v>
      </c>
      <c r="AG24" s="31">
        <f>IF($C24="","",RANK($AF24,$AF$4:$AF$53))</f>
        <v>27</v>
      </c>
      <c r="AH24" s="31">
        <f>IF($C24="","",MAX(0,$AD24-$AE24))</f>
        <v>2</v>
      </c>
      <c r="AI24" s="31">
        <f>IF($C24="","",MAX(0,$AE24-$AD24))</f>
        <v>0</v>
      </c>
      <c r="AJ24" s="6" t="str">
        <f t="shared" si="0"/>
        <v>A Polia de Atwood escondendo o Teorema de Pitágoras</v>
      </c>
      <c r="AK24" s="6">
        <v>21</v>
      </c>
    </row>
    <row r="25" spans="1:37" ht="14.35" customHeight="1">
      <c r="A25" s="6">
        <v>22</v>
      </c>
      <c r="B25" s="6" t="s">
        <v>1000</v>
      </c>
      <c r="C25" s="7" t="s">
        <v>984</v>
      </c>
      <c r="D25" s="7" t="s">
        <v>1068</v>
      </c>
      <c r="E25" s="8">
        <v>0</v>
      </c>
      <c r="F25" s="8">
        <v>0</v>
      </c>
      <c r="G25" s="8">
        <v>0</v>
      </c>
      <c r="H25" s="8">
        <v>1</v>
      </c>
      <c r="I25" s="8">
        <v>1</v>
      </c>
      <c r="J25" s="8">
        <v>0</v>
      </c>
      <c r="K25" s="8">
        <v>0</v>
      </c>
      <c r="L25" s="8">
        <v>0</v>
      </c>
      <c r="M25" s="8">
        <v>1</v>
      </c>
      <c r="N25" s="8">
        <v>0</v>
      </c>
      <c r="O25" s="8">
        <v>0</v>
      </c>
      <c r="P25" s="8">
        <v>0</v>
      </c>
      <c r="Q25" s="10" t="s">
        <v>1079</v>
      </c>
      <c r="R25" s="10" t="s">
        <v>1079</v>
      </c>
      <c r="S25" s="10" t="s">
        <v>1079</v>
      </c>
      <c r="T25" s="10" t="s">
        <v>985</v>
      </c>
      <c r="U25" s="10" t="s">
        <v>1079</v>
      </c>
      <c r="V25" s="10" t="s">
        <v>1079</v>
      </c>
      <c r="W25" s="10" t="s">
        <v>1079</v>
      </c>
      <c r="X25" s="10" t="s">
        <v>1079</v>
      </c>
      <c r="Y25" s="10" t="s">
        <v>1079</v>
      </c>
      <c r="Z25" s="10" t="s">
        <v>1079</v>
      </c>
      <c r="AA25" s="10" t="s">
        <v>1079</v>
      </c>
      <c r="AB25" s="10" t="s">
        <v>1079</v>
      </c>
      <c r="AD25" s="31">
        <f>IF($C25="","",SUM($E25:$P25))</f>
        <v>3</v>
      </c>
      <c r="AE25" s="31">
        <f>IF($C25="","",COUNTIF($Q25:$AB25,"http*"))</f>
        <v>1</v>
      </c>
      <c r="AF25" s="31">
        <f>IF($C25="","",$AD25*1000+(1000-$A25))</f>
        <v>3978</v>
      </c>
      <c r="AG25" s="31">
        <f>IF($C25="","",RANK($AF25,$AF$4:$AF$53))</f>
        <v>28</v>
      </c>
      <c r="AH25" s="31">
        <f>IF($C25="","",MAX(0,$AD25-$AE25))</f>
        <v>2</v>
      </c>
      <c r="AI25" s="31">
        <f>IF($C25="","",MAX(0,$AE25-$AD25))</f>
        <v>0</v>
      </c>
      <c r="AJ25" s="6" t="str">
        <f t="shared" si="0"/>
        <v>The Sliding Wedge Problem: Newtonian Mechanics Done Right</v>
      </c>
      <c r="AK25" s="6">
        <v>22</v>
      </c>
    </row>
    <row r="26" spans="1:37" ht="14.35" customHeight="1">
      <c r="A26" s="6">
        <v>23</v>
      </c>
      <c r="B26" s="6" t="s">
        <v>1000</v>
      </c>
      <c r="C26" s="7" t="s">
        <v>938</v>
      </c>
      <c r="D26" s="7" t="s">
        <v>1044</v>
      </c>
      <c r="E26" s="8">
        <v>0</v>
      </c>
      <c r="F26" s="8">
        <v>0</v>
      </c>
      <c r="G26" s="8">
        <v>0</v>
      </c>
      <c r="H26" s="8">
        <v>1</v>
      </c>
      <c r="I26" s="8">
        <v>1</v>
      </c>
      <c r="J26" s="8">
        <v>0</v>
      </c>
      <c r="K26" s="8">
        <v>0</v>
      </c>
      <c r="L26" s="8">
        <v>0</v>
      </c>
      <c r="M26" s="8">
        <v>1</v>
      </c>
      <c r="N26" s="8">
        <v>0</v>
      </c>
      <c r="O26" s="8">
        <v>0</v>
      </c>
      <c r="P26" s="8">
        <v>0</v>
      </c>
      <c r="Q26" s="10" t="s">
        <v>1079</v>
      </c>
      <c r="R26" s="10" t="s">
        <v>1079</v>
      </c>
      <c r="S26" s="10" t="s">
        <v>1079</v>
      </c>
      <c r="T26" s="10" t="s">
        <v>939</v>
      </c>
      <c r="U26" s="10" t="s">
        <v>1079</v>
      </c>
      <c r="V26" s="10" t="s">
        <v>1079</v>
      </c>
      <c r="W26" s="10" t="s">
        <v>1079</v>
      </c>
      <c r="X26" s="10" t="s">
        <v>1079</v>
      </c>
      <c r="Y26" s="10" t="s">
        <v>1079</v>
      </c>
      <c r="Z26" s="10" t="s">
        <v>1079</v>
      </c>
      <c r="AA26" s="10" t="s">
        <v>1079</v>
      </c>
      <c r="AB26" s="10" t="s">
        <v>1079</v>
      </c>
      <c r="AD26" s="31">
        <f>IF($C26="","",SUM($E26:$P26))</f>
        <v>3</v>
      </c>
      <c r="AE26" s="31">
        <f>IF($C26="","",COUNTIF($Q26:$AB26,"http*"))</f>
        <v>1</v>
      </c>
      <c r="AF26" s="31">
        <f>IF($C26="","",$AD26*1000+(1000-$A26))</f>
        <v>3977</v>
      </c>
      <c r="AG26" s="31">
        <f>IF($C26="","",RANK($AF26,$AF$4:$AF$53))</f>
        <v>29</v>
      </c>
      <c r="AH26" s="31">
        <f>IF($C26="","",MAX(0,$AD26-$AE26))</f>
        <v>2</v>
      </c>
      <c r="AI26" s="31">
        <f>IF($C26="","",MAX(0,$AE26-$AD26))</f>
        <v>0</v>
      </c>
      <c r="AJ26" s="6" t="str">
        <f t="shared" si="0"/>
        <v>From Cardano to Coupled Oscillators: Solving Cubic Equations in Physics</v>
      </c>
      <c r="AK26" s="6">
        <v>23</v>
      </c>
    </row>
    <row r="27" spans="1:37" ht="14.35" customHeight="1">
      <c r="A27" s="6">
        <v>24</v>
      </c>
      <c r="B27" s="6" t="s">
        <v>1000</v>
      </c>
      <c r="C27" s="7" t="s">
        <v>963</v>
      </c>
      <c r="D27" s="7" t="s">
        <v>1057</v>
      </c>
      <c r="E27" s="8">
        <v>0</v>
      </c>
      <c r="F27" s="8">
        <v>0</v>
      </c>
      <c r="G27" s="8">
        <v>0</v>
      </c>
      <c r="H27" s="8">
        <v>1</v>
      </c>
      <c r="I27" s="8">
        <v>1</v>
      </c>
      <c r="J27" s="8">
        <v>0</v>
      </c>
      <c r="K27" s="8">
        <v>0</v>
      </c>
      <c r="L27" s="8">
        <v>0</v>
      </c>
      <c r="M27" s="8">
        <v>1</v>
      </c>
      <c r="N27" s="8">
        <v>0</v>
      </c>
      <c r="O27" s="8">
        <v>0</v>
      </c>
      <c r="P27" s="8">
        <v>0</v>
      </c>
      <c r="Q27" s="10" t="s">
        <v>1079</v>
      </c>
      <c r="R27" s="10" t="s">
        <v>1079</v>
      </c>
      <c r="S27" s="10" t="s">
        <v>1079</v>
      </c>
      <c r="T27" s="10" t="s">
        <v>964</v>
      </c>
      <c r="U27" s="10" t="s">
        <v>1079</v>
      </c>
      <c r="V27" s="10" t="s">
        <v>1079</v>
      </c>
      <c r="W27" s="10" t="s">
        <v>1079</v>
      </c>
      <c r="X27" s="10" t="s">
        <v>1079</v>
      </c>
      <c r="Y27" s="10" t="s">
        <v>1079</v>
      </c>
      <c r="Z27" s="10" t="s">
        <v>1079</v>
      </c>
      <c r="AA27" s="10" t="s">
        <v>1079</v>
      </c>
      <c r="AB27" s="10" t="s">
        <v>1079</v>
      </c>
      <c r="AD27" s="31">
        <f>IF($C27="","",SUM($E27:$P27))</f>
        <v>3</v>
      </c>
      <c r="AE27" s="31">
        <f>IF($C27="","",COUNTIF($Q27:$AB27,"http*"))</f>
        <v>1</v>
      </c>
      <c r="AF27" s="31">
        <f>IF($C27="","",$AD27*1000+(1000-$A27))</f>
        <v>3976</v>
      </c>
      <c r="AG27" s="31">
        <f>IF($C27="","",RANK($AF27,$AF$4:$AF$53))</f>
        <v>30</v>
      </c>
      <c r="AH27" s="31">
        <f>IF($C27="","",MAX(0,$AD27-$AE27))</f>
        <v>2</v>
      </c>
      <c r="AI27" s="31">
        <f>IF($C27="","",MAX(0,$AE27-$AD27))</f>
        <v>0</v>
      </c>
      <c r="AJ27" s="6" t="str">
        <f t="shared" si="0"/>
        <v>Questão de Olimpíada de Física: partícula material sobre um bloco alongado de comprimento L.</v>
      </c>
      <c r="AK27" s="6">
        <v>24</v>
      </c>
    </row>
    <row r="28" spans="1:37" ht="14.35" customHeight="1">
      <c r="A28" s="6">
        <v>25</v>
      </c>
      <c r="B28" s="6" t="s">
        <v>1000</v>
      </c>
      <c r="C28" s="7" t="s">
        <v>947</v>
      </c>
      <c r="D28" s="7" t="s">
        <v>1049</v>
      </c>
      <c r="E28" s="8">
        <v>0</v>
      </c>
      <c r="F28" s="8">
        <v>0</v>
      </c>
      <c r="G28" s="8">
        <v>0</v>
      </c>
      <c r="H28" s="8">
        <v>1</v>
      </c>
      <c r="I28" s="8">
        <v>1</v>
      </c>
      <c r="J28" s="8">
        <v>0</v>
      </c>
      <c r="K28" s="8">
        <v>0</v>
      </c>
      <c r="L28" s="8">
        <v>0</v>
      </c>
      <c r="M28" s="8">
        <v>1</v>
      </c>
      <c r="N28" s="8">
        <v>0</v>
      </c>
      <c r="O28" s="8">
        <v>0</v>
      </c>
      <c r="P28" s="8">
        <v>0</v>
      </c>
      <c r="Q28" s="10" t="s">
        <v>1079</v>
      </c>
      <c r="R28" s="10" t="s">
        <v>1079</v>
      </c>
      <c r="S28" s="10" t="s">
        <v>1079</v>
      </c>
      <c r="T28" s="10" t="s">
        <v>948</v>
      </c>
      <c r="U28" s="10" t="s">
        <v>1079</v>
      </c>
      <c r="V28" s="10" t="s">
        <v>1079</v>
      </c>
      <c r="W28" s="10" t="s">
        <v>1079</v>
      </c>
      <c r="X28" s="10" t="s">
        <v>1079</v>
      </c>
      <c r="Y28" s="10" t="s">
        <v>1079</v>
      </c>
      <c r="Z28" s="10" t="s">
        <v>1079</v>
      </c>
      <c r="AA28" s="10" t="s">
        <v>1079</v>
      </c>
      <c r="AB28" s="10" t="s">
        <v>1079</v>
      </c>
      <c r="AD28" s="31">
        <f>IF($C28="","",SUM($E28:$P28))</f>
        <v>3</v>
      </c>
      <c r="AE28" s="31">
        <f>IF($C28="","",COUNTIF($Q28:$AB28,"http*"))</f>
        <v>1</v>
      </c>
      <c r="AF28" s="31">
        <f>IF($C28="","",$AD28*1000+(1000-$A28))</f>
        <v>3975</v>
      </c>
      <c r="AG28" s="31">
        <f>IF($C28="","",RANK($AF28,$AF$4:$AF$53))</f>
        <v>31</v>
      </c>
      <c r="AH28" s="31">
        <f>IF($C28="","",MAX(0,$AD28-$AE28))</f>
        <v>2</v>
      </c>
      <c r="AI28" s="31">
        <f>IF($C28="","",MAX(0,$AE28-$AD28))</f>
        <v>0</v>
      </c>
      <c r="AJ28" s="6" t="str">
        <f t="shared" si="0"/>
        <v>Pêndulo duplo simulado em Python - sistemas dinâmicos e caos na mecânica clássica</v>
      </c>
      <c r="AK28" s="6">
        <v>25</v>
      </c>
    </row>
    <row r="29" spans="1:37" ht="14.35" customHeight="1">
      <c r="A29" s="6">
        <v>26</v>
      </c>
      <c r="B29" s="6" t="s">
        <v>1077</v>
      </c>
      <c r="C29" s="7" t="s">
        <v>991</v>
      </c>
      <c r="D29" s="7" t="s">
        <v>1071</v>
      </c>
      <c r="E29" s="8">
        <v>0</v>
      </c>
      <c r="F29" s="8">
        <v>0</v>
      </c>
      <c r="G29" s="8">
        <v>0</v>
      </c>
      <c r="H29" s="8">
        <v>1</v>
      </c>
      <c r="I29" s="8">
        <v>1</v>
      </c>
      <c r="J29" s="8">
        <v>0</v>
      </c>
      <c r="K29" s="8">
        <v>0</v>
      </c>
      <c r="L29" s="8">
        <v>0</v>
      </c>
      <c r="M29" s="8">
        <v>1</v>
      </c>
      <c r="N29" s="8">
        <v>0</v>
      </c>
      <c r="O29" s="8">
        <v>0</v>
      </c>
      <c r="P29" s="8">
        <v>0</v>
      </c>
      <c r="Q29" s="10" t="s">
        <v>1079</v>
      </c>
      <c r="R29" s="10" t="s">
        <v>1079</v>
      </c>
      <c r="S29" s="10" t="s">
        <v>1079</v>
      </c>
      <c r="T29" s="9" t="s">
        <v>992</v>
      </c>
      <c r="U29" s="10" t="s">
        <v>1079</v>
      </c>
      <c r="V29" s="10" t="s">
        <v>1079</v>
      </c>
      <c r="W29" s="10" t="s">
        <v>1079</v>
      </c>
      <c r="X29" s="10" t="s">
        <v>1079</v>
      </c>
      <c r="Y29" s="10" t="s">
        <v>1079</v>
      </c>
      <c r="Z29" s="10" t="s">
        <v>1079</v>
      </c>
      <c r="AA29" s="10" t="s">
        <v>1079</v>
      </c>
      <c r="AB29" s="10" t="s">
        <v>1079</v>
      </c>
      <c r="AD29" s="31">
        <f>IF($C29="","",SUM($E29:$P29))</f>
        <v>3</v>
      </c>
      <c r="AE29" s="31">
        <f>IF($C29="","",COUNTIF($Q29:$AB29,"http*"))</f>
        <v>1</v>
      </c>
      <c r="AF29" s="31">
        <f>IF($C29="","",$AD29*1000+(1000-$A29))</f>
        <v>3974</v>
      </c>
      <c r="AG29" s="31">
        <f>IF($C29="","",RANK($AF29,$AF$4:$AF$53))</f>
        <v>32</v>
      </c>
      <c r="AH29" s="31">
        <f>IF($C29="","",MAX(0,$AD29-$AE29))</f>
        <v>2</v>
      </c>
      <c r="AI29" s="31">
        <f>IF($C29="","",MAX(0,$AE29-$AD29))</f>
        <v>0</v>
      </c>
      <c r="AJ29" s="6" t="str">
        <f t="shared" si="0"/>
        <v>Como uma partícula atravessa uma barreira? Simulando tunelamento em Python</v>
      </c>
      <c r="AK29" s="6">
        <v>26</v>
      </c>
    </row>
    <row r="30" spans="1:37" ht="14.35" customHeight="1">
      <c r="A30" s="6">
        <v>27</v>
      </c>
      <c r="B30" s="6" t="s">
        <v>1001</v>
      </c>
      <c r="C30" s="7" t="s">
        <v>976</v>
      </c>
      <c r="D30" s="7" t="s">
        <v>1064</v>
      </c>
      <c r="E30" s="8">
        <v>0</v>
      </c>
      <c r="F30" s="8">
        <v>0</v>
      </c>
      <c r="G30" s="8">
        <v>0</v>
      </c>
      <c r="H30" s="8">
        <v>1</v>
      </c>
      <c r="I30" s="8">
        <v>1</v>
      </c>
      <c r="J30" s="8">
        <v>0</v>
      </c>
      <c r="K30" s="8">
        <v>0</v>
      </c>
      <c r="L30" s="8">
        <v>0</v>
      </c>
      <c r="M30" s="8">
        <v>1</v>
      </c>
      <c r="N30" s="8">
        <v>0</v>
      </c>
      <c r="O30" s="8">
        <v>0</v>
      </c>
      <c r="P30" s="8">
        <v>0</v>
      </c>
      <c r="Q30" s="10" t="s">
        <v>1079</v>
      </c>
      <c r="R30" s="10" t="s">
        <v>1079</v>
      </c>
      <c r="S30" s="10" t="s">
        <v>1079</v>
      </c>
      <c r="T30" s="10" t="s">
        <v>977</v>
      </c>
      <c r="U30" s="10" t="s">
        <v>1079</v>
      </c>
      <c r="V30" s="10" t="s">
        <v>1079</v>
      </c>
      <c r="W30" s="10" t="s">
        <v>1079</v>
      </c>
      <c r="X30" s="10" t="s">
        <v>1079</v>
      </c>
      <c r="Y30" s="10" t="s">
        <v>1079</v>
      </c>
      <c r="Z30" s="10" t="s">
        <v>1079</v>
      </c>
      <c r="AA30" s="10" t="s">
        <v>1079</v>
      </c>
      <c r="AB30" s="10" t="s">
        <v>1079</v>
      </c>
      <c r="AD30" s="31">
        <f>IF($C30="","",SUM($E30:$P30))</f>
        <v>3</v>
      </c>
      <c r="AE30" s="31">
        <f>IF($C30="","",COUNTIF($Q30:$AB30,"http*"))</f>
        <v>1</v>
      </c>
      <c r="AF30" s="31">
        <f>IF($C30="","",$AD30*1000+(1000-$A30))</f>
        <v>3973</v>
      </c>
      <c r="AG30" s="31">
        <f>IF($C30="","",RANK($AF30,$AF$4:$AF$53))</f>
        <v>33</v>
      </c>
      <c r="AH30" s="31">
        <f>IF($C30="","",MAX(0,$AD30-$AE30))</f>
        <v>2</v>
      </c>
      <c r="AI30" s="31">
        <f>IF($C30="","",MAX(0,$AE30-$AD30))</f>
        <v>0</v>
      </c>
      <c r="AJ30" s="6" t="str">
        <f t="shared" si="0"/>
        <v>Como calcular a área de uma folha inscrita em um quadrado | Geometria explicada passo a passo</v>
      </c>
      <c r="AK30" s="6">
        <v>27</v>
      </c>
    </row>
    <row r="31" spans="1:37" ht="14.35" customHeight="1">
      <c r="A31" s="6">
        <v>28</v>
      </c>
      <c r="B31" s="6" t="s">
        <v>1001</v>
      </c>
      <c r="C31" s="7" t="s">
        <v>978</v>
      </c>
      <c r="D31" s="7" t="s">
        <v>1065</v>
      </c>
      <c r="E31" s="8">
        <v>0</v>
      </c>
      <c r="F31" s="8">
        <v>0</v>
      </c>
      <c r="G31" s="8">
        <v>0</v>
      </c>
      <c r="H31" s="8">
        <v>1</v>
      </c>
      <c r="I31" s="8">
        <v>1</v>
      </c>
      <c r="J31" s="8">
        <v>0</v>
      </c>
      <c r="K31" s="8">
        <v>0</v>
      </c>
      <c r="L31" s="8">
        <v>0</v>
      </c>
      <c r="M31" s="8">
        <v>1</v>
      </c>
      <c r="N31" s="8">
        <v>0</v>
      </c>
      <c r="O31" s="8">
        <v>0</v>
      </c>
      <c r="P31" s="8">
        <v>0</v>
      </c>
      <c r="Q31" s="10" t="s">
        <v>1079</v>
      </c>
      <c r="R31" s="10" t="s">
        <v>1079</v>
      </c>
      <c r="S31" s="10" t="s">
        <v>1079</v>
      </c>
      <c r="T31" s="10" t="s">
        <v>979</v>
      </c>
      <c r="U31" s="10" t="s">
        <v>1079</v>
      </c>
      <c r="V31" s="10" t="s">
        <v>1079</v>
      </c>
      <c r="W31" s="10" t="s">
        <v>1079</v>
      </c>
      <c r="X31" s="10" t="s">
        <v>1079</v>
      </c>
      <c r="Y31" s="10" t="s">
        <v>1079</v>
      </c>
      <c r="Z31" s="10" t="s">
        <v>1079</v>
      </c>
      <c r="AA31" s="10" t="s">
        <v>1079</v>
      </c>
      <c r="AB31" s="10" t="s">
        <v>1079</v>
      </c>
      <c r="AD31" s="31">
        <f>IF($C31="","",SUM($E31:$P31))</f>
        <v>3</v>
      </c>
      <c r="AE31" s="31">
        <f>IF($C31="","",COUNTIF($Q31:$AB31,"http*"))</f>
        <v>1</v>
      </c>
      <c r="AF31" s="31">
        <f>IF($C31="","",$AD31*1000+(1000-$A31))</f>
        <v>3972</v>
      </c>
      <c r="AG31" s="31">
        <f>IF($C31="","",RANK($AF31,$AF$4:$AF$53))</f>
        <v>34</v>
      </c>
      <c r="AH31" s="31">
        <f>IF($C31="","",MAX(0,$AD31-$AE31))</f>
        <v>2</v>
      </c>
      <c r="AI31" s="31">
        <f>IF($C31="","",MAX(0,$AE31-$AD31))</f>
        <v>0</v>
      </c>
      <c r="AJ31" s="6" t="str">
        <f t="shared" si="0"/>
        <v>How to find the radius of the incircle of a right triangle</v>
      </c>
      <c r="AK31" s="6">
        <v>28</v>
      </c>
    </row>
    <row r="32" spans="1:37" ht="14.35" customHeight="1">
      <c r="A32" s="6">
        <v>29</v>
      </c>
      <c r="B32" s="6" t="s">
        <v>1001</v>
      </c>
      <c r="C32" s="7" t="s">
        <v>934</v>
      </c>
      <c r="D32" s="7" t="s">
        <v>1042</v>
      </c>
      <c r="E32" s="8">
        <v>0</v>
      </c>
      <c r="F32" s="8">
        <v>0</v>
      </c>
      <c r="G32" s="8">
        <v>0</v>
      </c>
      <c r="H32" s="8">
        <v>1</v>
      </c>
      <c r="I32" s="8">
        <v>1</v>
      </c>
      <c r="J32" s="8">
        <v>0</v>
      </c>
      <c r="K32" s="8">
        <v>0</v>
      </c>
      <c r="L32" s="8">
        <v>0</v>
      </c>
      <c r="M32" s="8">
        <v>1</v>
      </c>
      <c r="N32" s="8">
        <v>0</v>
      </c>
      <c r="O32" s="8">
        <v>0</v>
      </c>
      <c r="P32" s="8">
        <v>0</v>
      </c>
      <c r="Q32" s="10" t="s">
        <v>1079</v>
      </c>
      <c r="R32" s="10" t="s">
        <v>1079</v>
      </c>
      <c r="S32" s="10" t="s">
        <v>1079</v>
      </c>
      <c r="T32" s="10" t="s">
        <v>935</v>
      </c>
      <c r="U32" s="10" t="s">
        <v>1079</v>
      </c>
      <c r="V32" s="10" t="s">
        <v>1079</v>
      </c>
      <c r="W32" s="10" t="s">
        <v>1079</v>
      </c>
      <c r="X32" s="10" t="s">
        <v>1079</v>
      </c>
      <c r="Y32" s="10" t="s">
        <v>1079</v>
      </c>
      <c r="Z32" s="10" t="s">
        <v>1079</v>
      </c>
      <c r="AA32" s="10" t="s">
        <v>1079</v>
      </c>
      <c r="AB32" s="10" t="s">
        <v>1079</v>
      </c>
      <c r="AD32" s="31">
        <f>IF($C32="","",SUM($E32:$P32))</f>
        <v>3</v>
      </c>
      <c r="AE32" s="31">
        <f>IF($C32="","",COUNTIF($Q32:$AB32,"http*"))</f>
        <v>1</v>
      </c>
      <c r="AF32" s="31">
        <f>IF($C32="","",$AD32*1000+(1000-$A32))</f>
        <v>3971</v>
      </c>
      <c r="AG32" s="31">
        <f>IF($C32="","",RANK($AF32,$AF$4:$AF$53))</f>
        <v>35</v>
      </c>
      <c r="AH32" s="31">
        <f>IF($C32="","",MAX(0,$AD32-$AE32))</f>
        <v>2</v>
      </c>
      <c r="AI32" s="31">
        <f>IF($C32="","",MAX(0,$AE32-$AD32))</f>
        <v>0</v>
      </c>
      <c r="AJ32" s="6" t="str">
        <f t="shared" si="0"/>
        <v>Um problema clássico brasileiro de geometria plana que parece fácil, mas não é.</v>
      </c>
      <c r="AK32" s="6">
        <v>29</v>
      </c>
    </row>
    <row r="33" spans="1:37" ht="14.35" customHeight="1">
      <c r="A33" s="6">
        <v>30</v>
      </c>
      <c r="B33" s="6" t="s">
        <v>1001</v>
      </c>
      <c r="C33" s="7" t="s">
        <v>982</v>
      </c>
      <c r="D33" s="7" t="s">
        <v>1067</v>
      </c>
      <c r="E33" s="8">
        <v>0</v>
      </c>
      <c r="F33" s="8">
        <v>0</v>
      </c>
      <c r="G33" s="8">
        <v>0</v>
      </c>
      <c r="H33" s="8">
        <v>1</v>
      </c>
      <c r="I33" s="8">
        <v>1</v>
      </c>
      <c r="J33" s="8">
        <v>0</v>
      </c>
      <c r="K33" s="8">
        <v>0</v>
      </c>
      <c r="L33" s="8">
        <v>0</v>
      </c>
      <c r="M33" s="8">
        <v>1</v>
      </c>
      <c r="N33" s="8">
        <v>0</v>
      </c>
      <c r="O33" s="8">
        <v>0</v>
      </c>
      <c r="P33" s="8">
        <v>0</v>
      </c>
      <c r="Q33" s="10" t="s">
        <v>1079</v>
      </c>
      <c r="R33" s="10" t="s">
        <v>1079</v>
      </c>
      <c r="S33" s="10" t="s">
        <v>1079</v>
      </c>
      <c r="T33" s="9" t="s">
        <v>983</v>
      </c>
      <c r="U33" s="10" t="s">
        <v>1079</v>
      </c>
      <c r="V33" s="10" t="s">
        <v>1079</v>
      </c>
      <c r="W33" s="10" t="s">
        <v>1079</v>
      </c>
      <c r="X33" s="10" t="s">
        <v>1079</v>
      </c>
      <c r="Y33" s="10" t="s">
        <v>1079</v>
      </c>
      <c r="Z33" s="10" t="s">
        <v>1079</v>
      </c>
      <c r="AA33" s="10" t="s">
        <v>1079</v>
      </c>
      <c r="AB33" s="10" t="s">
        <v>1079</v>
      </c>
      <c r="AD33" s="31">
        <f>IF($C33="","",SUM($E33:$P33))</f>
        <v>3</v>
      </c>
      <c r="AE33" s="31">
        <f>IF($C33="","",COUNTIF($Q33:$AB33,"http*"))</f>
        <v>1</v>
      </c>
      <c r="AF33" s="31">
        <f>IF($C33="","",$AD33*1000+(1000-$A33))</f>
        <v>3970</v>
      </c>
      <c r="AG33" s="31">
        <f>IF($C33="","",RANK($AF33,$AF$4:$AF$53))</f>
        <v>36</v>
      </c>
      <c r="AH33" s="31">
        <f>IF($C33="","",MAX(0,$AD33-$AE33))</f>
        <v>2</v>
      </c>
      <c r="AI33" s="31">
        <f>IF($C33="","",MAX(0,$AE33-$AD33))</f>
        <v>0</v>
      </c>
      <c r="AJ33" s="6" t="str">
        <f t="shared" si="0"/>
        <v>Find the Inradius of a Right Triangle: a Clean Geometry Solution</v>
      </c>
      <c r="AK33" s="6">
        <v>30</v>
      </c>
    </row>
    <row r="34" spans="1:37" ht="14.35" customHeight="1">
      <c r="A34" s="6">
        <v>31</v>
      </c>
      <c r="B34" s="6" t="s">
        <v>1001</v>
      </c>
      <c r="C34" s="7" t="s">
        <v>936</v>
      </c>
      <c r="D34" s="7" t="s">
        <v>1043</v>
      </c>
      <c r="E34" s="8">
        <v>0</v>
      </c>
      <c r="F34" s="8">
        <v>0</v>
      </c>
      <c r="G34" s="8">
        <v>0</v>
      </c>
      <c r="H34" s="8">
        <v>1</v>
      </c>
      <c r="I34" s="8">
        <v>1</v>
      </c>
      <c r="J34" s="8">
        <v>0</v>
      </c>
      <c r="K34" s="8">
        <v>0</v>
      </c>
      <c r="L34" s="8">
        <v>0</v>
      </c>
      <c r="M34" s="8">
        <v>1</v>
      </c>
      <c r="N34" s="8">
        <v>0</v>
      </c>
      <c r="O34" s="8">
        <v>0</v>
      </c>
      <c r="P34" s="8">
        <v>0</v>
      </c>
      <c r="Q34" s="10" t="s">
        <v>1079</v>
      </c>
      <c r="R34" s="10" t="s">
        <v>1079</v>
      </c>
      <c r="S34" s="10" t="s">
        <v>1079</v>
      </c>
      <c r="T34" s="10" t="s">
        <v>937</v>
      </c>
      <c r="U34" s="10" t="s">
        <v>1079</v>
      </c>
      <c r="V34" s="10" t="s">
        <v>1079</v>
      </c>
      <c r="W34" s="10" t="s">
        <v>1079</v>
      </c>
      <c r="X34" s="10" t="s">
        <v>1079</v>
      </c>
      <c r="Y34" s="10" t="s">
        <v>1079</v>
      </c>
      <c r="Z34" s="10" t="s">
        <v>1079</v>
      </c>
      <c r="AA34" s="10" t="s">
        <v>1079</v>
      </c>
      <c r="AB34" s="10" t="s">
        <v>1079</v>
      </c>
      <c r="AD34" s="31">
        <f>IF($C34="","",SUM($E34:$P34))</f>
        <v>3</v>
      </c>
      <c r="AE34" s="31">
        <f>IF($C34="","",COUNTIF($Q34:$AB34,"http*"))</f>
        <v>1</v>
      </c>
      <c r="AF34" s="31">
        <f>IF($C34="","",$AD34*1000+(1000-$A34))</f>
        <v>3969</v>
      </c>
      <c r="AG34" s="31">
        <f>IF($C34="","",RANK($AF34,$AF$4:$AF$53))</f>
        <v>37</v>
      </c>
      <c r="AH34" s="31">
        <f>IF($C34="","",MAX(0,$AD34-$AE34))</f>
        <v>2</v>
      </c>
      <c r="AI34" s="31">
        <f>IF($C34="","",MAX(0,$AE34-$AD34))</f>
        <v>0</v>
      </c>
      <c r="AJ34" s="6" t="str">
        <f t="shared" si="0"/>
        <v>Plane Geometry Problem from a Classic Brazilian Mathematics Book</v>
      </c>
      <c r="AK34" s="6">
        <v>31</v>
      </c>
    </row>
    <row r="35" spans="1:37" ht="14.35" customHeight="1">
      <c r="A35" s="6">
        <v>32</v>
      </c>
      <c r="B35" s="6" t="s">
        <v>1001</v>
      </c>
      <c r="C35" s="7" t="s">
        <v>971</v>
      </c>
      <c r="D35" s="7" t="s">
        <v>1061</v>
      </c>
      <c r="E35" s="8">
        <v>0</v>
      </c>
      <c r="F35" s="8">
        <v>0</v>
      </c>
      <c r="G35" s="8">
        <v>0</v>
      </c>
      <c r="H35" s="8">
        <v>1</v>
      </c>
      <c r="I35" s="8">
        <v>1</v>
      </c>
      <c r="J35" s="8">
        <v>0</v>
      </c>
      <c r="K35" s="8">
        <v>0</v>
      </c>
      <c r="L35" s="8">
        <v>0</v>
      </c>
      <c r="M35" s="8">
        <v>1</v>
      </c>
      <c r="N35" s="8">
        <v>0</v>
      </c>
      <c r="O35" s="8">
        <v>0</v>
      </c>
      <c r="P35" s="8">
        <v>0</v>
      </c>
      <c r="Q35" s="10" t="s">
        <v>1079</v>
      </c>
      <c r="R35" s="10" t="s">
        <v>1079</v>
      </c>
      <c r="S35" s="10" t="s">
        <v>1079</v>
      </c>
      <c r="T35" s="10" t="s">
        <v>28</v>
      </c>
      <c r="U35" s="10" t="s">
        <v>29</v>
      </c>
      <c r="V35" s="10" t="s">
        <v>1079</v>
      </c>
      <c r="W35" s="10" t="s">
        <v>1079</v>
      </c>
      <c r="X35" s="10" t="s">
        <v>1079</v>
      </c>
      <c r="Y35" s="10" t="s">
        <v>1079</v>
      </c>
      <c r="Z35" s="10" t="s">
        <v>1079</v>
      </c>
      <c r="AA35" s="10" t="s">
        <v>1079</v>
      </c>
      <c r="AB35" s="10" t="s">
        <v>1079</v>
      </c>
      <c r="AD35" s="31">
        <f>IF($C35="","",SUM($E35:$P35))</f>
        <v>3</v>
      </c>
      <c r="AE35" s="31">
        <f>IF($C35="","",COUNTIF($Q35:$AB35,"http*"))</f>
        <v>2</v>
      </c>
      <c r="AF35" s="31">
        <f>IF($C35="","",$AD35*1000+(1000-$A35))</f>
        <v>3968</v>
      </c>
      <c r="AG35" s="31">
        <f>IF($C35="","",RANK($AF35,$AF$4:$AF$53))</f>
        <v>38</v>
      </c>
      <c r="AH35" s="31">
        <f>IF($C35="","",MAX(0,$AD35-$AE35))</f>
        <v>1</v>
      </c>
      <c r="AI35" s="31">
        <f>IF($C35="","",MAX(0,$AE35-$AD35))</f>
        <v>0</v>
      </c>
      <c r="AJ35" s="6" t="str">
        <f t="shared" si="0"/>
        <v>Questão #160 Dia 2 (azul) do ENEM 2025 (questão de geometria analítica)</v>
      </c>
      <c r="AK35" s="6">
        <v>32</v>
      </c>
    </row>
    <row r="36" spans="1:37" ht="14.35" customHeight="1">
      <c r="A36" s="6">
        <v>33</v>
      </c>
      <c r="B36" s="6" t="s">
        <v>1001</v>
      </c>
      <c r="C36" s="7" t="s">
        <v>945</v>
      </c>
      <c r="D36" s="7" t="s">
        <v>1048</v>
      </c>
      <c r="E36" s="8">
        <v>0</v>
      </c>
      <c r="F36" s="8">
        <v>0</v>
      </c>
      <c r="G36" s="8">
        <v>0</v>
      </c>
      <c r="H36" s="8">
        <v>1</v>
      </c>
      <c r="I36" s="8">
        <v>1</v>
      </c>
      <c r="J36" s="8">
        <v>0</v>
      </c>
      <c r="K36" s="8">
        <v>0</v>
      </c>
      <c r="L36" s="8">
        <v>0</v>
      </c>
      <c r="M36" s="8">
        <v>1</v>
      </c>
      <c r="N36" s="8">
        <v>0</v>
      </c>
      <c r="O36" s="8">
        <v>0</v>
      </c>
      <c r="P36" s="8">
        <v>0</v>
      </c>
      <c r="Q36" s="10" t="s">
        <v>1079</v>
      </c>
      <c r="R36" s="10" t="s">
        <v>1079</v>
      </c>
      <c r="S36" s="10" t="s">
        <v>1079</v>
      </c>
      <c r="T36" s="9" t="s">
        <v>946</v>
      </c>
      <c r="U36" s="10" t="s">
        <v>1079</v>
      </c>
      <c r="V36" s="10" t="s">
        <v>1079</v>
      </c>
      <c r="W36" s="10" t="s">
        <v>1079</v>
      </c>
      <c r="X36" s="10" t="s">
        <v>1079</v>
      </c>
      <c r="Y36" s="10" t="s">
        <v>1079</v>
      </c>
      <c r="Z36" s="10" t="s">
        <v>1079</v>
      </c>
      <c r="AA36" s="10" t="s">
        <v>1079</v>
      </c>
      <c r="AB36" s="10" t="s">
        <v>1079</v>
      </c>
      <c r="AD36" s="31">
        <f>IF($C36="","",SUM($E36:$P36))</f>
        <v>3</v>
      </c>
      <c r="AE36" s="31">
        <f>IF($C36="","",COUNTIF($Q36:$AB36,"http*"))</f>
        <v>1</v>
      </c>
      <c r="AF36" s="31">
        <f>IF($C36="","",$AD36*1000+(1000-$A36))</f>
        <v>3967</v>
      </c>
      <c r="AG36" s="31">
        <f>IF($C36="","",RANK($AF36,$AF$4:$AF$53))</f>
        <v>39</v>
      </c>
      <c r="AH36" s="31">
        <f>IF($C36="","",MAX(0,$AD36-$AE36))</f>
        <v>2</v>
      </c>
      <c r="AI36" s="31">
        <f>IF($C36="","",MAX(0,$AE36-$AD36))</f>
        <v>0</v>
      </c>
      <c r="AJ36" s="6" t="str">
        <f t="shared" si="0"/>
        <v>IME 2022: números complexos resolvendo um problema de geometria</v>
      </c>
      <c r="AK36" s="6">
        <v>33</v>
      </c>
    </row>
    <row r="37" spans="1:37" ht="14.35" customHeight="1">
      <c r="A37" s="6">
        <v>34</v>
      </c>
      <c r="B37" s="6" t="s">
        <v>1074</v>
      </c>
      <c r="C37" s="7" t="s">
        <v>972</v>
      </c>
      <c r="D37" s="7" t="s">
        <v>1062</v>
      </c>
      <c r="E37" s="8">
        <v>0</v>
      </c>
      <c r="F37" s="8">
        <v>0</v>
      </c>
      <c r="G37" s="8">
        <v>0</v>
      </c>
      <c r="H37" s="8">
        <v>1</v>
      </c>
      <c r="I37" s="8">
        <v>1</v>
      </c>
      <c r="J37" s="8">
        <v>1</v>
      </c>
      <c r="K37" s="8">
        <v>1</v>
      </c>
      <c r="L37" s="8">
        <v>0</v>
      </c>
      <c r="M37" s="8">
        <v>1</v>
      </c>
      <c r="N37" s="8">
        <v>0</v>
      </c>
      <c r="O37" s="8">
        <v>0</v>
      </c>
      <c r="P37" s="8">
        <v>0</v>
      </c>
      <c r="Q37" s="10" t="s">
        <v>1079</v>
      </c>
      <c r="R37" s="10" t="s">
        <v>1079</v>
      </c>
      <c r="S37" s="10" t="s">
        <v>1079</v>
      </c>
      <c r="T37" s="9" t="s">
        <v>973</v>
      </c>
      <c r="U37" s="10" t="s">
        <v>1079</v>
      </c>
      <c r="V37" s="9" t="s">
        <v>1108</v>
      </c>
      <c r="W37" s="9" t="s">
        <v>1107</v>
      </c>
      <c r="X37" s="10" t="s">
        <v>1079</v>
      </c>
      <c r="Y37" s="10" t="s">
        <v>1079</v>
      </c>
      <c r="Z37" s="10" t="s">
        <v>1079</v>
      </c>
      <c r="AA37" s="10" t="s">
        <v>1079</v>
      </c>
      <c r="AB37" s="10" t="s">
        <v>1079</v>
      </c>
      <c r="AD37" s="31">
        <f>IF($C37="","",SUM($E37:$P37))</f>
        <v>5</v>
      </c>
      <c r="AE37" s="31">
        <f>IF($C37="","",COUNTIF($Q37:$AB37,"http*"))</f>
        <v>3</v>
      </c>
      <c r="AF37" s="31">
        <f>IF($C37="","",$AD37*1000+(1000-$A37))</f>
        <v>5966</v>
      </c>
      <c r="AG37" s="31">
        <f>IF($C37="","",RANK($AF37,$AF$4:$AF$53))</f>
        <v>2</v>
      </c>
      <c r="AH37" s="31">
        <f>IF($C37="","",MAX(0,$AD37-$AE37))</f>
        <v>2</v>
      </c>
      <c r="AI37" s="31">
        <f>IF($C37="","",MAX(0,$AE37-$AD37))</f>
        <v>0</v>
      </c>
      <c r="AJ37" s="6" t="str">
        <f t="shared" si="0"/>
        <v>Teste de complexidade temporal do método select (numpy) vs apply (pandas)</v>
      </c>
      <c r="AK37" s="6">
        <v>34</v>
      </c>
    </row>
    <row r="38" spans="1:37" ht="14.35" customHeight="1">
      <c r="A38" s="6">
        <v>35</v>
      </c>
      <c r="B38" s="6" t="s">
        <v>1074</v>
      </c>
      <c r="C38" s="7" t="s">
        <v>951</v>
      </c>
      <c r="D38" s="7" t="s">
        <v>1051</v>
      </c>
      <c r="E38" s="8">
        <v>0</v>
      </c>
      <c r="F38" s="8">
        <v>0</v>
      </c>
      <c r="G38" s="8">
        <v>0</v>
      </c>
      <c r="H38" s="8">
        <v>1</v>
      </c>
      <c r="I38" s="8">
        <v>1</v>
      </c>
      <c r="J38" s="8">
        <v>0</v>
      </c>
      <c r="K38" s="8">
        <v>0</v>
      </c>
      <c r="L38" s="8">
        <v>0</v>
      </c>
      <c r="M38" s="8">
        <v>1</v>
      </c>
      <c r="N38" s="8">
        <v>0</v>
      </c>
      <c r="O38" s="8">
        <v>0</v>
      </c>
      <c r="P38" s="8">
        <v>0</v>
      </c>
      <c r="Q38" s="10" t="s">
        <v>1079</v>
      </c>
      <c r="R38" s="10" t="s">
        <v>1079</v>
      </c>
      <c r="S38" s="10" t="s">
        <v>1079</v>
      </c>
      <c r="T38" s="9" t="s">
        <v>952</v>
      </c>
      <c r="U38" s="10" t="s">
        <v>1079</v>
      </c>
      <c r="V38" s="10" t="s">
        <v>1079</v>
      </c>
      <c r="W38" s="10" t="s">
        <v>1079</v>
      </c>
      <c r="X38" s="10" t="s">
        <v>1079</v>
      </c>
      <c r="Y38" s="10" t="s">
        <v>1079</v>
      </c>
      <c r="Z38" s="10" t="s">
        <v>1079</v>
      </c>
      <c r="AA38" s="10" t="s">
        <v>1079</v>
      </c>
      <c r="AB38" s="10" t="s">
        <v>1079</v>
      </c>
      <c r="AD38" s="31">
        <f>IF($C38="","",SUM($E38:$P38))</f>
        <v>3</v>
      </c>
      <c r="AE38" s="31">
        <f>IF($C38="","",COUNTIF($Q38:$AB38,"http*"))</f>
        <v>1</v>
      </c>
      <c r="AF38" s="31">
        <f>IF($C38="","",$AD38*1000+(1000-$A38))</f>
        <v>3965</v>
      </c>
      <c r="AG38" s="31">
        <f>IF($C38="","",RANK($AF38,$AF$4:$AF$53))</f>
        <v>40</v>
      </c>
      <c r="AH38" s="31">
        <f>IF($C38="","",MAX(0,$AD38-$AE38))</f>
        <v>2</v>
      </c>
      <c r="AI38" s="31">
        <f>IF($C38="","",MAX(0,$AE38-$AD38))</f>
        <v>0</v>
      </c>
      <c r="AJ38" s="6" t="str">
        <f t="shared" si="0"/>
        <v>SymPy: fazendo álgebra simbólica com Python</v>
      </c>
      <c r="AK38" s="6">
        <v>35</v>
      </c>
    </row>
    <row r="39" spans="1:37" ht="14.35" customHeight="1">
      <c r="A39" s="6">
        <v>36</v>
      </c>
      <c r="B39" s="6" t="s">
        <v>1074</v>
      </c>
      <c r="C39" s="7" t="s">
        <v>957</v>
      </c>
      <c r="D39" s="7" t="s">
        <v>1054</v>
      </c>
      <c r="E39" s="8">
        <v>0</v>
      </c>
      <c r="F39" s="8">
        <v>0</v>
      </c>
      <c r="G39" s="8">
        <v>0</v>
      </c>
      <c r="H39" s="8">
        <v>1</v>
      </c>
      <c r="I39" s="8">
        <v>1</v>
      </c>
      <c r="J39" s="8">
        <v>0</v>
      </c>
      <c r="K39" s="8">
        <v>0</v>
      </c>
      <c r="L39" s="8">
        <v>0</v>
      </c>
      <c r="M39" s="8">
        <v>1</v>
      </c>
      <c r="N39" s="8">
        <v>0</v>
      </c>
      <c r="O39" s="8">
        <v>0</v>
      </c>
      <c r="P39" s="8">
        <v>0</v>
      </c>
      <c r="Q39" s="10" t="s">
        <v>1079</v>
      </c>
      <c r="R39" s="10" t="s">
        <v>1079</v>
      </c>
      <c r="S39" s="10" t="s">
        <v>1079</v>
      </c>
      <c r="T39" s="9" t="s">
        <v>958</v>
      </c>
      <c r="U39" s="10" t="s">
        <v>1079</v>
      </c>
      <c r="V39" s="10" t="s">
        <v>1079</v>
      </c>
      <c r="W39" s="10" t="s">
        <v>1079</v>
      </c>
      <c r="X39" s="10" t="s">
        <v>1079</v>
      </c>
      <c r="Y39" s="10" t="s">
        <v>1079</v>
      </c>
      <c r="Z39" s="10" t="s">
        <v>1079</v>
      </c>
      <c r="AA39" s="10" t="s">
        <v>1079</v>
      </c>
      <c r="AB39" s="10" t="s">
        <v>1079</v>
      </c>
      <c r="AD39" s="31">
        <f>IF($C39="","",SUM($E39:$P39))</f>
        <v>3</v>
      </c>
      <c r="AE39" s="31">
        <f>IF($C39="","",COUNTIF($Q39:$AB39,"http*"))</f>
        <v>1</v>
      </c>
      <c r="AF39" s="31">
        <f>IF($C39="","",$AD39*1000+(1000-$A39))</f>
        <v>3964</v>
      </c>
      <c r="AG39" s="31">
        <f>IF($C39="","",RANK($AF39,$AF$4:$AF$53))</f>
        <v>41</v>
      </c>
      <c r="AH39" s="31">
        <f>IF($C39="","",MAX(0,$AD39-$AE39))</f>
        <v>2</v>
      </c>
      <c r="AI39" s="31">
        <f>IF($C39="","",MAX(0,$AE39-$AD39))</f>
        <v>0</v>
      </c>
      <c r="AJ39" s="6" t="str">
        <f t="shared" si="0"/>
        <v>Aula 01 — Python do zero para análise de dados: variáveis, lógica e primeiros códigos</v>
      </c>
      <c r="AK39" s="6">
        <v>36</v>
      </c>
    </row>
    <row r="40" spans="1:37" ht="14.35" customHeight="1">
      <c r="A40" s="6">
        <v>37</v>
      </c>
      <c r="B40" s="6" t="s">
        <v>1080</v>
      </c>
      <c r="C40" s="6" t="s">
        <v>31</v>
      </c>
      <c r="D40" s="6" t="s">
        <v>1082</v>
      </c>
      <c r="E40" s="8">
        <v>1</v>
      </c>
      <c r="F40" s="8">
        <v>1</v>
      </c>
      <c r="G40" s="8">
        <v>1</v>
      </c>
      <c r="H40" s="8">
        <v>0</v>
      </c>
      <c r="I40" s="8">
        <v>0</v>
      </c>
      <c r="J40" s="8">
        <v>0</v>
      </c>
      <c r="K40" s="8">
        <v>0</v>
      </c>
      <c r="L40" s="8">
        <v>0</v>
      </c>
      <c r="M40" s="8">
        <v>0</v>
      </c>
      <c r="N40" s="8">
        <v>0</v>
      </c>
      <c r="O40" s="8">
        <v>0</v>
      </c>
      <c r="P40" s="8">
        <v>0</v>
      </c>
      <c r="Q40" s="9" t="s">
        <v>32</v>
      </c>
      <c r="R40" s="10" t="s">
        <v>33</v>
      </c>
      <c r="S40" s="10" t="s">
        <v>1079</v>
      </c>
      <c r="T40" s="10" t="s">
        <v>1079</v>
      </c>
      <c r="U40" s="10" t="s">
        <v>1079</v>
      </c>
      <c r="V40" s="10" t="s">
        <v>1079</v>
      </c>
      <c r="W40" s="10" t="s">
        <v>1079</v>
      </c>
      <c r="X40" s="10" t="s">
        <v>1079</v>
      </c>
      <c r="Y40" s="10" t="s">
        <v>1079</v>
      </c>
      <c r="Z40" s="10" t="s">
        <v>1079</v>
      </c>
      <c r="AA40" s="10" t="s">
        <v>1079</v>
      </c>
      <c r="AB40" s="10" t="s">
        <v>1079</v>
      </c>
      <c r="AD40" s="31">
        <f>IF($C40="","",SUM($E40:$P40))</f>
        <v>3</v>
      </c>
      <c r="AE40" s="31">
        <f>IF($C40="","",COUNTIF($Q40:$AB40,"http*"))</f>
        <v>2</v>
      </c>
      <c r="AF40" s="31">
        <f>IF($C40="","",$AD40*1000+(1000-$A40))</f>
        <v>3963</v>
      </c>
      <c r="AG40" s="31">
        <f>IF($C40="","",RANK($AF40,$AF$4:$AF$53))</f>
        <v>42</v>
      </c>
      <c r="AH40" s="31">
        <f>IF($C40="","",MAX(0,$AD40-$AE40))</f>
        <v>1</v>
      </c>
      <c r="AI40" s="31">
        <f>IF($C40="","",MAX(0,$AE40-$AD40))</f>
        <v>0</v>
      </c>
      <c r="AJ40" s="6" t="str">
        <f t="shared" si="0"/>
        <v>Dust content content solutions for the Alcubierre warp drive spacetime.</v>
      </c>
      <c r="AK40" s="6">
        <v>37</v>
      </c>
    </row>
    <row r="41" spans="1:37" ht="14.35" customHeight="1">
      <c r="A41" s="6">
        <v>38</v>
      </c>
      <c r="B41" s="6" t="s">
        <v>1080</v>
      </c>
      <c r="C41" s="6" t="s">
        <v>34</v>
      </c>
      <c r="D41" s="6" t="s">
        <v>1082</v>
      </c>
      <c r="E41" s="8">
        <v>1</v>
      </c>
      <c r="F41" s="8">
        <v>1</v>
      </c>
      <c r="G41" s="8">
        <v>1</v>
      </c>
      <c r="H41" s="8">
        <v>0</v>
      </c>
      <c r="I41" s="8">
        <v>0</v>
      </c>
      <c r="J41" s="8">
        <v>0</v>
      </c>
      <c r="K41" s="8">
        <v>0</v>
      </c>
      <c r="L41" s="8">
        <v>0</v>
      </c>
      <c r="M41" s="8">
        <v>1</v>
      </c>
      <c r="N41" s="8">
        <v>0</v>
      </c>
      <c r="O41" s="8">
        <v>0</v>
      </c>
      <c r="P41" s="8">
        <v>0</v>
      </c>
      <c r="Q41" s="10" t="s">
        <v>35</v>
      </c>
      <c r="R41" s="10" t="s">
        <v>36</v>
      </c>
      <c r="S41" s="10" t="s">
        <v>1079</v>
      </c>
      <c r="T41" s="10" t="s">
        <v>1079</v>
      </c>
      <c r="U41" s="10" t="s">
        <v>1079</v>
      </c>
      <c r="V41" s="10" t="s">
        <v>1079</v>
      </c>
      <c r="W41" s="10" t="s">
        <v>1079</v>
      </c>
      <c r="X41" s="10" t="s">
        <v>1079</v>
      </c>
      <c r="Y41" s="10" t="s">
        <v>1079</v>
      </c>
      <c r="Z41" s="10" t="s">
        <v>1079</v>
      </c>
      <c r="AA41" s="10" t="s">
        <v>1079</v>
      </c>
      <c r="AB41" s="10" t="s">
        <v>1079</v>
      </c>
      <c r="AD41" s="31">
        <f>IF($C41="","",SUM($E41:$P41))</f>
        <v>4</v>
      </c>
      <c r="AE41" s="31">
        <f>IF($C41="","",COUNTIF($Q41:$AB41,"http*"))</f>
        <v>2</v>
      </c>
      <c r="AF41" s="31">
        <f>IF($C41="","",$AD41*1000+(1000-$A41))</f>
        <v>4962</v>
      </c>
      <c r="AG41" s="31">
        <f>IF($C41="","",RANK($AF41,$AF$4:$AF$53))</f>
        <v>4</v>
      </c>
      <c r="AH41" s="31">
        <f>IF($C41="","",MAX(0,$AD41-$AE41))</f>
        <v>2</v>
      </c>
      <c r="AI41" s="31">
        <f>IF($C41="","",MAX(0,$AE41-$AD41))</f>
        <v>0</v>
      </c>
      <c r="AJ41" s="6" t="str">
        <f t="shared" si="0"/>
        <v>Fluid dynamics in the warp drive spacetime geometry</v>
      </c>
      <c r="AK41" s="6">
        <v>38</v>
      </c>
    </row>
    <row r="42" spans="1:37" ht="14.35" customHeight="1">
      <c r="A42" s="6">
        <v>39</v>
      </c>
      <c r="B42" s="6" t="s">
        <v>1080</v>
      </c>
      <c r="C42" s="6" t="s">
        <v>37</v>
      </c>
      <c r="D42" s="6" t="s">
        <v>1082</v>
      </c>
      <c r="E42" s="8">
        <v>1</v>
      </c>
      <c r="F42" s="8">
        <v>1</v>
      </c>
      <c r="G42" s="8">
        <v>1</v>
      </c>
      <c r="H42" s="8">
        <v>0</v>
      </c>
      <c r="I42" s="8">
        <v>0</v>
      </c>
      <c r="J42" s="8">
        <v>0</v>
      </c>
      <c r="K42" s="8">
        <v>0</v>
      </c>
      <c r="L42" s="8">
        <v>0</v>
      </c>
      <c r="M42" s="8">
        <v>1</v>
      </c>
      <c r="N42" s="8">
        <v>0</v>
      </c>
      <c r="O42" s="8">
        <v>0</v>
      </c>
      <c r="P42" s="8">
        <v>0</v>
      </c>
      <c r="Q42" s="10" t="s">
        <v>38</v>
      </c>
      <c r="R42" s="10" t="s">
        <v>39</v>
      </c>
      <c r="S42" s="10" t="s">
        <v>1079</v>
      </c>
      <c r="T42" s="10" t="s">
        <v>1079</v>
      </c>
      <c r="U42" s="10" t="s">
        <v>1079</v>
      </c>
      <c r="V42" s="10" t="s">
        <v>1079</v>
      </c>
      <c r="W42" s="10" t="s">
        <v>1079</v>
      </c>
      <c r="X42" s="10" t="s">
        <v>1079</v>
      </c>
      <c r="Y42" s="10" t="s">
        <v>1079</v>
      </c>
      <c r="Z42" s="10" t="s">
        <v>1079</v>
      </c>
      <c r="AA42" s="10" t="s">
        <v>1079</v>
      </c>
      <c r="AB42" s="10" t="s">
        <v>1079</v>
      </c>
      <c r="AD42" s="31">
        <f>IF($C42="","",SUM($E42:$P42))</f>
        <v>4</v>
      </c>
      <c r="AE42" s="31">
        <f>IF($C42="","",COUNTIF($Q42:$AB42,"http*"))</f>
        <v>2</v>
      </c>
      <c r="AF42" s="31">
        <f>IF($C42="","",$AD42*1000+(1000-$A42))</f>
        <v>4961</v>
      </c>
      <c r="AG42" s="31">
        <f>IF($C42="","",RANK($AF42,$AF$4:$AF$53))</f>
        <v>5</v>
      </c>
      <c r="AH42" s="31">
        <f>IF($C42="","",MAX(0,$AD42-$AE42))</f>
        <v>2</v>
      </c>
      <c r="AI42" s="31">
        <f>IF($C42="","",MAX(0,$AE42-$AD42))</f>
        <v>0</v>
      </c>
      <c r="AJ42" s="6" t="str">
        <f t="shared" si="0"/>
        <v>Charged dust solutions for the warp drive spacetime</v>
      </c>
      <c r="AK42" s="6">
        <v>39</v>
      </c>
    </row>
    <row r="43" spans="1:37" ht="14.35" customHeight="1">
      <c r="A43" s="6">
        <v>40</v>
      </c>
      <c r="B43" s="6" t="s">
        <v>1080</v>
      </c>
      <c r="C43" s="6" t="s">
        <v>40</v>
      </c>
      <c r="D43" s="6" t="s">
        <v>1082</v>
      </c>
      <c r="E43" s="8">
        <v>1</v>
      </c>
      <c r="F43" s="8">
        <v>1</v>
      </c>
      <c r="G43" s="8">
        <v>1</v>
      </c>
      <c r="H43" s="8">
        <v>0</v>
      </c>
      <c r="I43" s="8">
        <v>0</v>
      </c>
      <c r="J43" s="8">
        <v>0</v>
      </c>
      <c r="K43" s="8">
        <v>0</v>
      </c>
      <c r="L43" s="8">
        <v>0</v>
      </c>
      <c r="M43" s="8">
        <v>1</v>
      </c>
      <c r="N43" s="8">
        <v>0</v>
      </c>
      <c r="O43" s="8">
        <v>0</v>
      </c>
      <c r="P43" s="8">
        <v>0</v>
      </c>
      <c r="Q43" s="10" t="s">
        <v>41</v>
      </c>
      <c r="R43" s="10" t="s">
        <v>42</v>
      </c>
      <c r="S43" s="10" t="s">
        <v>1079</v>
      </c>
      <c r="T43" s="10" t="s">
        <v>1079</v>
      </c>
      <c r="U43" s="10" t="s">
        <v>1079</v>
      </c>
      <c r="V43" s="10" t="s">
        <v>1079</v>
      </c>
      <c r="W43" s="10" t="s">
        <v>1079</v>
      </c>
      <c r="X43" s="10" t="s">
        <v>1079</v>
      </c>
      <c r="Y43" s="10" t="s">
        <v>1079</v>
      </c>
      <c r="Z43" s="10" t="s">
        <v>1079</v>
      </c>
      <c r="AA43" s="10" t="s">
        <v>1079</v>
      </c>
      <c r="AB43" s="10" t="s">
        <v>1079</v>
      </c>
      <c r="AD43" s="31">
        <f>IF($C43="","",SUM($E43:$P43))</f>
        <v>4</v>
      </c>
      <c r="AE43" s="31">
        <f>IF($C43="","",COUNTIF($Q43:$AB43,"http*"))</f>
        <v>2</v>
      </c>
      <c r="AF43" s="31">
        <f>IF($C43="","",$AD43*1000+(1000-$A43))</f>
        <v>4960</v>
      </c>
      <c r="AG43" s="31">
        <f>IF($C43="","",RANK($AF43,$AF$4:$AF$53))</f>
        <v>6</v>
      </c>
      <c r="AH43" s="31">
        <f>IF($C43="","",MAX(0,$AD43-$AE43))</f>
        <v>2</v>
      </c>
      <c r="AI43" s="31">
        <f>IF($C43="","",MAX(0,$AE43-$AD43))</f>
        <v>0</v>
      </c>
      <c r="AJ43" s="6" t="str">
        <f t="shared" si="0"/>
        <v>Perfect fluid warp drive solutions with the cosmological constant</v>
      </c>
      <c r="AK43" s="6">
        <v>40</v>
      </c>
    </row>
    <row r="44" spans="1:37" ht="14.35" customHeight="1">
      <c r="A44" s="6">
        <v>41</v>
      </c>
      <c r="B44" s="6" t="s">
        <v>1080</v>
      </c>
      <c r="C44" s="6" t="s">
        <v>43</v>
      </c>
      <c r="D44" s="6" t="s">
        <v>1082</v>
      </c>
      <c r="E44" s="8">
        <v>1</v>
      </c>
      <c r="F44" s="8">
        <v>1</v>
      </c>
      <c r="G44" s="8">
        <v>1</v>
      </c>
      <c r="H44" s="8">
        <v>0</v>
      </c>
      <c r="I44" s="8">
        <v>0</v>
      </c>
      <c r="J44" s="8">
        <v>0</v>
      </c>
      <c r="K44" s="8">
        <v>0</v>
      </c>
      <c r="L44" s="8">
        <v>0</v>
      </c>
      <c r="M44" s="8">
        <v>1</v>
      </c>
      <c r="N44" s="8">
        <v>0</v>
      </c>
      <c r="O44" s="8">
        <v>0</v>
      </c>
      <c r="P44" s="8">
        <v>0</v>
      </c>
      <c r="Q44" s="10" t="s">
        <v>41</v>
      </c>
      <c r="R44" s="10" t="s">
        <v>44</v>
      </c>
      <c r="S44" s="10" t="s">
        <v>1079</v>
      </c>
      <c r="T44" s="10" t="s">
        <v>1079</v>
      </c>
      <c r="U44" s="10" t="s">
        <v>1079</v>
      </c>
      <c r="V44" s="10" t="s">
        <v>1079</v>
      </c>
      <c r="W44" s="10" t="s">
        <v>1079</v>
      </c>
      <c r="X44" s="10" t="s">
        <v>1079</v>
      </c>
      <c r="Y44" s="10" t="s">
        <v>1079</v>
      </c>
      <c r="Z44" s="10" t="s">
        <v>1079</v>
      </c>
      <c r="AA44" s="10" t="s">
        <v>1079</v>
      </c>
      <c r="AB44" s="10" t="s">
        <v>1079</v>
      </c>
      <c r="AD44" s="31">
        <f>IF($C44="","",SUM($E44:$P44))</f>
        <v>4</v>
      </c>
      <c r="AE44" s="31">
        <f>IF($C44="","",COUNTIF($Q44:$AB44,"http*"))</f>
        <v>2</v>
      </c>
      <c r="AF44" s="31">
        <f>IF($C44="","",$AD44*1000+(1000-$A44))</f>
        <v>4959</v>
      </c>
      <c r="AG44" s="31">
        <f>IF($C44="","",RANK($AF44,$AF$4:$AF$53))</f>
        <v>7</v>
      </c>
      <c r="AH44" s="31">
        <f>IF($C44="","",MAX(0,$AD44-$AE44))</f>
        <v>2</v>
      </c>
      <c r="AI44" s="31">
        <f>IF($C44="","",MAX(0,$AE44-$AD44))</f>
        <v>0</v>
      </c>
      <c r="AJ44" s="6" t="str">
        <f t="shared" si="0"/>
        <v>Warp drive dynamic solutions considering different fluid sources</v>
      </c>
      <c r="AK44" s="6">
        <v>41</v>
      </c>
    </row>
    <row r="45" spans="1:37" ht="14.35" customHeight="1">
      <c r="A45" s="6">
        <v>42</v>
      </c>
      <c r="B45" s="6" t="s">
        <v>1080</v>
      </c>
      <c r="C45" s="6" t="s">
        <v>45</v>
      </c>
      <c r="D45" s="6" t="s">
        <v>1082</v>
      </c>
      <c r="E45" s="8">
        <v>1</v>
      </c>
      <c r="F45" s="8">
        <v>1</v>
      </c>
      <c r="G45" s="8">
        <v>1</v>
      </c>
      <c r="H45" s="8">
        <v>0</v>
      </c>
      <c r="I45" s="8">
        <v>0</v>
      </c>
      <c r="J45" s="8">
        <v>0</v>
      </c>
      <c r="K45" s="8">
        <v>0</v>
      </c>
      <c r="L45" s="8">
        <v>0</v>
      </c>
      <c r="M45" s="8">
        <v>1</v>
      </c>
      <c r="N45" s="8">
        <v>0</v>
      </c>
      <c r="O45" s="8">
        <v>0</v>
      </c>
      <c r="P45" s="8">
        <v>0</v>
      </c>
      <c r="Q45" s="10" t="s">
        <v>46</v>
      </c>
      <c r="R45" s="10" t="s">
        <v>47</v>
      </c>
      <c r="S45" s="10" t="s">
        <v>1079</v>
      </c>
      <c r="T45" s="10" t="s">
        <v>1079</v>
      </c>
      <c r="U45" s="10" t="s">
        <v>1079</v>
      </c>
      <c r="V45" s="10" t="s">
        <v>1079</v>
      </c>
      <c r="W45" s="10" t="s">
        <v>1079</v>
      </c>
      <c r="X45" s="10" t="s">
        <v>1079</v>
      </c>
      <c r="Y45" s="10" t="s">
        <v>1079</v>
      </c>
      <c r="Z45" s="10" t="s">
        <v>1079</v>
      </c>
      <c r="AA45" s="10" t="s">
        <v>1079</v>
      </c>
      <c r="AB45" s="10" t="s">
        <v>1079</v>
      </c>
      <c r="AD45" s="31">
        <f>IF($C45="","",SUM($E45:$P45))</f>
        <v>4</v>
      </c>
      <c r="AE45" s="31">
        <f>IF($C45="","",COUNTIF($Q45:$AB45,"http*"))</f>
        <v>2</v>
      </c>
      <c r="AF45" s="31">
        <f>IF($C45="","",$AD45*1000+(1000-$A45))</f>
        <v>4958</v>
      </c>
      <c r="AG45" s="31">
        <f>IF($C45="","",RANK($AF45,$AF$4:$AF$53))</f>
        <v>8</v>
      </c>
      <c r="AH45" s="31">
        <f>IF($C45="","",MAX(0,$AD45-$AE45))</f>
        <v>2</v>
      </c>
      <c r="AI45" s="31">
        <f>IF($C45="","",MAX(0,$AE45-$AD45))</f>
        <v>0</v>
      </c>
      <c r="AJ45" s="6" t="str">
        <f t="shared" si="0"/>
        <v>Matching the Alcubierre and Minkowski spacetimes.</v>
      </c>
      <c r="AK45" s="6">
        <v>42</v>
      </c>
    </row>
    <row r="46" spans="1:37" ht="14.35" customHeight="1">
      <c r="A46" s="6">
        <v>43</v>
      </c>
      <c r="B46" s="6" t="s">
        <v>1080</v>
      </c>
      <c r="C46" s="7" t="s">
        <v>1085</v>
      </c>
      <c r="D46" s="7" t="s">
        <v>1086</v>
      </c>
      <c r="E46" s="8">
        <v>0</v>
      </c>
      <c r="F46" s="8">
        <v>0</v>
      </c>
      <c r="G46" s="8">
        <v>0</v>
      </c>
      <c r="H46" s="8">
        <v>1</v>
      </c>
      <c r="I46" s="8">
        <v>1</v>
      </c>
      <c r="J46" s="8">
        <v>0</v>
      </c>
      <c r="K46" s="8">
        <v>0</v>
      </c>
      <c r="L46" s="8">
        <v>0</v>
      </c>
      <c r="M46" s="8">
        <v>1</v>
      </c>
      <c r="N46" s="8">
        <v>0</v>
      </c>
      <c r="O46" s="8">
        <v>0</v>
      </c>
      <c r="P46" s="8">
        <v>0</v>
      </c>
      <c r="Q46" s="10" t="s">
        <v>1079</v>
      </c>
      <c r="R46" s="10" t="s">
        <v>1079</v>
      </c>
      <c r="S46" s="10" t="s">
        <v>1079</v>
      </c>
      <c r="T46" s="10" t="s">
        <v>988</v>
      </c>
      <c r="U46" s="10" t="s">
        <v>1079</v>
      </c>
      <c r="V46" s="10" t="s">
        <v>1079</v>
      </c>
      <c r="W46" s="10" t="s">
        <v>1079</v>
      </c>
      <c r="X46" s="10" t="s">
        <v>1079</v>
      </c>
      <c r="Y46" s="10" t="s">
        <v>1079</v>
      </c>
      <c r="Z46" s="10" t="s">
        <v>1079</v>
      </c>
      <c r="AA46" s="10" t="s">
        <v>1079</v>
      </c>
      <c r="AB46" s="10" t="s">
        <v>1079</v>
      </c>
      <c r="AD46" s="31">
        <f>IF($C46="","",SUM($E46:$P46))</f>
        <v>3</v>
      </c>
      <c r="AE46" s="31">
        <f>IF($C46="","",COUNTIF($Q46:$AB46,"http*"))</f>
        <v>1</v>
      </c>
      <c r="AF46" s="31">
        <f>IF($C46="","",$AD46*1000+(1000-$A46))</f>
        <v>3957</v>
      </c>
      <c r="AG46" s="31">
        <f>IF($C46="","",RANK($AF46,$AF$4:$AF$53))</f>
        <v>43</v>
      </c>
      <c r="AH46" s="31">
        <f>IF($C46="","",MAX(0,$AD46-$AE46))</f>
        <v>2</v>
      </c>
      <c r="AI46" s="31">
        <f>IF($C46="","",MAX(0,$AE46-$AD46))</f>
        <v>0</v>
      </c>
      <c r="AJ46" s="6" t="str">
        <f t="shared" si="0"/>
        <v>Warp Drive: A Física por Trás da Dobra Espacial</v>
      </c>
      <c r="AK46" s="6">
        <v>43</v>
      </c>
    </row>
    <row r="47" spans="1:37" ht="14.35" customHeight="1">
      <c r="A47" s="6">
        <v>44</v>
      </c>
      <c r="B47" s="6" t="s">
        <v>1080</v>
      </c>
      <c r="C47" s="7" t="s">
        <v>989</v>
      </c>
      <c r="D47" s="7" t="s">
        <v>1070</v>
      </c>
      <c r="E47" s="8">
        <v>0</v>
      </c>
      <c r="F47" s="8">
        <v>0</v>
      </c>
      <c r="G47" s="8">
        <v>0</v>
      </c>
      <c r="H47" s="8">
        <v>1</v>
      </c>
      <c r="I47" s="8">
        <v>1</v>
      </c>
      <c r="J47" s="8">
        <v>0</v>
      </c>
      <c r="K47" s="8">
        <v>0</v>
      </c>
      <c r="L47" s="8">
        <v>0</v>
      </c>
      <c r="M47" s="8">
        <v>1</v>
      </c>
      <c r="N47" s="8">
        <v>0</v>
      </c>
      <c r="O47" s="8">
        <v>0</v>
      </c>
      <c r="P47" s="8">
        <v>0</v>
      </c>
      <c r="Q47" s="10" t="s">
        <v>1079</v>
      </c>
      <c r="R47" s="10" t="s">
        <v>1079</v>
      </c>
      <c r="S47" s="10" t="s">
        <v>1079</v>
      </c>
      <c r="T47" s="9" t="s">
        <v>990</v>
      </c>
      <c r="U47" s="10" t="s">
        <v>1079</v>
      </c>
      <c r="V47" s="10" t="s">
        <v>1079</v>
      </c>
      <c r="W47" s="10" t="s">
        <v>1079</v>
      </c>
      <c r="X47" s="10" t="s">
        <v>1079</v>
      </c>
      <c r="Y47" s="10" t="s">
        <v>1079</v>
      </c>
      <c r="Z47" s="10" t="s">
        <v>1079</v>
      </c>
      <c r="AA47" s="10" t="s">
        <v>1079</v>
      </c>
      <c r="AB47" s="10" t="s">
        <v>1079</v>
      </c>
      <c r="AD47" s="31">
        <f>IF($C47="","",SUM($E47:$P47))</f>
        <v>3</v>
      </c>
      <c r="AE47" s="31">
        <f>IF($C47="","",COUNTIF($Q47:$AB47,"http*"))</f>
        <v>1</v>
      </c>
      <c r="AF47" s="31">
        <f>IF($C47="","",$AD47*1000+(1000-$A47))</f>
        <v>3956</v>
      </c>
      <c r="AG47" s="31">
        <f>IF($C47="","",RANK($AF47,$AF$4:$AF$53))</f>
        <v>44</v>
      </c>
      <c r="AH47" s="31">
        <f>IF($C47="","",MAX(0,$AD47-$AE47))</f>
        <v>2</v>
      </c>
      <c r="AI47" s="31">
        <f>IF($C47="","",MAX(0,$AE47-$AD47))</f>
        <v>0</v>
      </c>
      <c r="AJ47" s="6" t="str">
        <f t="shared" si="0"/>
        <v>Warp Drive in General Relativity: Faster-than-Light Without Breaking Locally</v>
      </c>
      <c r="AK47" s="6">
        <v>44</v>
      </c>
    </row>
    <row r="48" spans="1:37" ht="14.35" customHeight="1">
      <c r="A48" s="6">
        <v>45</v>
      </c>
      <c r="B48" s="6" t="s">
        <v>30</v>
      </c>
      <c r="C48" s="7" t="s">
        <v>924</v>
      </c>
      <c r="D48" s="7" t="s">
        <v>1037</v>
      </c>
      <c r="E48" s="8">
        <v>0</v>
      </c>
      <c r="F48" s="8">
        <v>0</v>
      </c>
      <c r="G48" s="8">
        <v>0</v>
      </c>
      <c r="H48" s="8">
        <v>1</v>
      </c>
      <c r="I48" s="8">
        <v>1</v>
      </c>
      <c r="J48" s="8">
        <v>0</v>
      </c>
      <c r="K48" s="8">
        <v>0</v>
      </c>
      <c r="L48" s="8">
        <v>0</v>
      </c>
      <c r="M48" s="8">
        <v>1</v>
      </c>
      <c r="N48" s="8">
        <v>0</v>
      </c>
      <c r="O48" s="8">
        <v>0</v>
      </c>
      <c r="P48" s="8">
        <v>0</v>
      </c>
      <c r="Q48" s="10" t="s">
        <v>1079</v>
      </c>
      <c r="R48" s="10" t="s">
        <v>1079</v>
      </c>
      <c r="S48" s="10" t="s">
        <v>1079</v>
      </c>
      <c r="T48" s="10" t="s">
        <v>925</v>
      </c>
      <c r="U48" s="10" t="s">
        <v>1079</v>
      </c>
      <c r="V48" s="10" t="s">
        <v>1079</v>
      </c>
      <c r="W48" s="10" t="s">
        <v>1079</v>
      </c>
      <c r="X48" s="10" t="s">
        <v>1079</v>
      </c>
      <c r="Y48" s="10" t="s">
        <v>1079</v>
      </c>
      <c r="Z48" s="10" t="s">
        <v>1079</v>
      </c>
      <c r="AA48" s="10" t="s">
        <v>1079</v>
      </c>
      <c r="AB48" s="10" t="s">
        <v>1079</v>
      </c>
      <c r="AD48" s="31">
        <f>IF($C48="","",SUM($E48:$P48))</f>
        <v>3</v>
      </c>
      <c r="AE48" s="31">
        <f>IF($C48="","",COUNTIF($Q48:$AB48,"http*"))</f>
        <v>1</v>
      </c>
      <c r="AF48" s="31">
        <f>IF($C48="","",$AD48*1000+(1000-$A48))</f>
        <v>3955</v>
      </c>
      <c r="AG48" s="31">
        <f>IF($C48="","",RANK($AF48,$AF$4:$AF$53))</f>
        <v>45</v>
      </c>
      <c r="AH48" s="31">
        <f>IF($C48="","",MAX(0,$AD48-$AE48))</f>
        <v>2</v>
      </c>
      <c r="AI48" s="31">
        <f>IF($C48="","",MAX(0,$AE48-$AD48))</f>
        <v>0</v>
      </c>
      <c r="AJ48" s="6" t="str">
        <f t="shared" si="0"/>
        <v>Uma Equação Diofantina sem Soluções Positivas | 5^(2m) − 1 = n²</v>
      </c>
      <c r="AK48" s="6">
        <v>45</v>
      </c>
    </row>
    <row r="49" spans="1:37" ht="14.35" customHeight="1">
      <c r="A49" s="6">
        <v>46</v>
      </c>
      <c r="B49" s="6" t="s">
        <v>30</v>
      </c>
      <c r="C49" s="7" t="s">
        <v>961</v>
      </c>
      <c r="D49" s="6" t="s">
        <v>1056</v>
      </c>
      <c r="E49" s="8">
        <v>0</v>
      </c>
      <c r="F49" s="8">
        <v>0</v>
      </c>
      <c r="G49" s="8">
        <v>0</v>
      </c>
      <c r="H49" s="8">
        <v>1</v>
      </c>
      <c r="I49" s="8">
        <v>1</v>
      </c>
      <c r="J49" s="8">
        <v>0</v>
      </c>
      <c r="K49" s="8">
        <v>0</v>
      </c>
      <c r="L49" s="8">
        <v>0</v>
      </c>
      <c r="M49" s="8">
        <v>1</v>
      </c>
      <c r="N49" s="8">
        <v>0</v>
      </c>
      <c r="O49" s="8">
        <v>0</v>
      </c>
      <c r="P49" s="8">
        <v>0</v>
      </c>
      <c r="Q49" s="10" t="s">
        <v>1079</v>
      </c>
      <c r="R49" s="10" t="s">
        <v>1079</v>
      </c>
      <c r="S49" s="10" t="s">
        <v>1079</v>
      </c>
      <c r="T49" s="10" t="s">
        <v>962</v>
      </c>
      <c r="U49" s="10" t="s">
        <v>1079</v>
      </c>
      <c r="V49" s="10" t="s">
        <v>1079</v>
      </c>
      <c r="W49" s="10" t="s">
        <v>1079</v>
      </c>
      <c r="X49" s="10" t="s">
        <v>1079</v>
      </c>
      <c r="Y49" s="10" t="s">
        <v>1079</v>
      </c>
      <c r="Z49" s="10" t="s">
        <v>1079</v>
      </c>
      <c r="AA49" s="10" t="s">
        <v>1079</v>
      </c>
      <c r="AB49" s="10" t="s">
        <v>1079</v>
      </c>
      <c r="AD49" s="31">
        <f>IF($C49="","",SUM($E49:$P49))</f>
        <v>3</v>
      </c>
      <c r="AE49" s="31">
        <f>IF($C49="","",COUNTIF($Q49:$AB49,"http*"))</f>
        <v>1</v>
      </c>
      <c r="AF49" s="31">
        <f>IF($C49="","",$AD49*1000+(1000-$A49))</f>
        <v>3954</v>
      </c>
      <c r="AG49" s="31">
        <f>IF($C49="","",RANK($AF49,$AF$4:$AF$53))</f>
        <v>46</v>
      </c>
      <c r="AH49" s="31">
        <f>IF($C49="","",MAX(0,$AD49-$AE49))</f>
        <v>2</v>
      </c>
      <c r="AI49" s="31">
        <f>IF($C49="","",MAX(0,$AE49-$AD49))</f>
        <v>0</v>
      </c>
      <c r="AJ49" s="6" t="str">
        <f t="shared" si="0"/>
        <v>Prova matemática: Sejam p e q inteiros tais que p + q + pq é par. Prove que p e q são pares.</v>
      </c>
      <c r="AK49" s="6">
        <v>46</v>
      </c>
    </row>
    <row r="50" spans="1:37" ht="14.35" customHeight="1">
      <c r="A50" s="6">
        <v>47</v>
      </c>
      <c r="B50" s="6" t="s">
        <v>1088</v>
      </c>
      <c r="C50" s="7" t="s">
        <v>1087</v>
      </c>
      <c r="D50" s="6" t="s">
        <v>1087</v>
      </c>
      <c r="E50" s="8">
        <v>0</v>
      </c>
      <c r="F50" s="8">
        <v>0</v>
      </c>
      <c r="G50" s="8">
        <v>0</v>
      </c>
      <c r="H50" s="8">
        <v>1</v>
      </c>
      <c r="I50" s="8">
        <v>1</v>
      </c>
      <c r="J50" s="8">
        <v>0</v>
      </c>
      <c r="K50" s="8">
        <v>0</v>
      </c>
      <c r="L50" s="8">
        <v>0</v>
      </c>
      <c r="M50" s="8">
        <v>1</v>
      </c>
      <c r="N50" s="8">
        <v>0</v>
      </c>
      <c r="O50" s="8">
        <v>0</v>
      </c>
      <c r="P50" s="8">
        <v>0</v>
      </c>
      <c r="Q50" s="10" t="s">
        <v>1079</v>
      </c>
      <c r="R50" s="10" t="s">
        <v>1079</v>
      </c>
      <c r="S50" s="10" t="s">
        <v>1079</v>
      </c>
      <c r="T50" s="10" t="s">
        <v>1089</v>
      </c>
      <c r="U50" s="10" t="s">
        <v>1079</v>
      </c>
      <c r="V50" s="10" t="s">
        <v>1079</v>
      </c>
      <c r="W50" s="10" t="s">
        <v>1079</v>
      </c>
      <c r="X50" s="10" t="s">
        <v>1079</v>
      </c>
      <c r="Y50" s="10" t="s">
        <v>1079</v>
      </c>
      <c r="Z50" s="10" t="s">
        <v>1079</v>
      </c>
      <c r="AA50" s="10" t="s">
        <v>1079</v>
      </c>
      <c r="AB50" s="10" t="s">
        <v>1079</v>
      </c>
      <c r="AD50" s="31">
        <f>IF($C50="","",SUM($E50:$P50))</f>
        <v>3</v>
      </c>
      <c r="AE50" s="31">
        <f>IF($C50="","",COUNTIF($Q50:$AB50,"http*"))</f>
        <v>1</v>
      </c>
      <c r="AF50" s="31">
        <f>IF($C50="","",$AD50*1000+(1000-$A50))</f>
        <v>3953</v>
      </c>
      <c r="AG50" s="31">
        <f>IF($C50="","",RANK($AF50,$AF$4:$AF$53))</f>
        <v>47</v>
      </c>
      <c r="AH50" s="31">
        <f>IF($C50="","",MAX(0,$AD50-$AE50))</f>
        <v>2</v>
      </c>
      <c r="AI50" s="31">
        <f>IF($C50="","",MAX(0,$AE50-$AD50))</f>
        <v>0</v>
      </c>
      <c r="AJ50" s="6" t="str">
        <f t="shared" si="0"/>
        <v>10th-degree polynomial equation</v>
      </c>
      <c r="AK50" s="6">
        <v>47</v>
      </c>
    </row>
    <row r="51" spans="1:37" ht="14.35" customHeight="1">
      <c r="A51" s="6">
        <v>48</v>
      </c>
      <c r="B51" s="6"/>
      <c r="C51" s="7"/>
      <c r="D51" s="6"/>
      <c r="E51" s="8"/>
      <c r="F51" s="8"/>
      <c r="G51" s="8"/>
      <c r="H51" s="8"/>
      <c r="I51" s="8"/>
      <c r="J51" s="8"/>
      <c r="K51" s="8"/>
      <c r="L51" s="8"/>
      <c r="M51" s="8"/>
      <c r="N51" s="8"/>
      <c r="O51" s="8"/>
      <c r="P51" s="8"/>
      <c r="Q51" s="10" t="s">
        <v>1079</v>
      </c>
      <c r="R51" s="10" t="s">
        <v>1079</v>
      </c>
      <c r="S51" s="10" t="s">
        <v>1079</v>
      </c>
      <c r="T51" s="10" t="s">
        <v>1079</v>
      </c>
      <c r="U51" s="10" t="s">
        <v>1079</v>
      </c>
      <c r="V51" s="10" t="s">
        <v>1079</v>
      </c>
      <c r="W51" s="10" t="s">
        <v>1079</v>
      </c>
      <c r="X51" s="10" t="s">
        <v>1079</v>
      </c>
      <c r="Y51" s="10" t="s">
        <v>1079</v>
      </c>
      <c r="Z51" s="10" t="s">
        <v>1079</v>
      </c>
      <c r="AA51" s="10" t="s">
        <v>1079</v>
      </c>
      <c r="AB51" s="10" t="s">
        <v>1079</v>
      </c>
      <c r="AD51" s="31" t="str">
        <f>IF($C51="","",SUM($E51:$P51))</f>
        <v/>
      </c>
      <c r="AE51" s="31" t="str">
        <f>IF($C51="","",COUNTIF($Q51:$AB51,"http*"))</f>
        <v/>
      </c>
      <c r="AF51" s="31" t="str">
        <f>IF($C51="","",$AD51*1000+(1000-$A51))</f>
        <v/>
      </c>
      <c r="AG51" s="31" t="str">
        <f>IF($C51="","",RANK($AF51,$AF$4:$AF$53))</f>
        <v/>
      </c>
      <c r="AH51" s="31" t="str">
        <f>IF($C51="","",MAX(0,$AD51-$AE51))</f>
        <v/>
      </c>
      <c r="AI51" s="31" t="str">
        <f>IF($C51="","",MAX(0,$AE51-$AD51))</f>
        <v/>
      </c>
      <c r="AJ51" s="6">
        <f t="shared" si="0"/>
        <v>0</v>
      </c>
      <c r="AK51" s="6">
        <v>48</v>
      </c>
    </row>
    <row r="52" spans="1:37" ht="14.35" customHeight="1">
      <c r="A52" s="6">
        <v>49</v>
      </c>
      <c r="B52" s="6"/>
      <c r="C52" s="7"/>
      <c r="D52" s="6"/>
      <c r="E52" s="8"/>
      <c r="F52" s="8"/>
      <c r="G52" s="8"/>
      <c r="H52" s="8"/>
      <c r="I52" s="8"/>
      <c r="J52" s="8"/>
      <c r="K52" s="8"/>
      <c r="L52" s="8"/>
      <c r="M52" s="8"/>
      <c r="N52" s="8"/>
      <c r="O52" s="8"/>
      <c r="P52" s="8"/>
      <c r="Q52" s="10" t="s">
        <v>1079</v>
      </c>
      <c r="R52" s="10" t="s">
        <v>1079</v>
      </c>
      <c r="S52" s="10" t="s">
        <v>1079</v>
      </c>
      <c r="T52" s="10" t="s">
        <v>1079</v>
      </c>
      <c r="U52" s="10" t="s">
        <v>1079</v>
      </c>
      <c r="V52" s="10" t="s">
        <v>1079</v>
      </c>
      <c r="W52" s="10" t="s">
        <v>1079</v>
      </c>
      <c r="X52" s="10" t="s">
        <v>1079</v>
      </c>
      <c r="Y52" s="10" t="s">
        <v>1079</v>
      </c>
      <c r="Z52" s="10" t="s">
        <v>1079</v>
      </c>
      <c r="AA52" s="10" t="s">
        <v>1079</v>
      </c>
      <c r="AB52" s="10" t="s">
        <v>1079</v>
      </c>
      <c r="AD52" s="31" t="str">
        <f>IF($C52="","",SUM($E52:$P52))</f>
        <v/>
      </c>
      <c r="AE52" s="31" t="str">
        <f>IF($C52="","",COUNTIF($Q52:$AB52,"http*"))</f>
        <v/>
      </c>
      <c r="AF52" s="31" t="str">
        <f>IF($C52="","",$AD52*1000+(1000-$A52))</f>
        <v/>
      </c>
      <c r="AG52" s="31" t="str">
        <f>IF($C52="","",RANK($AF52,$AF$4:$AF$53))</f>
        <v/>
      </c>
      <c r="AH52" s="31" t="str">
        <f>IF($C52="","",MAX(0,$AD52-$AE52))</f>
        <v/>
      </c>
      <c r="AI52" s="31" t="str">
        <f>IF($C52="","",MAX(0,$AE52-$AD52))</f>
        <v/>
      </c>
      <c r="AJ52" s="6">
        <f t="shared" si="0"/>
        <v>0</v>
      </c>
      <c r="AK52" s="6">
        <v>49</v>
      </c>
    </row>
    <row r="53" spans="1:37">
      <c r="A53" s="6">
        <v>50</v>
      </c>
      <c r="B53" s="6"/>
      <c r="C53" s="7"/>
      <c r="D53" s="6"/>
      <c r="E53" s="8"/>
      <c r="F53" s="8"/>
      <c r="G53" s="8"/>
      <c r="H53" s="8"/>
      <c r="I53" s="8"/>
      <c r="J53" s="8"/>
      <c r="K53" s="8"/>
      <c r="L53" s="8"/>
      <c r="M53" s="8"/>
      <c r="N53" s="8"/>
      <c r="O53" s="8"/>
      <c r="P53" s="8"/>
      <c r="Q53" s="10" t="s">
        <v>1079</v>
      </c>
      <c r="R53" s="10" t="s">
        <v>1079</v>
      </c>
      <c r="S53" s="10" t="s">
        <v>1079</v>
      </c>
      <c r="T53" s="10" t="s">
        <v>1079</v>
      </c>
      <c r="U53" s="10" t="s">
        <v>1079</v>
      </c>
      <c r="V53" s="10" t="s">
        <v>1079</v>
      </c>
      <c r="W53" s="10" t="s">
        <v>1079</v>
      </c>
      <c r="X53" s="10" t="s">
        <v>1079</v>
      </c>
      <c r="Y53" s="10" t="s">
        <v>1079</v>
      </c>
      <c r="Z53" s="10" t="s">
        <v>1079</v>
      </c>
      <c r="AA53" s="10" t="s">
        <v>1079</v>
      </c>
      <c r="AB53" s="10" t="s">
        <v>1079</v>
      </c>
      <c r="AD53" s="31" t="str">
        <f>IF($C53="","",SUM($E53:$P53))</f>
        <v/>
      </c>
      <c r="AE53" s="31" t="str">
        <f>IF($C53="","",COUNTIF($Q53:$AB53,"http*"))</f>
        <v/>
      </c>
      <c r="AF53" s="31" t="str">
        <f>IF($C53="","",$AD53*1000+(1000-$A53))</f>
        <v/>
      </c>
      <c r="AG53" s="31" t="str">
        <f>IF($C53="","",RANK($AF53,$AF$4:$AF$53))</f>
        <v/>
      </c>
      <c r="AH53" s="31" t="str">
        <f>IF($C53="","",MAX(0,$AD53-$AE53))</f>
        <v/>
      </c>
      <c r="AI53" s="31" t="str">
        <f>IF($C53="","",MAX(0,$AE53-$AD53))</f>
        <v/>
      </c>
      <c r="AJ53" s="6">
        <f t="shared" si="0"/>
        <v>0</v>
      </c>
      <c r="AK53" s="6">
        <v>50</v>
      </c>
    </row>
    <row r="54" spans="1:37">
      <c r="A54" s="6">
        <v>51</v>
      </c>
      <c r="B54" s="6"/>
      <c r="C54" s="7"/>
      <c r="D54" s="6"/>
      <c r="E54" s="8"/>
      <c r="F54" s="8"/>
      <c r="G54" s="8"/>
      <c r="H54" s="8"/>
      <c r="I54" s="8"/>
      <c r="J54" s="8"/>
      <c r="K54" s="8"/>
      <c r="L54" s="8"/>
      <c r="M54" s="8"/>
      <c r="N54" s="8"/>
      <c r="O54" s="8"/>
      <c r="P54" s="8"/>
      <c r="Q54" s="10" t="s">
        <v>1079</v>
      </c>
      <c r="R54" s="10" t="s">
        <v>1079</v>
      </c>
      <c r="S54" s="10" t="s">
        <v>1079</v>
      </c>
      <c r="T54" s="10" t="s">
        <v>1079</v>
      </c>
      <c r="U54" s="10" t="s">
        <v>1079</v>
      </c>
      <c r="V54" s="10" t="s">
        <v>1079</v>
      </c>
      <c r="W54" s="10" t="s">
        <v>1079</v>
      </c>
      <c r="X54" s="10" t="s">
        <v>1079</v>
      </c>
      <c r="Y54" s="10" t="s">
        <v>1079</v>
      </c>
      <c r="Z54" s="10" t="s">
        <v>1079</v>
      </c>
      <c r="AA54" s="10" t="s">
        <v>1079</v>
      </c>
      <c r="AB54" s="10" t="s">
        <v>1079</v>
      </c>
      <c r="AD54" s="31" t="str">
        <f>IF($C54="","",SUM($E54:$P54))</f>
        <v/>
      </c>
      <c r="AE54" s="31" t="str">
        <f>IF($C54="","",COUNTIF($Q54:$AB54,"http*"))</f>
        <v/>
      </c>
      <c r="AF54" s="31" t="str">
        <f>IF($C54="","",$AD54*1000+(1000-$A54))</f>
        <v/>
      </c>
      <c r="AG54" s="31" t="str">
        <f>IF($C54="","",RANK($AF54,$AF$4:$AF$53))</f>
        <v/>
      </c>
      <c r="AH54" s="31" t="str">
        <f>IF($C54="","",MAX(0,$AD54-$AE54))</f>
        <v/>
      </c>
      <c r="AI54" s="31" t="str">
        <f>IF($C54="","",MAX(0,$AE54-$AD54))</f>
        <v/>
      </c>
      <c r="AJ54" s="6">
        <f t="shared" si="0"/>
        <v>0</v>
      </c>
      <c r="AK54" s="6">
        <v>51</v>
      </c>
    </row>
    <row r="55" spans="1:37">
      <c r="A55" s="6">
        <v>52</v>
      </c>
      <c r="B55" s="6"/>
      <c r="C55" s="7"/>
      <c r="D55" s="6"/>
      <c r="E55" s="8"/>
      <c r="F55" s="8"/>
      <c r="G55" s="8"/>
      <c r="H55" s="8"/>
      <c r="I55" s="8"/>
      <c r="J55" s="8"/>
      <c r="K55" s="8"/>
      <c r="L55" s="8"/>
      <c r="M55" s="8"/>
      <c r="N55" s="8"/>
      <c r="O55" s="8"/>
      <c r="P55" s="8"/>
      <c r="Q55" s="10" t="s">
        <v>1079</v>
      </c>
      <c r="R55" s="10" t="s">
        <v>1079</v>
      </c>
      <c r="S55" s="10" t="s">
        <v>1079</v>
      </c>
      <c r="T55" s="10" t="s">
        <v>1079</v>
      </c>
      <c r="U55" s="10" t="s">
        <v>1079</v>
      </c>
      <c r="V55" s="10" t="s">
        <v>1079</v>
      </c>
      <c r="W55" s="10" t="s">
        <v>1079</v>
      </c>
      <c r="X55" s="10" t="s">
        <v>1079</v>
      </c>
      <c r="Y55" s="10" t="s">
        <v>1079</v>
      </c>
      <c r="Z55" s="10" t="s">
        <v>1079</v>
      </c>
      <c r="AA55" s="10" t="s">
        <v>1079</v>
      </c>
      <c r="AB55" s="10" t="s">
        <v>1079</v>
      </c>
      <c r="AD55" s="31" t="str">
        <f>IF($C55="","",SUM($E55:$P55))</f>
        <v/>
      </c>
      <c r="AE55" s="31" t="str">
        <f>IF($C55="","",COUNTIF($Q55:$AB55,"http*"))</f>
        <v/>
      </c>
      <c r="AF55" s="31" t="str">
        <f>IF($C55="","",$AD55*1000+(1000-$A55))</f>
        <v/>
      </c>
      <c r="AG55" s="31" t="str">
        <f>IF($C55="","",RANK($AF55,$AF$4:$AF$53))</f>
        <v/>
      </c>
      <c r="AH55" s="31" t="str">
        <f>IF($C55="","",MAX(0,$AD55-$AE55))</f>
        <v/>
      </c>
      <c r="AI55" s="31" t="str">
        <f>IF($C55="","",MAX(0,$AE55-$AD55))</f>
        <v/>
      </c>
      <c r="AJ55" s="6">
        <f t="shared" si="0"/>
        <v>0</v>
      </c>
      <c r="AK55" s="6">
        <v>52</v>
      </c>
    </row>
    <row r="56" spans="1:37">
      <c r="A56" s="6">
        <v>53</v>
      </c>
      <c r="B56" s="6"/>
      <c r="C56" s="7"/>
      <c r="D56" s="6"/>
      <c r="E56" s="8"/>
      <c r="F56" s="8"/>
      <c r="G56" s="8"/>
      <c r="H56" s="8"/>
      <c r="I56" s="8"/>
      <c r="J56" s="8"/>
      <c r="K56" s="8"/>
      <c r="L56" s="8"/>
      <c r="M56" s="8"/>
      <c r="N56" s="8"/>
      <c r="O56" s="8"/>
      <c r="P56" s="8"/>
      <c r="Q56" s="10" t="s">
        <v>1079</v>
      </c>
      <c r="R56" s="10" t="s">
        <v>1079</v>
      </c>
      <c r="S56" s="10" t="s">
        <v>1079</v>
      </c>
      <c r="T56" s="10" t="s">
        <v>1079</v>
      </c>
      <c r="U56" s="10" t="s">
        <v>1079</v>
      </c>
      <c r="V56" s="10" t="s">
        <v>1079</v>
      </c>
      <c r="W56" s="10" t="s">
        <v>1079</v>
      </c>
      <c r="X56" s="10" t="s">
        <v>1079</v>
      </c>
      <c r="Y56" s="10" t="s">
        <v>1079</v>
      </c>
      <c r="Z56" s="10" t="s">
        <v>1079</v>
      </c>
      <c r="AA56" s="10" t="s">
        <v>1079</v>
      </c>
      <c r="AB56" s="10" t="s">
        <v>1079</v>
      </c>
      <c r="AD56" s="31" t="str">
        <f>IF($C56="","",SUM($E56:$P56))</f>
        <v/>
      </c>
      <c r="AE56" s="31" t="str">
        <f>IF($C56="","",COUNTIF($Q56:$AB56,"http*"))</f>
        <v/>
      </c>
      <c r="AF56" s="31" t="str">
        <f>IF($C56="","",$AD56*1000+(1000-$A56))</f>
        <v/>
      </c>
      <c r="AG56" s="31" t="str">
        <f>IF($C56="","",RANK($AF56,$AF$4:$AF$53))</f>
        <v/>
      </c>
      <c r="AH56" s="31" t="str">
        <f>IF($C56="","",MAX(0,$AD56-$AE56))</f>
        <v/>
      </c>
      <c r="AI56" s="31" t="str">
        <f>IF($C56="","",MAX(0,$AE56-$AD56))</f>
        <v/>
      </c>
      <c r="AJ56" s="6">
        <f t="shared" si="0"/>
        <v>0</v>
      </c>
      <c r="AK56" s="6">
        <v>53</v>
      </c>
    </row>
    <row r="57" spans="1:37">
      <c r="A57" s="6">
        <v>54</v>
      </c>
      <c r="B57" s="6"/>
      <c r="C57" s="7"/>
      <c r="D57" s="6"/>
      <c r="E57" s="8"/>
      <c r="F57" s="8"/>
      <c r="G57" s="8"/>
      <c r="H57" s="8"/>
      <c r="I57" s="8"/>
      <c r="J57" s="8"/>
      <c r="K57" s="8"/>
      <c r="L57" s="8"/>
      <c r="M57" s="8"/>
      <c r="N57" s="8"/>
      <c r="O57" s="8"/>
      <c r="P57" s="8"/>
      <c r="Q57" s="10" t="s">
        <v>1079</v>
      </c>
      <c r="R57" s="10" t="s">
        <v>1079</v>
      </c>
      <c r="S57" s="10" t="s">
        <v>1079</v>
      </c>
      <c r="T57" s="10" t="s">
        <v>1079</v>
      </c>
      <c r="U57" s="10" t="s">
        <v>1079</v>
      </c>
      <c r="V57" s="10" t="s">
        <v>1079</v>
      </c>
      <c r="W57" s="10" t="s">
        <v>1079</v>
      </c>
      <c r="X57" s="10" t="s">
        <v>1079</v>
      </c>
      <c r="Y57" s="10" t="s">
        <v>1079</v>
      </c>
      <c r="Z57" s="10" t="s">
        <v>1079</v>
      </c>
      <c r="AA57" s="10" t="s">
        <v>1079</v>
      </c>
      <c r="AB57" s="10" t="s">
        <v>1079</v>
      </c>
      <c r="AD57" s="31" t="str">
        <f>IF($C57="","",SUM($E57:$P57))</f>
        <v/>
      </c>
      <c r="AE57" s="31" t="str">
        <f>IF($C57="","",COUNTIF($Q57:$AB57,"http*"))</f>
        <v/>
      </c>
      <c r="AF57" s="31" t="str">
        <f>IF($C57="","",$AD57*1000+(1000-$A57))</f>
        <v/>
      </c>
      <c r="AG57" s="31" t="str">
        <f>IF($C57="","",RANK($AF57,$AF$4:$AF$53))</f>
        <v/>
      </c>
      <c r="AH57" s="31" t="str">
        <f>IF($C57="","",MAX(0,$AD57-$AE57))</f>
        <v/>
      </c>
      <c r="AI57" s="31" t="str">
        <f>IF($C57="","",MAX(0,$AE57-$AD57))</f>
        <v/>
      </c>
      <c r="AJ57" s="6">
        <f t="shared" si="0"/>
        <v>0</v>
      </c>
      <c r="AK57" s="6">
        <v>54</v>
      </c>
    </row>
    <row r="58" spans="1:37">
      <c r="A58" s="6">
        <v>55</v>
      </c>
      <c r="B58" s="6"/>
      <c r="C58" s="7"/>
      <c r="D58" s="6"/>
      <c r="E58" s="8"/>
      <c r="F58" s="8"/>
      <c r="G58" s="8"/>
      <c r="H58" s="8"/>
      <c r="I58" s="8"/>
      <c r="J58" s="8"/>
      <c r="K58" s="8"/>
      <c r="L58" s="8"/>
      <c r="M58" s="8"/>
      <c r="N58" s="8"/>
      <c r="O58" s="8"/>
      <c r="P58" s="8"/>
      <c r="Q58" s="10" t="s">
        <v>1079</v>
      </c>
      <c r="R58" s="10" t="s">
        <v>1079</v>
      </c>
      <c r="S58" s="10" t="s">
        <v>1079</v>
      </c>
      <c r="T58" s="10" t="s">
        <v>1079</v>
      </c>
      <c r="U58" s="10" t="s">
        <v>1079</v>
      </c>
      <c r="V58" s="10" t="s">
        <v>1079</v>
      </c>
      <c r="W58" s="10" t="s">
        <v>1079</v>
      </c>
      <c r="X58" s="10" t="s">
        <v>1079</v>
      </c>
      <c r="Y58" s="10" t="s">
        <v>1079</v>
      </c>
      <c r="Z58" s="10" t="s">
        <v>1079</v>
      </c>
      <c r="AA58" s="10" t="s">
        <v>1079</v>
      </c>
      <c r="AB58" s="10" t="s">
        <v>1079</v>
      </c>
      <c r="AD58" s="31" t="str">
        <f>IF($C58="","",SUM($E58:$P58))</f>
        <v/>
      </c>
      <c r="AE58" s="31" t="str">
        <f>IF($C58="","",COUNTIF($Q58:$AB58,"http*"))</f>
        <v/>
      </c>
      <c r="AF58" s="31" t="str">
        <f>IF($C58="","",$AD58*1000+(1000-$A58))</f>
        <v/>
      </c>
      <c r="AG58" s="31" t="str">
        <f>IF($C58="","",RANK($AF58,$AF$4:$AF$53))</f>
        <v/>
      </c>
      <c r="AH58" s="31" t="str">
        <f>IF($C58="","",MAX(0,$AD58-$AE58))</f>
        <v/>
      </c>
      <c r="AI58" s="31" t="str">
        <f>IF($C58="","",MAX(0,$AE58-$AD58))</f>
        <v/>
      </c>
      <c r="AJ58" s="6">
        <f t="shared" si="0"/>
        <v>0</v>
      </c>
      <c r="AK58" s="6">
        <v>55</v>
      </c>
    </row>
    <row r="59" spans="1:37">
      <c r="A59" s="6">
        <v>56</v>
      </c>
      <c r="B59" s="6"/>
      <c r="C59" s="7"/>
      <c r="D59" s="6"/>
      <c r="E59" s="8"/>
      <c r="F59" s="8"/>
      <c r="G59" s="8"/>
      <c r="H59" s="8"/>
      <c r="I59" s="8"/>
      <c r="J59" s="8"/>
      <c r="K59" s="8"/>
      <c r="L59" s="8"/>
      <c r="M59" s="8"/>
      <c r="N59" s="8"/>
      <c r="O59" s="8"/>
      <c r="P59" s="8"/>
      <c r="Q59" s="10" t="s">
        <v>1079</v>
      </c>
      <c r="R59" s="10" t="s">
        <v>1079</v>
      </c>
      <c r="S59" s="10" t="s">
        <v>1079</v>
      </c>
      <c r="T59" s="10" t="s">
        <v>1079</v>
      </c>
      <c r="U59" s="10" t="s">
        <v>1079</v>
      </c>
      <c r="V59" s="10" t="s">
        <v>1079</v>
      </c>
      <c r="W59" s="10" t="s">
        <v>1079</v>
      </c>
      <c r="X59" s="10" t="s">
        <v>1079</v>
      </c>
      <c r="Y59" s="10" t="s">
        <v>1079</v>
      </c>
      <c r="Z59" s="10" t="s">
        <v>1079</v>
      </c>
      <c r="AA59" s="10" t="s">
        <v>1079</v>
      </c>
      <c r="AB59" s="10" t="s">
        <v>1079</v>
      </c>
      <c r="AD59" s="31" t="str">
        <f>IF($C59="","",SUM($E59:$P59))</f>
        <v/>
      </c>
      <c r="AE59" s="31" t="str">
        <f>IF($C59="","",COUNTIF($Q59:$AB59,"http*"))</f>
        <v/>
      </c>
      <c r="AF59" s="31" t="str">
        <f>IF($C59="","",$AD59*1000+(1000-$A59))</f>
        <v/>
      </c>
      <c r="AG59" s="31" t="str">
        <f>IF($C59="","",RANK($AF59,$AF$4:$AF$53))</f>
        <v/>
      </c>
      <c r="AH59" s="31" t="str">
        <f>IF($C59="","",MAX(0,$AD59-$AE59))</f>
        <v/>
      </c>
      <c r="AI59" s="31" t="str">
        <f>IF($C59="","",MAX(0,$AE59-$AD59))</f>
        <v/>
      </c>
      <c r="AJ59" s="6">
        <f t="shared" si="0"/>
        <v>0</v>
      </c>
      <c r="AK59" s="6">
        <v>56</v>
      </c>
    </row>
  </sheetData>
  <autoFilter ref="A3:AB53" xr:uid="{B93DC578-2EEA-48CF-9EFD-E294C2F4F9E2}"/>
  <conditionalFormatting sqref="E4:P59">
    <cfRule type="cellIs" dxfId="1" priority="1" operator="equal">
      <formula>1</formula>
    </cfRule>
    <cfRule type="cellIs" dxfId="0" priority="2" operator="equal">
      <formula>0</formula>
    </cfRule>
  </conditionalFormatting>
  <hyperlinks>
    <hyperlink ref="Y20" r:id="rId1" xr:uid="{A036A5ED-9977-4ADC-ACAC-863839E3A73F}"/>
    <hyperlink ref="T19" r:id="rId2" xr:uid="{3D76440B-DB1D-4A96-A329-B2E05A61B28D}"/>
    <hyperlink ref="T33" r:id="rId3" xr:uid="{FED77476-3F3B-4268-ADD6-760E3385FC38}"/>
    <hyperlink ref="T47" r:id="rId4" xr:uid="{876472B8-425C-44AE-9B8F-7C9E6ED5E9E1}"/>
    <hyperlink ref="T4" r:id="rId5" xr:uid="{B58C7C2F-2F3D-427D-87BF-2D146F134BD9}"/>
    <hyperlink ref="T16" r:id="rId6" xr:uid="{23023A60-E45D-4B07-ACA9-1EF6705CC980}"/>
    <hyperlink ref="T18" r:id="rId7" xr:uid="{D9EB504E-8F69-4332-A9E2-F5D1CEBA8B71}"/>
    <hyperlink ref="T36" r:id="rId8" xr:uid="{0E499D0D-1749-4E05-B850-2D0F77BBE5FF}"/>
    <hyperlink ref="T37" r:id="rId9" xr:uid="{B6ED1C37-5C44-45F0-8AE7-720FBF9292F0}"/>
    <hyperlink ref="V37" r:id="rId10" xr:uid="{5ADC2036-8BE3-4C29-9211-776990B2FA5B}"/>
    <hyperlink ref="W37" r:id="rId11" xr:uid="{7B97F0CB-76D2-4A95-B897-486B43CC99C3}"/>
    <hyperlink ref="T38" r:id="rId12" xr:uid="{DF184A4C-9F2F-4229-9F82-3F35CBDD176E}"/>
    <hyperlink ref="T29" r:id="rId13" xr:uid="{DF6FD916-2B24-420E-990D-94436596B42E}"/>
    <hyperlink ref="T39" r:id="rId14" xr:uid="{BE088A72-E804-4614-B45B-75F0312D7442}"/>
    <hyperlink ref="Q40" r:id="rId15" xr:uid="{47028179-0115-4C3E-8631-AF2E77A56AE9}"/>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F1" sqref="F1"/>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48</v>
      </c>
      <c r="B1" s="1" t="s">
        <v>49</v>
      </c>
      <c r="C1" s="1" t="s">
        <v>50</v>
      </c>
      <c r="D1" s="1" t="s">
        <v>51</v>
      </c>
      <c r="E1" s="1" t="s">
        <v>52</v>
      </c>
      <c r="F1" s="1" t="s">
        <v>53</v>
      </c>
      <c r="G1" s="1" t="s">
        <v>54</v>
      </c>
      <c r="H1" s="1" t="s">
        <v>55</v>
      </c>
      <c r="I1" s="1" t="s">
        <v>56</v>
      </c>
      <c r="J1" s="1" t="s">
        <v>57</v>
      </c>
      <c r="K1" s="1" t="s">
        <v>58</v>
      </c>
      <c r="L1" s="1" t="s">
        <v>59</v>
      </c>
      <c r="M1" s="1" t="s">
        <v>60</v>
      </c>
      <c r="N1" s="2" t="s">
        <v>61</v>
      </c>
    </row>
    <row r="2" spans="1:14" ht="14.25">
      <c r="A2" s="3" t="s">
        <v>306</v>
      </c>
      <c r="B2" s="3" t="s">
        <v>307</v>
      </c>
      <c r="C2" s="3" t="s">
        <v>150</v>
      </c>
      <c r="D2" s="3">
        <v>2.9</v>
      </c>
      <c r="E2" s="3" t="s">
        <v>308</v>
      </c>
      <c r="F2" s="3" t="s">
        <v>309</v>
      </c>
      <c r="G2" s="3" t="s">
        <v>310</v>
      </c>
      <c r="H2" s="3" t="s">
        <v>311</v>
      </c>
      <c r="I2" s="3">
        <v>5</v>
      </c>
      <c r="J2" s="3" t="s">
        <v>69</v>
      </c>
      <c r="K2" s="3" t="s">
        <v>135</v>
      </c>
      <c r="L2" s="3" t="s">
        <v>182</v>
      </c>
      <c r="M2" s="3" t="s">
        <v>72</v>
      </c>
      <c r="N2" s="3" t="s">
        <v>310</v>
      </c>
    </row>
    <row r="3" spans="1:14" ht="14.25">
      <c r="A3" s="3" t="s">
        <v>74</v>
      </c>
      <c r="B3" s="3" t="s">
        <v>75</v>
      </c>
      <c r="C3" s="3" t="s">
        <v>76</v>
      </c>
      <c r="D3" s="3">
        <v>1</v>
      </c>
      <c r="E3" s="3" t="s">
        <v>77</v>
      </c>
      <c r="F3" s="3" t="s">
        <v>78</v>
      </c>
      <c r="G3" s="3" t="s">
        <v>79</v>
      </c>
      <c r="H3" s="3" t="s">
        <v>65</v>
      </c>
      <c r="I3" s="3">
        <v>5</v>
      </c>
      <c r="J3" s="3" t="s">
        <v>69</v>
      </c>
      <c r="K3" s="3" t="s">
        <v>80</v>
      </c>
      <c r="L3" s="3" t="s">
        <v>81</v>
      </c>
      <c r="M3" s="3" t="s">
        <v>82</v>
      </c>
      <c r="N3" s="3" t="s">
        <v>79</v>
      </c>
    </row>
    <row r="4" spans="1:14" ht="14.25">
      <c r="A4" s="3" t="s">
        <v>130</v>
      </c>
      <c r="B4" s="3" t="s">
        <v>131</v>
      </c>
      <c r="C4" s="3" t="s">
        <v>132</v>
      </c>
      <c r="D4" s="3">
        <v>1.7</v>
      </c>
      <c r="E4" s="3" t="s">
        <v>77</v>
      </c>
      <c r="F4" s="3" t="s">
        <v>133</v>
      </c>
      <c r="G4" s="3" t="s">
        <v>134</v>
      </c>
      <c r="H4" s="3" t="s">
        <v>65</v>
      </c>
      <c r="I4" s="3">
        <v>4</v>
      </c>
      <c r="J4" s="3" t="s">
        <v>69</v>
      </c>
      <c r="K4" s="3" t="s">
        <v>135</v>
      </c>
      <c r="L4" s="3" t="s">
        <v>81</v>
      </c>
      <c r="M4" s="3" t="s">
        <v>82</v>
      </c>
      <c r="N4" s="3" t="s">
        <v>134</v>
      </c>
    </row>
    <row r="5" spans="1:14" ht="14.25">
      <c r="A5" s="3" t="s">
        <v>143</v>
      </c>
      <c r="B5" s="3" t="s">
        <v>144</v>
      </c>
      <c r="C5" s="3" t="s">
        <v>145</v>
      </c>
      <c r="D5" s="3">
        <v>1.1000000000000001</v>
      </c>
      <c r="E5" s="3" t="s">
        <v>77</v>
      </c>
      <c r="F5" s="3" t="s">
        <v>146</v>
      </c>
      <c r="G5" s="3" t="s">
        <v>147</v>
      </c>
      <c r="H5" s="3" t="s">
        <v>65</v>
      </c>
      <c r="I5" s="3">
        <v>4</v>
      </c>
      <c r="J5" s="3" t="s">
        <v>69</v>
      </c>
      <c r="K5" s="3" t="s">
        <v>80</v>
      </c>
      <c r="L5" s="3" t="s">
        <v>81</v>
      </c>
      <c r="M5" s="3" t="s">
        <v>82</v>
      </c>
      <c r="N5" s="3" t="s">
        <v>147</v>
      </c>
    </row>
    <row r="6" spans="1:14" ht="14.25">
      <c r="A6" s="3" t="s">
        <v>157</v>
      </c>
      <c r="B6" s="3" t="s">
        <v>158</v>
      </c>
      <c r="C6" s="3" t="s">
        <v>159</v>
      </c>
      <c r="D6" s="3">
        <v>4.5999999999999996</v>
      </c>
      <c r="E6" s="3" t="s">
        <v>77</v>
      </c>
      <c r="F6" s="3" t="s">
        <v>160</v>
      </c>
      <c r="G6" s="3" t="s">
        <v>161</v>
      </c>
      <c r="H6" s="3" t="s">
        <v>65</v>
      </c>
      <c r="I6" s="3">
        <v>5</v>
      </c>
      <c r="J6" s="3" t="s">
        <v>69</v>
      </c>
      <c r="K6" s="3" t="s">
        <v>135</v>
      </c>
      <c r="L6" s="3" t="s">
        <v>81</v>
      </c>
      <c r="M6" s="3" t="s">
        <v>82</v>
      </c>
      <c r="N6" s="3" t="s">
        <v>161</v>
      </c>
    </row>
    <row r="7" spans="1:14" ht="14.25">
      <c r="A7" s="3" t="s">
        <v>162</v>
      </c>
      <c r="B7" s="3" t="s">
        <v>163</v>
      </c>
      <c r="C7" s="3" t="s">
        <v>164</v>
      </c>
      <c r="D7" s="3">
        <v>3.7</v>
      </c>
      <c r="E7" s="3" t="s">
        <v>77</v>
      </c>
      <c r="F7" s="3" t="s">
        <v>165</v>
      </c>
      <c r="G7" s="3" t="s">
        <v>166</v>
      </c>
      <c r="H7" s="3" t="s">
        <v>167</v>
      </c>
      <c r="I7" s="3">
        <v>5</v>
      </c>
      <c r="J7" s="3" t="s">
        <v>69</v>
      </c>
      <c r="K7" s="3" t="s">
        <v>135</v>
      </c>
      <c r="L7" s="3" t="s">
        <v>81</v>
      </c>
      <c r="M7" s="3" t="s">
        <v>82</v>
      </c>
      <c r="N7" s="3" t="s">
        <v>166</v>
      </c>
    </row>
    <row r="8" spans="1:14" ht="14.25">
      <c r="A8" s="3" t="s">
        <v>177</v>
      </c>
      <c r="B8" s="3" t="s">
        <v>178</v>
      </c>
      <c r="C8" s="3" t="s">
        <v>132</v>
      </c>
      <c r="D8" s="3">
        <v>2.9</v>
      </c>
      <c r="E8" s="3" t="s">
        <v>77</v>
      </c>
      <c r="F8" s="3" t="s">
        <v>179</v>
      </c>
      <c r="G8" s="3" t="s">
        <v>180</v>
      </c>
      <c r="H8" s="3" t="s">
        <v>65</v>
      </c>
      <c r="I8" s="3">
        <v>5</v>
      </c>
      <c r="J8" s="3" t="s">
        <v>181</v>
      </c>
      <c r="K8" s="3" t="s">
        <v>96</v>
      </c>
      <c r="L8" s="3" t="s">
        <v>182</v>
      </c>
      <c r="M8" s="3" t="s">
        <v>183</v>
      </c>
      <c r="N8" s="3" t="s">
        <v>180</v>
      </c>
    </row>
    <row r="9" spans="1:14" ht="14.25">
      <c r="A9" s="3" t="s">
        <v>277</v>
      </c>
      <c r="B9" s="3" t="s">
        <v>278</v>
      </c>
      <c r="C9" s="3" t="s">
        <v>132</v>
      </c>
      <c r="D9" s="3">
        <v>1</v>
      </c>
      <c r="E9" s="3" t="s">
        <v>77</v>
      </c>
      <c r="F9" s="3" t="s">
        <v>279</v>
      </c>
      <c r="G9" s="3" t="s">
        <v>280</v>
      </c>
      <c r="H9" s="3" t="s">
        <v>65</v>
      </c>
      <c r="I9" s="3">
        <v>5</v>
      </c>
      <c r="J9" s="3" t="s">
        <v>69</v>
      </c>
      <c r="K9" s="3" t="s">
        <v>96</v>
      </c>
      <c r="L9" s="3" t="s">
        <v>81</v>
      </c>
      <c r="M9" s="3" t="s">
        <v>82</v>
      </c>
      <c r="N9" s="3" t="s">
        <v>280</v>
      </c>
    </row>
    <row r="10" spans="1:14" ht="14.25">
      <c r="A10" s="3" t="s">
        <v>338</v>
      </c>
      <c r="B10" s="3" t="s">
        <v>339</v>
      </c>
      <c r="C10" s="3" t="s">
        <v>340</v>
      </c>
      <c r="D10" s="3">
        <v>1.2</v>
      </c>
      <c r="E10" s="3" t="s">
        <v>77</v>
      </c>
      <c r="F10" s="3" t="s">
        <v>341</v>
      </c>
      <c r="G10" s="3" t="s">
        <v>342</v>
      </c>
      <c r="H10" s="3" t="s">
        <v>65</v>
      </c>
      <c r="I10" s="3">
        <v>5</v>
      </c>
      <c r="J10" s="3" t="s">
        <v>69</v>
      </c>
      <c r="K10" s="3" t="s">
        <v>135</v>
      </c>
      <c r="L10" s="3" t="s">
        <v>81</v>
      </c>
      <c r="M10" s="3" t="s">
        <v>82</v>
      </c>
      <c r="N10" s="3" t="s">
        <v>342</v>
      </c>
    </row>
    <row r="11" spans="1:14" ht="14.25">
      <c r="A11" s="3" t="s">
        <v>369</v>
      </c>
      <c r="B11" s="3" t="s">
        <v>370</v>
      </c>
      <c r="C11" s="3" t="s">
        <v>132</v>
      </c>
      <c r="D11" s="3">
        <v>1.7</v>
      </c>
      <c r="E11" s="3" t="s">
        <v>77</v>
      </c>
      <c r="F11" s="3" t="s">
        <v>371</v>
      </c>
      <c r="G11" s="3" t="s">
        <v>372</v>
      </c>
      <c r="H11" s="3" t="s">
        <v>65</v>
      </c>
      <c r="I11" s="3">
        <v>5</v>
      </c>
      <c r="J11" s="3" t="s">
        <v>69</v>
      </c>
      <c r="K11" s="3" t="s">
        <v>135</v>
      </c>
      <c r="L11" s="3" t="s">
        <v>81</v>
      </c>
      <c r="M11" s="3" t="s">
        <v>82</v>
      </c>
      <c r="N11" s="3" t="s">
        <v>372</v>
      </c>
    </row>
    <row r="12" spans="1:14" ht="14.25">
      <c r="A12" s="3" t="s">
        <v>406</v>
      </c>
      <c r="B12" s="3" t="s">
        <v>407</v>
      </c>
      <c r="C12" s="3" t="s">
        <v>408</v>
      </c>
      <c r="D12" s="3">
        <v>3.8</v>
      </c>
      <c r="E12" s="3" t="s">
        <v>77</v>
      </c>
      <c r="F12" s="3" t="s">
        <v>409</v>
      </c>
      <c r="G12" s="3" t="s">
        <v>410</v>
      </c>
      <c r="H12" s="3" t="s">
        <v>65</v>
      </c>
      <c r="I12" s="3">
        <v>4</v>
      </c>
      <c r="J12" s="3" t="s">
        <v>69</v>
      </c>
      <c r="K12" s="3" t="s">
        <v>80</v>
      </c>
      <c r="L12" s="3" t="s">
        <v>81</v>
      </c>
      <c r="M12" s="3" t="s">
        <v>82</v>
      </c>
      <c r="N12" s="3" t="s">
        <v>410</v>
      </c>
    </row>
    <row r="13" spans="1:14" ht="14.25">
      <c r="A13" s="3" t="s">
        <v>452</v>
      </c>
      <c r="B13" s="3" t="s">
        <v>453</v>
      </c>
      <c r="C13" s="3" t="s">
        <v>132</v>
      </c>
      <c r="D13" s="3">
        <v>5.5</v>
      </c>
      <c r="E13" s="3" t="s">
        <v>77</v>
      </c>
      <c r="F13" s="3" t="s">
        <v>454</v>
      </c>
      <c r="G13" s="3" t="s">
        <v>455</v>
      </c>
      <c r="H13" s="3" t="s">
        <v>65</v>
      </c>
      <c r="I13" s="3">
        <v>5</v>
      </c>
      <c r="J13" s="3" t="s">
        <v>69</v>
      </c>
      <c r="K13" s="3" t="s">
        <v>456</v>
      </c>
      <c r="L13" s="3" t="s">
        <v>81</v>
      </c>
      <c r="M13" s="3" t="s">
        <v>82</v>
      </c>
      <c r="N13" s="3" t="s">
        <v>455</v>
      </c>
    </row>
    <row r="14" spans="1:14" ht="14.25">
      <c r="A14" s="3" t="s">
        <v>468</v>
      </c>
      <c r="B14" s="3" t="s">
        <v>469</v>
      </c>
      <c r="C14" s="3" t="s">
        <v>470</v>
      </c>
      <c r="D14" s="3">
        <v>1.4</v>
      </c>
      <c r="E14" s="3" t="s">
        <v>77</v>
      </c>
      <c r="F14" s="3" t="s">
        <v>471</v>
      </c>
      <c r="G14" s="3" t="s">
        <v>472</v>
      </c>
      <c r="H14" s="3" t="s">
        <v>65</v>
      </c>
      <c r="I14" s="3">
        <v>5</v>
      </c>
      <c r="J14" s="3" t="s">
        <v>69</v>
      </c>
      <c r="K14" s="3" t="s">
        <v>135</v>
      </c>
      <c r="L14" s="3" t="s">
        <v>81</v>
      </c>
      <c r="M14" s="3" t="s">
        <v>82</v>
      </c>
      <c r="N14" s="3" t="s">
        <v>472</v>
      </c>
    </row>
    <row r="15" spans="1:14" ht="14.25">
      <c r="A15" s="3" t="s">
        <v>510</v>
      </c>
      <c r="B15" s="3" t="s">
        <v>511</v>
      </c>
      <c r="C15" s="3" t="s">
        <v>164</v>
      </c>
      <c r="D15" s="3">
        <v>2.1</v>
      </c>
      <c r="E15" s="3" t="s">
        <v>77</v>
      </c>
      <c r="F15" s="3" t="s">
        <v>512</v>
      </c>
      <c r="G15" s="3" t="s">
        <v>513</v>
      </c>
      <c r="H15" s="3" t="s">
        <v>65</v>
      </c>
      <c r="I15" s="3">
        <v>4</v>
      </c>
      <c r="J15" s="3" t="s">
        <v>69</v>
      </c>
      <c r="K15" s="3" t="s">
        <v>135</v>
      </c>
      <c r="L15" s="3" t="s">
        <v>81</v>
      </c>
      <c r="M15" s="3" t="s">
        <v>82</v>
      </c>
      <c r="N15" s="3" t="s">
        <v>513</v>
      </c>
    </row>
    <row r="16" spans="1:14" ht="14.25">
      <c r="A16" s="3" t="s">
        <v>554</v>
      </c>
      <c r="B16" s="3" t="s">
        <v>555</v>
      </c>
      <c r="C16" s="3" t="s">
        <v>556</v>
      </c>
      <c r="D16" s="3">
        <v>4.3</v>
      </c>
      <c r="E16" s="3" t="s">
        <v>77</v>
      </c>
      <c r="F16" s="3" t="s">
        <v>557</v>
      </c>
      <c r="G16" s="3" t="s">
        <v>558</v>
      </c>
      <c r="H16" s="3" t="s">
        <v>559</v>
      </c>
      <c r="I16" s="3">
        <v>4</v>
      </c>
      <c r="J16" s="3" t="s">
        <v>69</v>
      </c>
      <c r="K16" s="3" t="s">
        <v>135</v>
      </c>
      <c r="L16" s="3" t="s">
        <v>81</v>
      </c>
      <c r="M16" s="3" t="s">
        <v>82</v>
      </c>
      <c r="N16" s="3" t="s">
        <v>558</v>
      </c>
    </row>
    <row r="17" spans="1:14" ht="14.25">
      <c r="A17" s="3" t="s">
        <v>566</v>
      </c>
      <c r="B17" s="3" t="s">
        <v>567</v>
      </c>
      <c r="C17" s="3" t="s">
        <v>568</v>
      </c>
      <c r="D17" s="3">
        <v>2.2000000000000002</v>
      </c>
      <c r="E17" s="3" t="s">
        <v>77</v>
      </c>
      <c r="F17" s="3" t="s">
        <v>569</v>
      </c>
      <c r="G17" s="3" t="s">
        <v>570</v>
      </c>
      <c r="H17" s="3" t="s">
        <v>65</v>
      </c>
      <c r="I17" s="3">
        <v>4</v>
      </c>
      <c r="J17" s="3" t="s">
        <v>69</v>
      </c>
      <c r="K17" s="3" t="s">
        <v>80</v>
      </c>
      <c r="L17" s="3" t="s">
        <v>81</v>
      </c>
      <c r="M17" s="3" t="s">
        <v>82</v>
      </c>
      <c r="N17" s="3" t="s">
        <v>570</v>
      </c>
    </row>
    <row r="18" spans="1:14" ht="14.25">
      <c r="A18" s="3" t="s">
        <v>668</v>
      </c>
      <c r="B18" s="3" t="s">
        <v>669</v>
      </c>
      <c r="C18" s="3" t="s">
        <v>132</v>
      </c>
      <c r="D18" s="3">
        <v>20</v>
      </c>
      <c r="E18" s="3" t="s">
        <v>77</v>
      </c>
      <c r="F18" s="3" t="s">
        <v>670</v>
      </c>
      <c r="G18" s="3" t="s">
        <v>671</v>
      </c>
      <c r="H18" s="3" t="s">
        <v>65</v>
      </c>
      <c r="I18" s="3">
        <v>4</v>
      </c>
      <c r="J18" s="3" t="s">
        <v>69</v>
      </c>
      <c r="K18" s="3" t="s">
        <v>135</v>
      </c>
      <c r="L18" s="3" t="s">
        <v>81</v>
      </c>
      <c r="M18" s="3" t="s">
        <v>82</v>
      </c>
      <c r="N18" s="3" t="s">
        <v>671</v>
      </c>
    </row>
    <row r="19" spans="1:14" ht="14.25">
      <c r="A19" s="3" t="s">
        <v>687</v>
      </c>
      <c r="B19" s="3" t="s">
        <v>688</v>
      </c>
      <c r="C19" s="3" t="s">
        <v>159</v>
      </c>
      <c r="D19" s="3">
        <v>2.8</v>
      </c>
      <c r="E19" s="3" t="s">
        <v>77</v>
      </c>
      <c r="F19" s="3" t="s">
        <v>689</v>
      </c>
      <c r="G19" s="3" t="s">
        <v>690</v>
      </c>
      <c r="H19" s="3" t="s">
        <v>65</v>
      </c>
      <c r="I19" s="3">
        <v>5</v>
      </c>
      <c r="J19" s="3" t="s">
        <v>69</v>
      </c>
      <c r="K19" s="3" t="s">
        <v>135</v>
      </c>
      <c r="L19" s="3" t="s">
        <v>81</v>
      </c>
      <c r="M19" s="3" t="s">
        <v>82</v>
      </c>
      <c r="N19" s="3" t="s">
        <v>690</v>
      </c>
    </row>
    <row r="20" spans="1:14" ht="14.25">
      <c r="A20" s="3" t="s">
        <v>706</v>
      </c>
      <c r="B20" s="3" t="s">
        <v>707</v>
      </c>
      <c r="C20" s="3" t="s">
        <v>708</v>
      </c>
      <c r="D20" s="3">
        <v>4.5999999999999996</v>
      </c>
      <c r="E20" s="3" t="s">
        <v>77</v>
      </c>
      <c r="F20" s="3" t="s">
        <v>709</v>
      </c>
      <c r="G20" s="3" t="s">
        <v>710</v>
      </c>
      <c r="H20" s="3" t="s">
        <v>711</v>
      </c>
      <c r="I20" s="3">
        <v>5</v>
      </c>
      <c r="J20" s="3" t="s">
        <v>69</v>
      </c>
      <c r="K20" s="3" t="s">
        <v>80</v>
      </c>
      <c r="L20" s="3" t="s">
        <v>81</v>
      </c>
      <c r="M20" s="3" t="s">
        <v>82</v>
      </c>
      <c r="N20" s="3" t="s">
        <v>710</v>
      </c>
    </row>
    <row r="21" spans="1:14" ht="14.25">
      <c r="A21" s="3" t="s">
        <v>712</v>
      </c>
      <c r="B21" s="3" t="s">
        <v>713</v>
      </c>
      <c r="C21" s="3" t="s">
        <v>708</v>
      </c>
      <c r="D21" s="3">
        <v>9</v>
      </c>
      <c r="E21" s="3" t="s">
        <v>77</v>
      </c>
      <c r="F21" s="3" t="s">
        <v>714</v>
      </c>
      <c r="G21" s="3" t="s">
        <v>715</v>
      </c>
      <c r="H21" s="3" t="s">
        <v>65</v>
      </c>
      <c r="I21" s="3">
        <v>4</v>
      </c>
      <c r="J21" s="3" t="s">
        <v>69</v>
      </c>
      <c r="K21" s="3" t="s">
        <v>80</v>
      </c>
      <c r="L21" s="3" t="s">
        <v>81</v>
      </c>
      <c r="M21" s="3" t="s">
        <v>82</v>
      </c>
      <c r="N21" s="3" t="s">
        <v>715</v>
      </c>
    </row>
    <row r="22" spans="1:14" ht="14.25">
      <c r="A22" s="3" t="s">
        <v>716</v>
      </c>
      <c r="B22" s="3" t="s">
        <v>717</v>
      </c>
      <c r="C22" s="3" t="s">
        <v>159</v>
      </c>
      <c r="D22" s="3">
        <v>2.6</v>
      </c>
      <c r="E22" s="3" t="s">
        <v>77</v>
      </c>
      <c r="F22" s="3" t="s">
        <v>718</v>
      </c>
      <c r="G22" s="3" t="s">
        <v>719</v>
      </c>
      <c r="H22" s="3" t="s">
        <v>65</v>
      </c>
      <c r="I22" s="3">
        <v>4</v>
      </c>
      <c r="J22" s="3" t="s">
        <v>69</v>
      </c>
      <c r="K22" s="3" t="s">
        <v>135</v>
      </c>
      <c r="L22" s="3" t="s">
        <v>81</v>
      </c>
      <c r="M22" s="3" t="s">
        <v>82</v>
      </c>
      <c r="N22" s="3" t="s">
        <v>719</v>
      </c>
    </row>
    <row r="23" spans="1:14" ht="14.25">
      <c r="A23" s="3" t="s">
        <v>720</v>
      </c>
      <c r="B23" s="3" t="s">
        <v>721</v>
      </c>
      <c r="C23" s="3" t="s">
        <v>159</v>
      </c>
      <c r="D23" s="3">
        <v>4.5</v>
      </c>
      <c r="E23" s="3" t="s">
        <v>77</v>
      </c>
      <c r="F23" s="3" t="s">
        <v>722</v>
      </c>
      <c r="G23" s="3" t="s">
        <v>723</v>
      </c>
      <c r="H23" s="3" t="s">
        <v>65</v>
      </c>
      <c r="I23" s="3">
        <v>5</v>
      </c>
      <c r="J23" s="3" t="s">
        <v>69</v>
      </c>
      <c r="K23" s="3" t="s">
        <v>135</v>
      </c>
      <c r="L23" s="3" t="s">
        <v>81</v>
      </c>
      <c r="M23" s="3" t="s">
        <v>82</v>
      </c>
      <c r="N23" s="3" t="s">
        <v>723</v>
      </c>
    </row>
    <row r="24" spans="1:14" ht="14.25">
      <c r="A24" s="3" t="s">
        <v>724</v>
      </c>
      <c r="B24" s="3" t="s">
        <v>725</v>
      </c>
      <c r="C24" s="3" t="s">
        <v>408</v>
      </c>
      <c r="D24" s="3">
        <v>29.5</v>
      </c>
      <c r="E24" s="3" t="s">
        <v>77</v>
      </c>
      <c r="F24" s="3" t="s">
        <v>726</v>
      </c>
      <c r="G24" s="3" t="s">
        <v>727</v>
      </c>
      <c r="H24" s="3" t="s">
        <v>728</v>
      </c>
      <c r="I24" s="3">
        <v>4</v>
      </c>
      <c r="J24" s="3" t="s">
        <v>69</v>
      </c>
      <c r="K24" s="3" t="s">
        <v>80</v>
      </c>
      <c r="L24" s="3" t="s">
        <v>81</v>
      </c>
      <c r="M24" s="3" t="s">
        <v>82</v>
      </c>
      <c r="N24" s="3" t="s">
        <v>727</v>
      </c>
    </row>
    <row r="25" spans="1:14" ht="14.25">
      <c r="A25" s="3" t="s">
        <v>765</v>
      </c>
      <c r="B25" s="3" t="s">
        <v>766</v>
      </c>
      <c r="C25" s="3" t="s">
        <v>159</v>
      </c>
      <c r="D25" s="3">
        <v>4.4000000000000004</v>
      </c>
      <c r="E25" s="3" t="s">
        <v>77</v>
      </c>
      <c r="F25" s="3" t="s">
        <v>767</v>
      </c>
      <c r="G25" s="3" t="s">
        <v>768</v>
      </c>
      <c r="H25" s="3" t="s">
        <v>65</v>
      </c>
      <c r="I25" s="3">
        <v>4</v>
      </c>
      <c r="J25" s="3" t="s">
        <v>69</v>
      </c>
      <c r="K25" s="3" t="s">
        <v>58</v>
      </c>
      <c r="L25" s="3" t="s">
        <v>81</v>
      </c>
      <c r="M25" s="3" t="s">
        <v>82</v>
      </c>
      <c r="N25" s="3" t="s">
        <v>768</v>
      </c>
    </row>
    <row r="26" spans="1:14" ht="14.25">
      <c r="A26" s="3" t="s">
        <v>778</v>
      </c>
      <c r="B26" s="3" t="s">
        <v>779</v>
      </c>
      <c r="C26" s="3" t="s">
        <v>708</v>
      </c>
      <c r="D26" s="3">
        <v>45</v>
      </c>
      <c r="E26" s="3" t="s">
        <v>77</v>
      </c>
      <c r="F26" s="3" t="s">
        <v>780</v>
      </c>
      <c r="G26" s="3" t="s">
        <v>781</v>
      </c>
      <c r="H26" s="3" t="s">
        <v>65</v>
      </c>
      <c r="I26" s="3">
        <v>5</v>
      </c>
      <c r="J26" s="3" t="s">
        <v>69</v>
      </c>
      <c r="K26" s="3" t="s">
        <v>80</v>
      </c>
      <c r="L26" s="3" t="s">
        <v>81</v>
      </c>
      <c r="M26" s="3" t="s">
        <v>82</v>
      </c>
      <c r="N26" s="3" t="s">
        <v>781</v>
      </c>
    </row>
    <row r="27" spans="1:14" ht="14.25">
      <c r="A27" s="3" t="s">
        <v>808</v>
      </c>
      <c r="B27" s="3" t="s">
        <v>808</v>
      </c>
      <c r="C27" s="3" t="s">
        <v>809</v>
      </c>
      <c r="D27" s="3">
        <v>50</v>
      </c>
      <c r="E27" s="3" t="s">
        <v>77</v>
      </c>
      <c r="F27" s="3" t="s">
        <v>810</v>
      </c>
      <c r="G27" s="3" t="s">
        <v>811</v>
      </c>
      <c r="H27" s="3" t="s">
        <v>65</v>
      </c>
      <c r="I27" s="3">
        <v>4</v>
      </c>
      <c r="J27" s="3" t="s">
        <v>69</v>
      </c>
      <c r="K27" s="3" t="s">
        <v>80</v>
      </c>
      <c r="L27" s="3" t="s">
        <v>81</v>
      </c>
      <c r="M27" s="3" t="s">
        <v>82</v>
      </c>
      <c r="N27" s="3" t="s">
        <v>811</v>
      </c>
    </row>
    <row r="28" spans="1:14" ht="14.25">
      <c r="A28" s="3" t="s">
        <v>884</v>
      </c>
      <c r="B28" s="3" t="s">
        <v>885</v>
      </c>
      <c r="C28" s="3" t="s">
        <v>132</v>
      </c>
      <c r="D28" s="3">
        <v>1.1000000000000001</v>
      </c>
      <c r="E28" s="3" t="s">
        <v>77</v>
      </c>
      <c r="F28" s="3" t="s">
        <v>886</v>
      </c>
      <c r="G28" s="3" t="s">
        <v>887</v>
      </c>
      <c r="H28" s="3" t="s">
        <v>65</v>
      </c>
      <c r="I28" s="3">
        <v>5</v>
      </c>
      <c r="J28" s="3" t="s">
        <v>69</v>
      </c>
      <c r="K28" s="3" t="s">
        <v>135</v>
      </c>
      <c r="L28" s="3" t="s">
        <v>81</v>
      </c>
      <c r="M28" s="3" t="s">
        <v>82</v>
      </c>
      <c r="N28" s="3" t="s">
        <v>887</v>
      </c>
    </row>
    <row r="29" spans="1:14" ht="14.25">
      <c r="A29" s="3" t="s">
        <v>62</v>
      </c>
      <c r="B29" s="3" t="s">
        <v>63</v>
      </c>
      <c r="C29" s="3" t="s">
        <v>64</v>
      </c>
      <c r="D29" s="3" t="s">
        <v>65</v>
      </c>
      <c r="E29" s="3" t="s">
        <v>66</v>
      </c>
      <c r="F29" s="3" t="s">
        <v>67</v>
      </c>
      <c r="G29" s="3" t="s">
        <v>68</v>
      </c>
      <c r="H29" s="3" t="s">
        <v>65</v>
      </c>
      <c r="I29" s="3">
        <v>3</v>
      </c>
      <c r="J29" s="3" t="s">
        <v>69</v>
      </c>
      <c r="K29" s="3" t="s">
        <v>70</v>
      </c>
      <c r="L29" s="3" t="s">
        <v>71</v>
      </c>
      <c r="M29" s="3" t="s">
        <v>72</v>
      </c>
      <c r="N29" s="3" t="s">
        <v>73</v>
      </c>
    </row>
    <row r="30" spans="1:14" ht="14.25">
      <c r="A30" s="3" t="s">
        <v>83</v>
      </c>
      <c r="B30" s="3" t="s">
        <v>83</v>
      </c>
      <c r="C30" s="3" t="s">
        <v>84</v>
      </c>
      <c r="D30" s="3" t="s">
        <v>85</v>
      </c>
      <c r="E30" s="3" t="s">
        <v>66</v>
      </c>
      <c r="F30" s="3" t="s">
        <v>86</v>
      </c>
      <c r="G30" s="3" t="s">
        <v>87</v>
      </c>
      <c r="H30" s="3" t="s">
        <v>65</v>
      </c>
      <c r="I30" s="3">
        <v>3</v>
      </c>
      <c r="J30" s="3" t="s">
        <v>69</v>
      </c>
      <c r="K30" s="3" t="s">
        <v>58</v>
      </c>
      <c r="L30" s="3" t="s">
        <v>88</v>
      </c>
      <c r="M30" s="3" t="s">
        <v>89</v>
      </c>
      <c r="N30" s="3" t="s">
        <v>73</v>
      </c>
    </row>
    <row r="31" spans="1:14" ht="14.25">
      <c r="A31" s="3" t="s">
        <v>90</v>
      </c>
      <c r="B31" s="3" t="s">
        <v>91</v>
      </c>
      <c r="C31" s="3" t="s">
        <v>92</v>
      </c>
      <c r="D31" s="3" t="s">
        <v>93</v>
      </c>
      <c r="E31" s="3" t="s">
        <v>66</v>
      </c>
      <c r="F31" s="3" t="s">
        <v>94</v>
      </c>
      <c r="G31" s="3" t="s">
        <v>95</v>
      </c>
      <c r="H31" s="3" t="s">
        <v>65</v>
      </c>
      <c r="I31" s="3">
        <v>4</v>
      </c>
      <c r="J31" s="3" t="s">
        <v>69</v>
      </c>
      <c r="K31" s="3" t="s">
        <v>96</v>
      </c>
      <c r="L31" s="3" t="s">
        <v>71</v>
      </c>
      <c r="M31" s="3" t="s">
        <v>89</v>
      </c>
      <c r="N31" s="3" t="s">
        <v>73</v>
      </c>
    </row>
    <row r="32" spans="1:14" ht="14.25">
      <c r="A32" s="3" t="s">
        <v>97</v>
      </c>
      <c r="B32" s="3" t="s">
        <v>98</v>
      </c>
      <c r="C32" s="3" t="s">
        <v>99</v>
      </c>
      <c r="D32" s="3" t="s">
        <v>100</v>
      </c>
      <c r="E32" s="3" t="s">
        <v>66</v>
      </c>
      <c r="F32" s="3" t="s">
        <v>101</v>
      </c>
      <c r="G32" s="3" t="s">
        <v>102</v>
      </c>
      <c r="H32" s="3" t="s">
        <v>65</v>
      </c>
      <c r="I32" s="3">
        <v>3</v>
      </c>
      <c r="J32" s="3" t="s">
        <v>69</v>
      </c>
      <c r="K32" s="3" t="s">
        <v>103</v>
      </c>
      <c r="L32" s="3" t="s">
        <v>81</v>
      </c>
      <c r="M32" s="3" t="s">
        <v>104</v>
      </c>
      <c r="N32" s="3" t="s">
        <v>73</v>
      </c>
    </row>
    <row r="33" spans="1:14" ht="14.25">
      <c r="A33" s="3" t="s">
        <v>105</v>
      </c>
      <c r="B33" s="3" t="s">
        <v>106</v>
      </c>
      <c r="C33" s="3" t="s">
        <v>107</v>
      </c>
      <c r="D33" s="3" t="s">
        <v>65</v>
      </c>
      <c r="E33" s="3" t="s">
        <v>66</v>
      </c>
      <c r="F33" s="3" t="s">
        <v>108</v>
      </c>
      <c r="G33" s="3" t="s">
        <v>109</v>
      </c>
      <c r="H33" s="3" t="s">
        <v>65</v>
      </c>
      <c r="I33" s="3">
        <v>4</v>
      </c>
      <c r="J33" s="3" t="s">
        <v>69</v>
      </c>
      <c r="K33" s="3" t="s">
        <v>58</v>
      </c>
      <c r="L33" s="3" t="s">
        <v>81</v>
      </c>
      <c r="M33" s="3" t="s">
        <v>104</v>
      </c>
      <c r="N33" s="3" t="s">
        <v>73</v>
      </c>
    </row>
    <row r="34" spans="1:14" ht="14.25">
      <c r="A34" s="3" t="s">
        <v>110</v>
      </c>
      <c r="B34" s="3" t="s">
        <v>111</v>
      </c>
      <c r="C34" s="3" t="s">
        <v>112</v>
      </c>
      <c r="D34" s="3" t="s">
        <v>65</v>
      </c>
      <c r="E34" s="3" t="s">
        <v>66</v>
      </c>
      <c r="F34" s="3" t="s">
        <v>113</v>
      </c>
      <c r="G34" s="3" t="s">
        <v>114</v>
      </c>
      <c r="H34" s="3" t="s">
        <v>65</v>
      </c>
      <c r="I34" s="3">
        <v>4</v>
      </c>
      <c r="J34" s="3" t="s">
        <v>69</v>
      </c>
      <c r="K34" s="3" t="s">
        <v>115</v>
      </c>
      <c r="L34" s="3" t="s">
        <v>81</v>
      </c>
      <c r="M34" s="3" t="s">
        <v>116</v>
      </c>
      <c r="N34" s="3" t="s">
        <v>73</v>
      </c>
    </row>
    <row r="35" spans="1:14" ht="14.25">
      <c r="A35" s="3" t="s">
        <v>117</v>
      </c>
      <c r="B35" s="3" t="s">
        <v>118</v>
      </c>
      <c r="C35" s="3" t="s">
        <v>112</v>
      </c>
      <c r="D35" s="3" t="s">
        <v>65</v>
      </c>
      <c r="E35" s="3" t="s">
        <v>66</v>
      </c>
      <c r="F35" s="3" t="s">
        <v>119</v>
      </c>
      <c r="G35" s="3" t="s">
        <v>120</v>
      </c>
      <c r="H35" s="3" t="s">
        <v>65</v>
      </c>
      <c r="I35" s="3">
        <v>4</v>
      </c>
      <c r="J35" s="3" t="s">
        <v>69</v>
      </c>
      <c r="K35" s="3" t="s">
        <v>121</v>
      </c>
      <c r="L35" s="3" t="s">
        <v>81</v>
      </c>
      <c r="M35" s="3" t="s">
        <v>122</v>
      </c>
      <c r="N35" s="3" t="s">
        <v>73</v>
      </c>
    </row>
    <row r="36" spans="1:14" ht="14.25">
      <c r="A36" s="3" t="s">
        <v>123</v>
      </c>
      <c r="B36" s="3" t="s">
        <v>124</v>
      </c>
      <c r="C36" s="3" t="s">
        <v>112</v>
      </c>
      <c r="D36" s="3" t="s">
        <v>65</v>
      </c>
      <c r="E36" s="3" t="s">
        <v>66</v>
      </c>
      <c r="F36" s="3" t="s">
        <v>125</v>
      </c>
      <c r="G36" s="3" t="s">
        <v>126</v>
      </c>
      <c r="H36" s="3" t="s">
        <v>65</v>
      </c>
      <c r="I36" s="3">
        <v>3</v>
      </c>
      <c r="J36" s="3" t="s">
        <v>69</v>
      </c>
      <c r="K36" s="3" t="s">
        <v>115</v>
      </c>
      <c r="L36" s="3" t="s">
        <v>81</v>
      </c>
      <c r="M36" s="3" t="s">
        <v>104</v>
      </c>
      <c r="N36" s="3" t="s">
        <v>73</v>
      </c>
    </row>
    <row r="37" spans="1:14" ht="14.25">
      <c r="A37" s="3" t="s">
        <v>127</v>
      </c>
      <c r="B37" s="3" t="s">
        <v>118</v>
      </c>
      <c r="C37" s="3" t="s">
        <v>112</v>
      </c>
      <c r="D37" s="3" t="s">
        <v>65</v>
      </c>
      <c r="E37" s="3" t="s">
        <v>66</v>
      </c>
      <c r="F37" s="3" t="s">
        <v>119</v>
      </c>
      <c r="G37" s="3" t="s">
        <v>128</v>
      </c>
      <c r="H37" s="3" t="s">
        <v>65</v>
      </c>
      <c r="I37" s="3">
        <v>3</v>
      </c>
      <c r="J37" s="3" t="s">
        <v>69</v>
      </c>
      <c r="K37" s="3" t="s">
        <v>121</v>
      </c>
      <c r="L37" s="3" t="s">
        <v>81</v>
      </c>
      <c r="M37" s="3" t="s">
        <v>129</v>
      </c>
      <c r="N37" s="3" t="s">
        <v>73</v>
      </c>
    </row>
    <row r="38" spans="1:14" ht="14.25">
      <c r="A38" s="3" t="s">
        <v>136</v>
      </c>
      <c r="B38" s="3" t="s">
        <v>137</v>
      </c>
      <c r="C38" s="3" t="s">
        <v>138</v>
      </c>
      <c r="D38" s="3" t="s">
        <v>139</v>
      </c>
      <c r="E38" s="3" t="s">
        <v>66</v>
      </c>
      <c r="F38" s="3" t="s">
        <v>140</v>
      </c>
      <c r="G38" s="3" t="s">
        <v>141</v>
      </c>
      <c r="H38" s="3" t="s">
        <v>65</v>
      </c>
      <c r="I38" s="3">
        <v>3</v>
      </c>
      <c r="J38" s="3" t="s">
        <v>69</v>
      </c>
      <c r="K38" s="3" t="s">
        <v>58</v>
      </c>
      <c r="L38" s="3" t="s">
        <v>142</v>
      </c>
      <c r="M38" s="3" t="s">
        <v>72</v>
      </c>
      <c r="N38" s="3" t="s">
        <v>73</v>
      </c>
    </row>
    <row r="39" spans="1:14" ht="14.25">
      <c r="A39" s="3" t="s">
        <v>148</v>
      </c>
      <c r="B39" s="3" t="s">
        <v>149</v>
      </c>
      <c r="C39" s="3" t="s">
        <v>150</v>
      </c>
      <c r="D39" s="3" t="s">
        <v>65</v>
      </c>
      <c r="E39" s="3" t="s">
        <v>66</v>
      </c>
      <c r="F39" s="3" t="s">
        <v>151</v>
      </c>
      <c r="G39" s="3" t="s">
        <v>152</v>
      </c>
      <c r="H39" s="3" t="s">
        <v>65</v>
      </c>
      <c r="I39" s="3">
        <v>3</v>
      </c>
      <c r="J39" s="3" t="s">
        <v>69</v>
      </c>
      <c r="K39" s="3" t="s">
        <v>96</v>
      </c>
      <c r="L39" s="3" t="s">
        <v>81</v>
      </c>
      <c r="M39" s="3" t="s">
        <v>104</v>
      </c>
      <c r="N39" s="3" t="s">
        <v>73</v>
      </c>
    </row>
    <row r="40" spans="1:14" ht="14.25">
      <c r="A40" s="3" t="s">
        <v>153</v>
      </c>
      <c r="B40" s="3" t="s">
        <v>154</v>
      </c>
      <c r="C40" s="3" t="s">
        <v>150</v>
      </c>
      <c r="D40" s="3" t="s">
        <v>65</v>
      </c>
      <c r="E40" s="3" t="s">
        <v>66</v>
      </c>
      <c r="F40" s="3" t="s">
        <v>155</v>
      </c>
      <c r="G40" s="3" t="s">
        <v>156</v>
      </c>
      <c r="H40" s="3" t="s">
        <v>65</v>
      </c>
      <c r="I40" s="3">
        <v>3</v>
      </c>
      <c r="J40" s="3" t="s">
        <v>69</v>
      </c>
      <c r="K40" s="3" t="s">
        <v>135</v>
      </c>
      <c r="L40" s="3" t="s">
        <v>81</v>
      </c>
      <c r="M40" s="3" t="s">
        <v>104</v>
      </c>
      <c r="N40" s="3" t="s">
        <v>73</v>
      </c>
    </row>
    <row r="41" spans="1:14" ht="14.25">
      <c r="A41" s="3" t="s">
        <v>168</v>
      </c>
      <c r="B41" s="3" t="s">
        <v>169</v>
      </c>
      <c r="C41" s="3" t="s">
        <v>92</v>
      </c>
      <c r="D41" s="3" t="s">
        <v>65</v>
      </c>
      <c r="E41" s="3" t="s">
        <v>66</v>
      </c>
      <c r="F41" s="3" t="s">
        <v>170</v>
      </c>
      <c r="G41" s="3" t="s">
        <v>171</v>
      </c>
      <c r="H41" s="3" t="s">
        <v>65</v>
      </c>
      <c r="I41" s="3">
        <v>3</v>
      </c>
      <c r="J41" s="3" t="s">
        <v>69</v>
      </c>
      <c r="K41" s="3" t="s">
        <v>135</v>
      </c>
      <c r="L41" s="3" t="s">
        <v>81</v>
      </c>
      <c r="M41" s="3" t="s">
        <v>104</v>
      </c>
      <c r="N41" s="3" t="s">
        <v>73</v>
      </c>
    </row>
    <row r="42" spans="1:14" ht="14.25">
      <c r="A42" s="3" t="s">
        <v>172</v>
      </c>
      <c r="B42" s="3" t="s">
        <v>173</v>
      </c>
      <c r="C42" s="3" t="s">
        <v>174</v>
      </c>
      <c r="D42" s="3" t="s">
        <v>65</v>
      </c>
      <c r="E42" s="3" t="s">
        <v>66</v>
      </c>
      <c r="F42" s="3" t="s">
        <v>175</v>
      </c>
      <c r="G42" s="3" t="s">
        <v>176</v>
      </c>
      <c r="H42" s="3" t="s">
        <v>65</v>
      </c>
      <c r="I42" s="3">
        <v>5</v>
      </c>
      <c r="J42" s="3" t="s">
        <v>69</v>
      </c>
      <c r="K42" s="3" t="s">
        <v>80</v>
      </c>
      <c r="L42" s="3" t="s">
        <v>81</v>
      </c>
      <c r="M42" s="3" t="s">
        <v>104</v>
      </c>
      <c r="N42" s="3" t="s">
        <v>73</v>
      </c>
    </row>
    <row r="43" spans="1:14" ht="14.25">
      <c r="A43" s="3" t="s">
        <v>184</v>
      </c>
      <c r="B43" s="3" t="s">
        <v>185</v>
      </c>
      <c r="C43" s="3" t="s">
        <v>186</v>
      </c>
      <c r="D43" s="3" t="s">
        <v>65</v>
      </c>
      <c r="E43" s="3" t="s">
        <v>66</v>
      </c>
      <c r="F43" s="3" t="s">
        <v>187</v>
      </c>
      <c r="G43" s="3" t="s">
        <v>188</v>
      </c>
      <c r="H43" s="3" t="s">
        <v>65</v>
      </c>
      <c r="I43" s="3">
        <v>3</v>
      </c>
      <c r="J43" s="3" t="s">
        <v>69</v>
      </c>
      <c r="K43" s="3" t="s">
        <v>58</v>
      </c>
      <c r="L43" s="3" t="s">
        <v>189</v>
      </c>
      <c r="M43" s="3" t="s">
        <v>89</v>
      </c>
      <c r="N43" s="3" t="s">
        <v>73</v>
      </c>
    </row>
    <row r="44" spans="1:14" ht="14.25">
      <c r="A44" s="3" t="s">
        <v>190</v>
      </c>
      <c r="B44" s="3" t="s">
        <v>169</v>
      </c>
      <c r="C44" s="3" t="s">
        <v>92</v>
      </c>
      <c r="D44" s="3" t="s">
        <v>65</v>
      </c>
      <c r="E44" s="3" t="s">
        <v>66</v>
      </c>
      <c r="F44" s="3" t="s">
        <v>191</v>
      </c>
      <c r="G44" s="3" t="s">
        <v>192</v>
      </c>
      <c r="H44" s="3" t="s">
        <v>65</v>
      </c>
      <c r="I44" s="3">
        <v>3</v>
      </c>
      <c r="J44" s="3" t="s">
        <v>69</v>
      </c>
      <c r="K44" s="3" t="s">
        <v>135</v>
      </c>
      <c r="L44" s="3" t="s">
        <v>81</v>
      </c>
      <c r="M44" s="3" t="s">
        <v>104</v>
      </c>
      <c r="N44" s="3" t="s">
        <v>73</v>
      </c>
    </row>
    <row r="45" spans="1:14" ht="14.25">
      <c r="A45" s="3" t="s">
        <v>193</v>
      </c>
      <c r="B45" s="3" t="s">
        <v>194</v>
      </c>
      <c r="C45" s="3" t="s">
        <v>150</v>
      </c>
      <c r="D45" s="3" t="s">
        <v>195</v>
      </c>
      <c r="E45" s="3" t="s">
        <v>66</v>
      </c>
      <c r="F45" s="3" t="s">
        <v>196</v>
      </c>
      <c r="G45" s="3" t="s">
        <v>197</v>
      </c>
      <c r="H45" s="3" t="s">
        <v>65</v>
      </c>
      <c r="I45" s="3">
        <v>4</v>
      </c>
      <c r="J45" s="3" t="s">
        <v>69</v>
      </c>
      <c r="K45" s="3" t="s">
        <v>135</v>
      </c>
      <c r="L45" s="3" t="s">
        <v>198</v>
      </c>
      <c r="M45" s="3" t="s">
        <v>89</v>
      </c>
      <c r="N45" s="3" t="s">
        <v>73</v>
      </c>
    </row>
    <row r="46" spans="1:14" ht="14.25">
      <c r="A46" s="3" t="s">
        <v>199</v>
      </c>
      <c r="B46" s="3" t="s">
        <v>200</v>
      </c>
      <c r="C46" s="3" t="s">
        <v>107</v>
      </c>
      <c r="D46" s="3" t="s">
        <v>201</v>
      </c>
      <c r="E46" s="3" t="s">
        <v>66</v>
      </c>
      <c r="F46" s="3" t="s">
        <v>202</v>
      </c>
      <c r="G46" s="3" t="s">
        <v>203</v>
      </c>
      <c r="H46" s="3" t="s">
        <v>65</v>
      </c>
      <c r="I46" s="3">
        <v>3</v>
      </c>
      <c r="J46" s="3" t="s">
        <v>69</v>
      </c>
      <c r="K46" s="3" t="s">
        <v>135</v>
      </c>
      <c r="L46" s="3" t="s">
        <v>81</v>
      </c>
      <c r="M46" s="3" t="s">
        <v>104</v>
      </c>
      <c r="N46" s="3" t="s">
        <v>73</v>
      </c>
    </row>
    <row r="47" spans="1:14" ht="14.25">
      <c r="A47" s="3" t="s">
        <v>204</v>
      </c>
      <c r="B47" s="3" t="s">
        <v>205</v>
      </c>
      <c r="C47" s="3" t="s">
        <v>206</v>
      </c>
      <c r="D47" s="3" t="s">
        <v>65</v>
      </c>
      <c r="E47" s="3" t="s">
        <v>66</v>
      </c>
      <c r="F47" s="3" t="s">
        <v>207</v>
      </c>
      <c r="G47" s="3" t="s">
        <v>208</v>
      </c>
      <c r="H47" s="3" t="s">
        <v>65</v>
      </c>
      <c r="I47" s="3">
        <v>3</v>
      </c>
      <c r="J47" s="3" t="s">
        <v>69</v>
      </c>
      <c r="K47" s="3" t="s">
        <v>80</v>
      </c>
      <c r="L47" s="3" t="s">
        <v>81</v>
      </c>
      <c r="M47" s="3" t="s">
        <v>104</v>
      </c>
      <c r="N47" s="3" t="s">
        <v>73</v>
      </c>
    </row>
    <row r="48" spans="1:14" ht="14.25">
      <c r="A48" s="3" t="s">
        <v>209</v>
      </c>
      <c r="B48" s="3" t="s">
        <v>210</v>
      </c>
      <c r="C48" s="3" t="s">
        <v>99</v>
      </c>
      <c r="D48" s="3" t="s">
        <v>211</v>
      </c>
      <c r="E48" s="3" t="s">
        <v>66</v>
      </c>
      <c r="F48" s="3" t="s">
        <v>212</v>
      </c>
      <c r="G48" s="3" t="s">
        <v>213</v>
      </c>
      <c r="H48" s="3" t="s">
        <v>65</v>
      </c>
      <c r="I48" s="3">
        <v>3</v>
      </c>
      <c r="J48" s="3" t="s">
        <v>69</v>
      </c>
      <c r="K48" s="3" t="s">
        <v>80</v>
      </c>
      <c r="L48" s="3" t="s">
        <v>214</v>
      </c>
      <c r="M48" s="3" t="s">
        <v>89</v>
      </c>
      <c r="N48" s="3" t="s">
        <v>73</v>
      </c>
    </row>
    <row r="49" spans="1:14" ht="14.25">
      <c r="A49" s="3" t="s">
        <v>215</v>
      </c>
      <c r="B49" s="3" t="s">
        <v>216</v>
      </c>
      <c r="C49" s="3" t="s">
        <v>150</v>
      </c>
      <c r="D49" s="3" t="s">
        <v>217</v>
      </c>
      <c r="E49" s="3" t="s">
        <v>66</v>
      </c>
      <c r="F49" s="3" t="s">
        <v>218</v>
      </c>
      <c r="G49" s="3" t="s">
        <v>219</v>
      </c>
      <c r="H49" s="3" t="s">
        <v>65</v>
      </c>
      <c r="I49" s="3">
        <v>4</v>
      </c>
      <c r="J49" s="3" t="s">
        <v>69</v>
      </c>
      <c r="K49" s="3" t="s">
        <v>135</v>
      </c>
      <c r="L49" s="3" t="s">
        <v>81</v>
      </c>
      <c r="M49" s="3" t="s">
        <v>104</v>
      </c>
      <c r="N49" s="3" t="s">
        <v>73</v>
      </c>
    </row>
    <row r="50" spans="1:14" ht="14.25">
      <c r="A50" s="3" t="s">
        <v>220</v>
      </c>
      <c r="B50" s="3" t="s">
        <v>221</v>
      </c>
      <c r="C50" s="3" t="s">
        <v>222</v>
      </c>
      <c r="D50" s="3" t="s">
        <v>65</v>
      </c>
      <c r="E50" s="3" t="s">
        <v>66</v>
      </c>
      <c r="F50" s="3" t="s">
        <v>223</v>
      </c>
      <c r="G50" s="3" t="s">
        <v>224</v>
      </c>
      <c r="H50" s="3" t="s">
        <v>65</v>
      </c>
      <c r="I50" s="3">
        <v>4</v>
      </c>
      <c r="J50" s="3" t="s">
        <v>69</v>
      </c>
      <c r="K50" s="3" t="s">
        <v>80</v>
      </c>
      <c r="L50" s="3" t="s">
        <v>81</v>
      </c>
      <c r="M50" s="3" t="s">
        <v>104</v>
      </c>
      <c r="N50" s="3" t="s">
        <v>73</v>
      </c>
    </row>
    <row r="51" spans="1:14" ht="14.25">
      <c r="A51" s="3" t="s">
        <v>225</v>
      </c>
      <c r="B51" s="3" t="s">
        <v>226</v>
      </c>
      <c r="C51" s="3" t="s">
        <v>227</v>
      </c>
      <c r="D51" s="3" t="s">
        <v>65</v>
      </c>
      <c r="E51" s="3" t="s">
        <v>66</v>
      </c>
      <c r="F51" s="3" t="s">
        <v>228</v>
      </c>
      <c r="G51" s="3" t="s">
        <v>229</v>
      </c>
      <c r="H51" s="3" t="s">
        <v>65</v>
      </c>
      <c r="I51" s="3">
        <v>4</v>
      </c>
      <c r="J51" s="3" t="s">
        <v>69</v>
      </c>
      <c r="K51" s="3" t="s">
        <v>80</v>
      </c>
      <c r="L51" s="3" t="s">
        <v>81</v>
      </c>
      <c r="M51" s="3" t="s">
        <v>104</v>
      </c>
      <c r="N51" s="3" t="s">
        <v>73</v>
      </c>
    </row>
    <row r="52" spans="1:14" ht="14.25">
      <c r="A52" s="3" t="s">
        <v>230</v>
      </c>
      <c r="B52" s="3" t="s">
        <v>231</v>
      </c>
      <c r="C52" s="3" t="s">
        <v>232</v>
      </c>
      <c r="D52" s="3" t="s">
        <v>65</v>
      </c>
      <c r="E52" s="3" t="s">
        <v>66</v>
      </c>
      <c r="F52" s="3" t="s">
        <v>233</v>
      </c>
      <c r="G52" s="3" t="s">
        <v>234</v>
      </c>
      <c r="H52" s="3" t="s">
        <v>65</v>
      </c>
      <c r="I52" s="3">
        <v>3</v>
      </c>
      <c r="J52" s="3" t="s">
        <v>69</v>
      </c>
      <c r="K52" s="3" t="s">
        <v>80</v>
      </c>
      <c r="L52" s="3" t="s">
        <v>81</v>
      </c>
      <c r="M52" s="3" t="s">
        <v>104</v>
      </c>
      <c r="N52" s="3" t="s">
        <v>73</v>
      </c>
    </row>
    <row r="53" spans="1:14" ht="14.25">
      <c r="A53" s="3" t="s">
        <v>235</v>
      </c>
      <c r="B53" s="3" t="s">
        <v>236</v>
      </c>
      <c r="C53" s="3" t="s">
        <v>92</v>
      </c>
      <c r="D53" s="3" t="s">
        <v>65</v>
      </c>
      <c r="E53" s="3" t="s">
        <v>66</v>
      </c>
      <c r="F53" s="3" t="s">
        <v>237</v>
      </c>
      <c r="G53" s="3" t="s">
        <v>238</v>
      </c>
      <c r="H53" s="3" t="s">
        <v>65</v>
      </c>
      <c r="I53" s="3">
        <v>3</v>
      </c>
      <c r="J53" s="3" t="s">
        <v>69</v>
      </c>
      <c r="K53" s="3" t="s">
        <v>135</v>
      </c>
      <c r="L53" s="3" t="s">
        <v>81</v>
      </c>
      <c r="M53" s="3" t="s">
        <v>104</v>
      </c>
      <c r="N53" s="3" t="s">
        <v>73</v>
      </c>
    </row>
    <row r="54" spans="1:14" ht="14.25">
      <c r="A54" s="3" t="s">
        <v>239</v>
      </c>
      <c r="B54" s="3" t="s">
        <v>240</v>
      </c>
      <c r="C54" s="3" t="s">
        <v>241</v>
      </c>
      <c r="D54" s="3" t="s">
        <v>65</v>
      </c>
      <c r="E54" s="3" t="s">
        <v>66</v>
      </c>
      <c r="F54" s="3" t="s">
        <v>242</v>
      </c>
      <c r="G54" s="3" t="s">
        <v>243</v>
      </c>
      <c r="H54" s="3" t="s">
        <v>65</v>
      </c>
      <c r="I54" s="3">
        <v>3</v>
      </c>
      <c r="J54" s="3" t="s">
        <v>69</v>
      </c>
      <c r="K54" s="3" t="s">
        <v>80</v>
      </c>
      <c r="L54" s="3" t="s">
        <v>81</v>
      </c>
      <c r="M54" s="3" t="s">
        <v>104</v>
      </c>
      <c r="N54" s="3" t="s">
        <v>73</v>
      </c>
    </row>
    <row r="55" spans="1:14" ht="14.25">
      <c r="A55" s="3" t="s">
        <v>244</v>
      </c>
      <c r="B55" s="3" t="s">
        <v>245</v>
      </c>
      <c r="C55" s="3" t="s">
        <v>246</v>
      </c>
      <c r="D55" s="3" t="s">
        <v>65</v>
      </c>
      <c r="E55" s="3" t="s">
        <v>66</v>
      </c>
      <c r="F55" s="3" t="s">
        <v>247</v>
      </c>
      <c r="G55" s="3" t="s">
        <v>248</v>
      </c>
      <c r="H55" s="3" t="s">
        <v>65</v>
      </c>
      <c r="I55" s="3">
        <v>4</v>
      </c>
      <c r="J55" s="3" t="s">
        <v>249</v>
      </c>
      <c r="K55" s="3" t="s">
        <v>58</v>
      </c>
      <c r="L55" s="3" t="s">
        <v>81</v>
      </c>
      <c r="M55" s="3" t="s">
        <v>250</v>
      </c>
      <c r="N55" s="3" t="s">
        <v>73</v>
      </c>
    </row>
    <row r="56" spans="1:14" ht="14.25">
      <c r="A56" s="3" t="s">
        <v>251</v>
      </c>
      <c r="B56" s="3" t="s">
        <v>252</v>
      </c>
      <c r="C56" s="3" t="s">
        <v>253</v>
      </c>
      <c r="D56" s="3" t="s">
        <v>65</v>
      </c>
      <c r="E56" s="3" t="s">
        <v>66</v>
      </c>
      <c r="F56" s="3" t="s">
        <v>254</v>
      </c>
      <c r="G56" s="3" t="s">
        <v>255</v>
      </c>
      <c r="H56" s="3" t="s">
        <v>65</v>
      </c>
      <c r="I56" s="3">
        <v>4</v>
      </c>
      <c r="J56" s="3" t="s">
        <v>69</v>
      </c>
      <c r="K56" s="3" t="s">
        <v>80</v>
      </c>
      <c r="L56" s="3" t="s">
        <v>81</v>
      </c>
      <c r="M56" s="3" t="s">
        <v>104</v>
      </c>
      <c r="N56" s="3" t="s">
        <v>73</v>
      </c>
    </row>
    <row r="57" spans="1:14" ht="14.25">
      <c r="A57" s="3" t="s">
        <v>256</v>
      </c>
      <c r="B57" s="3" t="s">
        <v>257</v>
      </c>
      <c r="C57" s="3" t="s">
        <v>258</v>
      </c>
      <c r="D57" s="3" t="s">
        <v>65</v>
      </c>
      <c r="E57" s="3" t="s">
        <v>66</v>
      </c>
      <c r="F57" s="3" t="s">
        <v>259</v>
      </c>
      <c r="G57" s="3" t="s">
        <v>260</v>
      </c>
      <c r="H57" s="3" t="s">
        <v>65</v>
      </c>
      <c r="I57" s="3">
        <v>4</v>
      </c>
      <c r="J57" s="3" t="s">
        <v>69</v>
      </c>
      <c r="K57" s="3" t="s">
        <v>58</v>
      </c>
      <c r="L57" s="3" t="s">
        <v>81</v>
      </c>
      <c r="M57" s="3" t="s">
        <v>261</v>
      </c>
      <c r="N57" s="3" t="s">
        <v>73</v>
      </c>
    </row>
    <row r="58" spans="1:14" ht="14.25">
      <c r="A58" s="3" t="s">
        <v>262</v>
      </c>
      <c r="B58" s="3" t="s">
        <v>263</v>
      </c>
      <c r="C58" s="3" t="s">
        <v>264</v>
      </c>
      <c r="D58" s="3" t="s">
        <v>65</v>
      </c>
      <c r="E58" s="3" t="s">
        <v>66</v>
      </c>
      <c r="F58" s="3" t="s">
        <v>265</v>
      </c>
      <c r="G58" s="3" t="s">
        <v>266</v>
      </c>
      <c r="H58" s="3" t="s">
        <v>65</v>
      </c>
      <c r="I58" s="3">
        <v>4</v>
      </c>
      <c r="J58" s="3" t="s">
        <v>69</v>
      </c>
      <c r="K58" s="3" t="s">
        <v>80</v>
      </c>
      <c r="L58" s="3" t="s">
        <v>81</v>
      </c>
      <c r="M58" s="3" t="s">
        <v>104</v>
      </c>
      <c r="N58" s="3" t="s">
        <v>73</v>
      </c>
    </row>
    <row r="59" spans="1:14" ht="14.25">
      <c r="A59" s="3" t="s">
        <v>267</v>
      </c>
      <c r="B59" s="3" t="s">
        <v>268</v>
      </c>
      <c r="C59" s="3" t="s">
        <v>269</v>
      </c>
      <c r="D59" s="3" t="s">
        <v>65</v>
      </c>
      <c r="E59" s="3" t="s">
        <v>66</v>
      </c>
      <c r="F59" s="3" t="s">
        <v>270</v>
      </c>
      <c r="G59" s="3" t="s">
        <v>271</v>
      </c>
      <c r="H59" s="3" t="s">
        <v>65</v>
      </c>
      <c r="I59" s="3">
        <v>3</v>
      </c>
      <c r="J59" s="3" t="s">
        <v>69</v>
      </c>
      <c r="K59" s="3" t="s">
        <v>58</v>
      </c>
      <c r="L59" s="3" t="s">
        <v>81</v>
      </c>
      <c r="M59" s="3" t="s">
        <v>104</v>
      </c>
      <c r="N59" s="3" t="s">
        <v>73</v>
      </c>
    </row>
    <row r="60" spans="1:14" ht="14.25">
      <c r="A60" s="3" t="s">
        <v>272</v>
      </c>
      <c r="B60" s="3" t="s">
        <v>273</v>
      </c>
      <c r="C60" s="3" t="s">
        <v>274</v>
      </c>
      <c r="D60" s="3" t="s">
        <v>65</v>
      </c>
      <c r="E60" s="3" t="s">
        <v>66</v>
      </c>
      <c r="F60" s="3" t="s">
        <v>275</v>
      </c>
      <c r="G60" s="3" t="s">
        <v>276</v>
      </c>
      <c r="H60" s="3" t="s">
        <v>65</v>
      </c>
      <c r="I60" s="3">
        <v>4</v>
      </c>
      <c r="J60" s="3" t="s">
        <v>69</v>
      </c>
      <c r="K60" s="3" t="s">
        <v>80</v>
      </c>
      <c r="L60" s="3" t="s">
        <v>81</v>
      </c>
      <c r="M60" s="3" t="s">
        <v>104</v>
      </c>
      <c r="N60" s="3" t="s">
        <v>73</v>
      </c>
    </row>
    <row r="61" spans="1:14" ht="14.25">
      <c r="A61" s="3" t="s">
        <v>281</v>
      </c>
      <c r="B61" s="3" t="s">
        <v>282</v>
      </c>
      <c r="C61" s="3" t="s">
        <v>283</v>
      </c>
      <c r="D61" s="3" t="s">
        <v>65</v>
      </c>
      <c r="E61" s="3" t="s">
        <v>66</v>
      </c>
      <c r="F61" s="3" t="s">
        <v>284</v>
      </c>
      <c r="G61" s="3" t="s">
        <v>285</v>
      </c>
      <c r="H61" s="3" t="s">
        <v>65</v>
      </c>
      <c r="I61" s="3">
        <v>4</v>
      </c>
      <c r="J61" s="3" t="s">
        <v>69</v>
      </c>
      <c r="K61" s="3" t="s">
        <v>80</v>
      </c>
      <c r="L61" s="3" t="s">
        <v>81</v>
      </c>
      <c r="M61" s="3" t="s">
        <v>104</v>
      </c>
      <c r="N61" s="3" t="s">
        <v>73</v>
      </c>
    </row>
    <row r="62" spans="1:14" ht="14.25">
      <c r="A62" s="3" t="s">
        <v>286</v>
      </c>
      <c r="B62" s="3" t="s">
        <v>287</v>
      </c>
      <c r="C62" s="3" t="s">
        <v>288</v>
      </c>
      <c r="D62" s="3" t="s">
        <v>65</v>
      </c>
      <c r="E62" s="3" t="s">
        <v>66</v>
      </c>
      <c r="F62" s="3" t="s">
        <v>289</v>
      </c>
      <c r="G62" s="3" t="s">
        <v>290</v>
      </c>
      <c r="H62" s="3" t="s">
        <v>65</v>
      </c>
      <c r="I62" s="3">
        <v>4</v>
      </c>
      <c r="J62" s="3" t="s">
        <v>69</v>
      </c>
      <c r="K62" s="3" t="s">
        <v>58</v>
      </c>
      <c r="L62" s="3" t="s">
        <v>81</v>
      </c>
      <c r="M62" s="3" t="s">
        <v>104</v>
      </c>
      <c r="N62" s="3" t="s">
        <v>73</v>
      </c>
    </row>
    <row r="63" spans="1:14" ht="14.25">
      <c r="A63" s="3" t="s">
        <v>291</v>
      </c>
      <c r="B63" s="3" t="s">
        <v>292</v>
      </c>
      <c r="C63" s="3" t="s">
        <v>293</v>
      </c>
      <c r="D63" s="3" t="s">
        <v>65</v>
      </c>
      <c r="E63" s="3" t="s">
        <v>66</v>
      </c>
      <c r="F63" s="3" t="s">
        <v>294</v>
      </c>
      <c r="G63" s="3" t="s">
        <v>295</v>
      </c>
      <c r="H63" s="3" t="s">
        <v>65</v>
      </c>
      <c r="I63" s="3">
        <v>4</v>
      </c>
      <c r="J63" s="3" t="s">
        <v>69</v>
      </c>
      <c r="K63" s="3" t="s">
        <v>58</v>
      </c>
      <c r="L63" s="3" t="s">
        <v>81</v>
      </c>
      <c r="M63" s="3" t="s">
        <v>104</v>
      </c>
      <c r="N63" s="3" t="s">
        <v>73</v>
      </c>
    </row>
    <row r="64" spans="1:14" ht="14.25">
      <c r="A64" s="3" t="s">
        <v>296</v>
      </c>
      <c r="B64" s="3" t="s">
        <v>297</v>
      </c>
      <c r="C64" s="3" t="s">
        <v>298</v>
      </c>
      <c r="D64" s="3" t="s">
        <v>65</v>
      </c>
      <c r="E64" s="3" t="s">
        <v>66</v>
      </c>
      <c r="F64" s="3" t="s">
        <v>299</v>
      </c>
      <c r="G64" s="3" t="s">
        <v>300</v>
      </c>
      <c r="H64" s="3" t="s">
        <v>65</v>
      </c>
      <c r="I64" s="3">
        <v>4</v>
      </c>
      <c r="J64" s="3" t="s">
        <v>69</v>
      </c>
      <c r="K64" s="3" t="s">
        <v>80</v>
      </c>
      <c r="L64" s="3" t="s">
        <v>81</v>
      </c>
      <c r="M64" s="3" t="s">
        <v>104</v>
      </c>
      <c r="N64" s="3" t="s">
        <v>73</v>
      </c>
    </row>
    <row r="65" spans="1:14" ht="14.25">
      <c r="A65" s="3" t="s">
        <v>301</v>
      </c>
      <c r="B65" s="3" t="s">
        <v>302</v>
      </c>
      <c r="C65" s="3" t="s">
        <v>303</v>
      </c>
      <c r="D65" s="3" t="s">
        <v>65</v>
      </c>
      <c r="E65" s="3" t="s">
        <v>66</v>
      </c>
      <c r="F65" s="3" t="s">
        <v>304</v>
      </c>
      <c r="G65" s="3" t="s">
        <v>305</v>
      </c>
      <c r="H65" s="3" t="s">
        <v>65</v>
      </c>
      <c r="I65" s="3">
        <v>4</v>
      </c>
      <c r="J65" s="3" t="s">
        <v>69</v>
      </c>
      <c r="K65" s="3" t="s">
        <v>80</v>
      </c>
      <c r="L65" s="3" t="s">
        <v>81</v>
      </c>
      <c r="M65" s="3" t="s">
        <v>104</v>
      </c>
      <c r="N65" s="3" t="s">
        <v>73</v>
      </c>
    </row>
    <row r="66" spans="1:14" ht="14.25">
      <c r="A66" s="3" t="s">
        <v>312</v>
      </c>
      <c r="B66" s="3" t="s">
        <v>313</v>
      </c>
      <c r="C66" s="3" t="s">
        <v>314</v>
      </c>
      <c r="D66" s="3" t="s">
        <v>65</v>
      </c>
      <c r="E66" s="3" t="s">
        <v>66</v>
      </c>
      <c r="F66" s="3" t="s">
        <v>315</v>
      </c>
      <c r="G66" s="3" t="s">
        <v>316</v>
      </c>
      <c r="H66" s="3" t="s">
        <v>65</v>
      </c>
      <c r="I66" s="3">
        <v>4</v>
      </c>
      <c r="J66" s="3" t="s">
        <v>69</v>
      </c>
      <c r="K66" s="3" t="s">
        <v>58</v>
      </c>
      <c r="L66" s="3" t="s">
        <v>317</v>
      </c>
      <c r="M66" s="3" t="s">
        <v>89</v>
      </c>
      <c r="N66" s="3" t="s">
        <v>73</v>
      </c>
    </row>
    <row r="67" spans="1:14" ht="14.25">
      <c r="A67" s="3" t="s">
        <v>318</v>
      </c>
      <c r="B67" s="3" t="s">
        <v>319</v>
      </c>
      <c r="C67" s="3" t="s">
        <v>159</v>
      </c>
      <c r="D67" s="3" t="s">
        <v>65</v>
      </c>
      <c r="E67" s="3" t="s">
        <v>66</v>
      </c>
      <c r="F67" s="3" t="s">
        <v>320</v>
      </c>
      <c r="G67" s="3" t="s">
        <v>321</v>
      </c>
      <c r="H67" s="3" t="s">
        <v>65</v>
      </c>
      <c r="I67" s="3">
        <v>4</v>
      </c>
      <c r="J67" s="3" t="s">
        <v>69</v>
      </c>
      <c r="K67" s="3" t="s">
        <v>135</v>
      </c>
      <c r="L67" s="3" t="s">
        <v>81</v>
      </c>
      <c r="M67" s="3" t="s">
        <v>104</v>
      </c>
      <c r="N67" s="3" t="s">
        <v>73</v>
      </c>
    </row>
    <row r="68" spans="1:14" ht="14.25">
      <c r="A68" s="3" t="s">
        <v>322</v>
      </c>
      <c r="B68" s="3" t="s">
        <v>323</v>
      </c>
      <c r="C68" s="3" t="s">
        <v>324</v>
      </c>
      <c r="D68" s="3" t="s">
        <v>65</v>
      </c>
      <c r="E68" s="3" t="s">
        <v>66</v>
      </c>
      <c r="F68" s="3" t="s">
        <v>325</v>
      </c>
      <c r="G68" s="3" t="s">
        <v>326</v>
      </c>
      <c r="H68" s="3" t="s">
        <v>65</v>
      </c>
      <c r="I68" s="3">
        <v>4</v>
      </c>
      <c r="J68" s="3" t="s">
        <v>69</v>
      </c>
      <c r="K68" s="3" t="s">
        <v>80</v>
      </c>
      <c r="L68" s="3" t="s">
        <v>81</v>
      </c>
      <c r="M68" s="3" t="s">
        <v>104</v>
      </c>
      <c r="N68" s="3" t="s">
        <v>73</v>
      </c>
    </row>
    <row r="69" spans="1:14" ht="14.25">
      <c r="A69" s="3" t="s">
        <v>327</v>
      </c>
      <c r="B69" s="3" t="s">
        <v>328</v>
      </c>
      <c r="C69" s="3" t="s">
        <v>92</v>
      </c>
      <c r="D69" s="3" t="s">
        <v>329</v>
      </c>
      <c r="E69" s="3" t="s">
        <v>66</v>
      </c>
      <c r="F69" s="3" t="s">
        <v>330</v>
      </c>
      <c r="G69" s="3" t="s">
        <v>331</v>
      </c>
      <c r="H69" s="3" t="s">
        <v>65</v>
      </c>
      <c r="I69" s="3">
        <v>4</v>
      </c>
      <c r="J69" s="3" t="s">
        <v>69</v>
      </c>
      <c r="K69" s="3" t="s">
        <v>96</v>
      </c>
      <c r="L69" s="3" t="s">
        <v>332</v>
      </c>
      <c r="M69" s="3" t="s">
        <v>89</v>
      </c>
      <c r="N69" s="3" t="s">
        <v>73</v>
      </c>
    </row>
    <row r="70" spans="1:14" ht="14.25">
      <c r="A70" s="3" t="s">
        <v>333</v>
      </c>
      <c r="B70" s="3" t="s">
        <v>334</v>
      </c>
      <c r="C70" s="3" t="s">
        <v>335</v>
      </c>
      <c r="D70" s="3" t="s">
        <v>65</v>
      </c>
      <c r="E70" s="3" t="s">
        <v>66</v>
      </c>
      <c r="F70" s="3" t="s">
        <v>336</v>
      </c>
      <c r="G70" s="3" t="s">
        <v>337</v>
      </c>
      <c r="H70" s="3" t="s">
        <v>65</v>
      </c>
      <c r="I70" s="3">
        <v>4</v>
      </c>
      <c r="J70" s="3" t="s">
        <v>69</v>
      </c>
      <c r="K70" s="3" t="s">
        <v>80</v>
      </c>
      <c r="L70" s="3" t="s">
        <v>81</v>
      </c>
      <c r="M70" s="3" t="s">
        <v>104</v>
      </c>
      <c r="N70" s="3" t="s">
        <v>73</v>
      </c>
    </row>
    <row r="71" spans="1:14" ht="14.25">
      <c r="A71" s="3" t="s">
        <v>343</v>
      </c>
      <c r="B71" s="3" t="s">
        <v>344</v>
      </c>
      <c r="C71" s="3" t="s">
        <v>92</v>
      </c>
      <c r="D71" s="3" t="s">
        <v>65</v>
      </c>
      <c r="E71" s="3" t="s">
        <v>66</v>
      </c>
      <c r="F71" s="3" t="s">
        <v>345</v>
      </c>
      <c r="G71" s="3" t="s">
        <v>346</v>
      </c>
      <c r="H71" s="3" t="s">
        <v>65</v>
      </c>
      <c r="I71" s="3">
        <v>3</v>
      </c>
      <c r="J71" s="3" t="s">
        <v>69</v>
      </c>
      <c r="K71" s="3" t="s">
        <v>135</v>
      </c>
      <c r="L71" s="3" t="s">
        <v>81</v>
      </c>
      <c r="M71" s="3" t="s">
        <v>104</v>
      </c>
      <c r="N71" s="3" t="s">
        <v>73</v>
      </c>
    </row>
    <row r="72" spans="1:14" ht="14.25">
      <c r="A72" s="3" t="s">
        <v>347</v>
      </c>
      <c r="B72" s="3" t="s">
        <v>348</v>
      </c>
      <c r="C72" s="3" t="s">
        <v>150</v>
      </c>
      <c r="D72" s="3" t="s">
        <v>349</v>
      </c>
      <c r="E72" s="3" t="s">
        <v>66</v>
      </c>
      <c r="F72" s="3" t="s">
        <v>350</v>
      </c>
      <c r="G72" s="3" t="s">
        <v>351</v>
      </c>
      <c r="H72" s="3" t="s">
        <v>65</v>
      </c>
      <c r="I72" s="3">
        <v>4</v>
      </c>
      <c r="J72" s="3" t="s">
        <v>69</v>
      </c>
      <c r="K72" s="3" t="s">
        <v>96</v>
      </c>
      <c r="L72" s="3" t="s">
        <v>352</v>
      </c>
      <c r="M72" s="3" t="s">
        <v>89</v>
      </c>
      <c r="N72" s="3" t="s">
        <v>73</v>
      </c>
    </row>
    <row r="73" spans="1:14" ht="14.25">
      <c r="A73" s="3" t="s">
        <v>353</v>
      </c>
      <c r="B73" s="3" t="s">
        <v>297</v>
      </c>
      <c r="C73" s="3" t="s">
        <v>150</v>
      </c>
      <c r="D73" s="3" t="s">
        <v>354</v>
      </c>
      <c r="E73" s="3" t="s">
        <v>66</v>
      </c>
      <c r="F73" s="3" t="s">
        <v>355</v>
      </c>
      <c r="G73" s="3" t="s">
        <v>356</v>
      </c>
      <c r="H73" s="3" t="s">
        <v>65</v>
      </c>
      <c r="I73" s="3">
        <v>4</v>
      </c>
      <c r="J73" s="3" t="s">
        <v>357</v>
      </c>
      <c r="K73" s="3" t="s">
        <v>96</v>
      </c>
      <c r="L73" s="3" t="s">
        <v>358</v>
      </c>
      <c r="M73" s="3" t="s">
        <v>183</v>
      </c>
      <c r="N73" s="3" t="s">
        <v>73</v>
      </c>
    </row>
    <row r="74" spans="1:14" ht="14.25">
      <c r="A74" s="3" t="s">
        <v>359</v>
      </c>
      <c r="B74" s="3" t="s">
        <v>360</v>
      </c>
      <c r="C74" s="3" t="s">
        <v>361</v>
      </c>
      <c r="D74" s="3" t="s">
        <v>65</v>
      </c>
      <c r="E74" s="3" t="s">
        <v>66</v>
      </c>
      <c r="F74" s="3" t="s">
        <v>362</v>
      </c>
      <c r="G74" s="3" t="s">
        <v>363</v>
      </c>
      <c r="H74" s="3" t="s">
        <v>65</v>
      </c>
      <c r="I74" s="3">
        <v>3</v>
      </c>
      <c r="J74" s="3" t="s">
        <v>69</v>
      </c>
      <c r="K74" s="3" t="s">
        <v>80</v>
      </c>
      <c r="L74" s="3" t="s">
        <v>364</v>
      </c>
      <c r="M74" s="3" t="s">
        <v>89</v>
      </c>
      <c r="N74" s="3" t="s">
        <v>73</v>
      </c>
    </row>
    <row r="75" spans="1:14" ht="14.25">
      <c r="A75" s="3" t="s">
        <v>365</v>
      </c>
      <c r="B75" s="3" t="s">
        <v>366</v>
      </c>
      <c r="C75" s="3" t="s">
        <v>150</v>
      </c>
      <c r="D75" s="3" t="s">
        <v>65</v>
      </c>
      <c r="E75" s="3" t="s">
        <v>66</v>
      </c>
      <c r="F75" s="3" t="s">
        <v>367</v>
      </c>
      <c r="G75" s="3" t="s">
        <v>368</v>
      </c>
      <c r="H75" s="3" t="s">
        <v>65</v>
      </c>
      <c r="I75" s="3">
        <v>3</v>
      </c>
      <c r="J75" s="3" t="s">
        <v>69</v>
      </c>
      <c r="K75" s="3" t="s">
        <v>58</v>
      </c>
      <c r="L75" s="3" t="s">
        <v>81</v>
      </c>
      <c r="M75" s="3" t="s">
        <v>104</v>
      </c>
      <c r="N75" s="3" t="s">
        <v>73</v>
      </c>
    </row>
    <row r="76" spans="1:14" ht="14.25">
      <c r="A76" s="3" t="s">
        <v>373</v>
      </c>
      <c r="B76" s="3" t="s">
        <v>374</v>
      </c>
      <c r="C76" s="3" t="s">
        <v>375</v>
      </c>
      <c r="D76" s="3" t="s">
        <v>65</v>
      </c>
      <c r="E76" s="3" t="s">
        <v>66</v>
      </c>
      <c r="F76" s="3" t="s">
        <v>376</v>
      </c>
      <c r="G76" s="3" t="s">
        <v>377</v>
      </c>
      <c r="H76" s="3" t="s">
        <v>65</v>
      </c>
      <c r="I76" s="3">
        <v>3</v>
      </c>
      <c r="J76" s="3" t="s">
        <v>378</v>
      </c>
      <c r="K76" s="3" t="s">
        <v>58</v>
      </c>
      <c r="L76" s="3" t="s">
        <v>81</v>
      </c>
      <c r="M76" s="3" t="s">
        <v>250</v>
      </c>
      <c r="N76" s="3" t="s">
        <v>73</v>
      </c>
    </row>
    <row r="77" spans="1:14" ht="14.25">
      <c r="A77" s="3" t="s">
        <v>379</v>
      </c>
      <c r="B77" s="3" t="s">
        <v>380</v>
      </c>
      <c r="C77" s="3" t="s">
        <v>381</v>
      </c>
      <c r="D77" s="3" t="s">
        <v>382</v>
      </c>
      <c r="E77" s="3" t="s">
        <v>66</v>
      </c>
      <c r="F77" s="3" t="s">
        <v>383</v>
      </c>
      <c r="G77" s="3" t="s">
        <v>384</v>
      </c>
      <c r="H77" s="3" t="s">
        <v>65</v>
      </c>
      <c r="I77" s="3">
        <v>4</v>
      </c>
      <c r="J77" s="3" t="s">
        <v>69</v>
      </c>
      <c r="K77" s="3" t="s">
        <v>80</v>
      </c>
      <c r="L77" s="3" t="s">
        <v>385</v>
      </c>
      <c r="M77" s="3" t="s">
        <v>89</v>
      </c>
      <c r="N77" s="3" t="s">
        <v>73</v>
      </c>
    </row>
    <row r="78" spans="1:14" ht="14.25">
      <c r="A78" s="3" t="s">
        <v>386</v>
      </c>
      <c r="B78" s="3" t="s">
        <v>387</v>
      </c>
      <c r="C78" s="3" t="s">
        <v>388</v>
      </c>
      <c r="D78" s="3" t="s">
        <v>65</v>
      </c>
      <c r="E78" s="3" t="s">
        <v>66</v>
      </c>
      <c r="F78" s="3" t="s">
        <v>389</v>
      </c>
      <c r="G78" s="3" t="s">
        <v>390</v>
      </c>
      <c r="H78" s="3" t="s">
        <v>65</v>
      </c>
      <c r="I78" s="3">
        <v>3</v>
      </c>
      <c r="J78" s="3" t="s">
        <v>69</v>
      </c>
      <c r="K78" s="3" t="s">
        <v>80</v>
      </c>
      <c r="L78" s="3" t="s">
        <v>81</v>
      </c>
      <c r="M78" s="3" t="s">
        <v>104</v>
      </c>
      <c r="N78" s="3" t="s">
        <v>73</v>
      </c>
    </row>
    <row r="79" spans="1:14" ht="14.25">
      <c r="A79" s="3" t="s">
        <v>391</v>
      </c>
      <c r="B79" s="3" t="s">
        <v>392</v>
      </c>
      <c r="C79" s="3" t="s">
        <v>393</v>
      </c>
      <c r="D79" s="3" t="s">
        <v>65</v>
      </c>
      <c r="E79" s="3" t="s">
        <v>66</v>
      </c>
      <c r="F79" s="3" t="s">
        <v>394</v>
      </c>
      <c r="G79" s="3" t="s">
        <v>395</v>
      </c>
      <c r="H79" s="3" t="s">
        <v>65</v>
      </c>
      <c r="I79" s="3">
        <v>4</v>
      </c>
      <c r="J79" s="3" t="s">
        <v>69</v>
      </c>
      <c r="K79" s="3" t="s">
        <v>80</v>
      </c>
      <c r="L79" s="3" t="s">
        <v>81</v>
      </c>
      <c r="M79" s="3" t="s">
        <v>104</v>
      </c>
      <c r="N79" s="3" t="s">
        <v>73</v>
      </c>
    </row>
    <row r="80" spans="1:14" ht="14.25">
      <c r="A80" s="3" t="s">
        <v>396</v>
      </c>
      <c r="B80" s="3" t="s">
        <v>397</v>
      </c>
      <c r="C80" s="3" t="s">
        <v>398</v>
      </c>
      <c r="D80" s="3" t="s">
        <v>65</v>
      </c>
      <c r="E80" s="3" t="s">
        <v>66</v>
      </c>
      <c r="F80" s="3" t="s">
        <v>399</v>
      </c>
      <c r="G80" s="3" t="s">
        <v>400</v>
      </c>
      <c r="H80" s="3" t="s">
        <v>65</v>
      </c>
      <c r="I80" s="3">
        <v>4</v>
      </c>
      <c r="J80" s="3" t="s">
        <v>69</v>
      </c>
      <c r="K80" s="3" t="s">
        <v>80</v>
      </c>
      <c r="L80" s="3" t="s">
        <v>81</v>
      </c>
      <c r="M80" s="3" t="s">
        <v>104</v>
      </c>
      <c r="N80" s="3" t="s">
        <v>73</v>
      </c>
    </row>
    <row r="81" spans="1:14" ht="14.25">
      <c r="A81" s="3" t="s">
        <v>401</v>
      </c>
      <c r="B81" s="3" t="s">
        <v>402</v>
      </c>
      <c r="C81" s="3" t="s">
        <v>403</v>
      </c>
      <c r="D81" s="3" t="s">
        <v>65</v>
      </c>
      <c r="E81" s="3" t="s">
        <v>66</v>
      </c>
      <c r="F81" s="3" t="s">
        <v>404</v>
      </c>
      <c r="G81" s="3" t="s">
        <v>405</v>
      </c>
      <c r="H81" s="3" t="s">
        <v>65</v>
      </c>
      <c r="I81" s="3">
        <v>4</v>
      </c>
      <c r="J81" s="3" t="s">
        <v>69</v>
      </c>
      <c r="K81" s="3" t="s">
        <v>80</v>
      </c>
      <c r="L81" s="3" t="s">
        <v>81</v>
      </c>
      <c r="M81" s="3" t="s">
        <v>104</v>
      </c>
      <c r="N81" s="3" t="s">
        <v>73</v>
      </c>
    </row>
    <row r="82" spans="1:14" ht="14.25">
      <c r="A82" s="3" t="s">
        <v>411</v>
      </c>
      <c r="B82" s="3" t="s">
        <v>412</v>
      </c>
      <c r="C82" s="3" t="s">
        <v>413</v>
      </c>
      <c r="D82" s="3" t="s">
        <v>65</v>
      </c>
      <c r="E82" s="3" t="s">
        <v>66</v>
      </c>
      <c r="F82" s="3" t="s">
        <v>414</v>
      </c>
      <c r="G82" s="3" t="s">
        <v>415</v>
      </c>
      <c r="H82" s="3" t="s">
        <v>65</v>
      </c>
      <c r="I82" s="3">
        <v>3</v>
      </c>
      <c r="J82" s="3" t="s">
        <v>69</v>
      </c>
      <c r="K82" s="3" t="s">
        <v>103</v>
      </c>
      <c r="L82" s="3" t="s">
        <v>189</v>
      </c>
      <c r="M82" s="3" t="s">
        <v>89</v>
      </c>
      <c r="N82" s="3" t="s">
        <v>73</v>
      </c>
    </row>
    <row r="83" spans="1:14" ht="14.25">
      <c r="A83" s="3" t="s">
        <v>416</v>
      </c>
      <c r="B83" s="3" t="s">
        <v>417</v>
      </c>
      <c r="C83" s="3" t="s">
        <v>418</v>
      </c>
      <c r="D83" s="3" t="s">
        <v>65</v>
      </c>
      <c r="E83" s="3" t="s">
        <v>66</v>
      </c>
      <c r="F83" s="3" t="s">
        <v>419</v>
      </c>
      <c r="G83" s="3" t="s">
        <v>420</v>
      </c>
      <c r="H83" s="3" t="s">
        <v>65</v>
      </c>
      <c r="I83" s="3">
        <v>3</v>
      </c>
      <c r="J83" s="3" t="s">
        <v>69</v>
      </c>
      <c r="K83" s="3" t="s">
        <v>80</v>
      </c>
      <c r="L83" s="3" t="s">
        <v>81</v>
      </c>
      <c r="M83" s="3" t="s">
        <v>104</v>
      </c>
      <c r="N83" s="3" t="s">
        <v>73</v>
      </c>
    </row>
    <row r="84" spans="1:14" ht="14.25">
      <c r="A84" s="3" t="s">
        <v>421</v>
      </c>
      <c r="B84" s="3" t="s">
        <v>422</v>
      </c>
      <c r="C84" s="3" t="s">
        <v>92</v>
      </c>
      <c r="D84" s="3" t="s">
        <v>65</v>
      </c>
      <c r="E84" s="3" t="s">
        <v>66</v>
      </c>
      <c r="F84" s="3" t="s">
        <v>423</v>
      </c>
      <c r="G84" s="3" t="s">
        <v>424</v>
      </c>
      <c r="H84" s="3" t="s">
        <v>65</v>
      </c>
      <c r="I84" s="3">
        <v>3</v>
      </c>
      <c r="J84" s="3" t="s">
        <v>69</v>
      </c>
      <c r="K84" s="3" t="s">
        <v>96</v>
      </c>
      <c r="L84" s="3" t="s">
        <v>425</v>
      </c>
      <c r="M84" s="3" t="s">
        <v>89</v>
      </c>
      <c r="N84" s="3" t="s">
        <v>73</v>
      </c>
    </row>
    <row r="85" spans="1:14" ht="14.25">
      <c r="A85" s="3" t="s">
        <v>426</v>
      </c>
      <c r="B85" s="3" t="s">
        <v>417</v>
      </c>
      <c r="C85" s="3" t="s">
        <v>427</v>
      </c>
      <c r="D85" s="3" t="s">
        <v>65</v>
      </c>
      <c r="E85" s="3" t="s">
        <v>66</v>
      </c>
      <c r="F85" s="3" t="s">
        <v>428</v>
      </c>
      <c r="G85" s="3" t="s">
        <v>429</v>
      </c>
      <c r="H85" s="3" t="s">
        <v>65</v>
      </c>
      <c r="I85" s="3">
        <v>3</v>
      </c>
      <c r="J85" s="3" t="s">
        <v>69</v>
      </c>
      <c r="K85" s="3" t="s">
        <v>80</v>
      </c>
      <c r="L85" s="3" t="s">
        <v>81</v>
      </c>
      <c r="M85" s="3" t="s">
        <v>104</v>
      </c>
      <c r="N85" s="3" t="s">
        <v>73</v>
      </c>
    </row>
    <row r="86" spans="1:14" ht="14.25">
      <c r="A86" s="3" t="s">
        <v>430</v>
      </c>
      <c r="B86" s="3" t="s">
        <v>431</v>
      </c>
      <c r="C86" s="3" t="s">
        <v>432</v>
      </c>
      <c r="D86" s="3" t="s">
        <v>65</v>
      </c>
      <c r="E86" s="3" t="s">
        <v>66</v>
      </c>
      <c r="F86" s="3" t="s">
        <v>433</v>
      </c>
      <c r="G86" s="3" t="s">
        <v>434</v>
      </c>
      <c r="H86" s="3" t="s">
        <v>65</v>
      </c>
      <c r="I86" s="3">
        <v>3</v>
      </c>
      <c r="J86" s="3" t="s">
        <v>69</v>
      </c>
      <c r="K86" s="3" t="s">
        <v>135</v>
      </c>
      <c r="L86" s="3" t="s">
        <v>435</v>
      </c>
      <c r="M86" s="3" t="s">
        <v>89</v>
      </c>
      <c r="N86" s="3" t="s">
        <v>73</v>
      </c>
    </row>
    <row r="87" spans="1:14" ht="14.25">
      <c r="A87" s="3" t="s">
        <v>436</v>
      </c>
      <c r="B87" s="3" t="s">
        <v>437</v>
      </c>
      <c r="C87" s="3" t="s">
        <v>438</v>
      </c>
      <c r="D87" s="3" t="s">
        <v>65</v>
      </c>
      <c r="E87" s="3" t="s">
        <v>66</v>
      </c>
      <c r="F87" s="3" t="s">
        <v>439</v>
      </c>
      <c r="G87" s="3" t="s">
        <v>440</v>
      </c>
      <c r="H87" s="3" t="s">
        <v>65</v>
      </c>
      <c r="I87" s="3">
        <v>3</v>
      </c>
      <c r="J87" s="3" t="s">
        <v>69</v>
      </c>
      <c r="K87" s="3" t="s">
        <v>58</v>
      </c>
      <c r="L87" s="3" t="s">
        <v>441</v>
      </c>
      <c r="M87" s="3" t="s">
        <v>89</v>
      </c>
      <c r="N87" s="3" t="s">
        <v>73</v>
      </c>
    </row>
    <row r="88" spans="1:14" ht="14.25">
      <c r="A88" s="3" t="s">
        <v>442</v>
      </c>
      <c r="B88" s="3" t="s">
        <v>443</v>
      </c>
      <c r="C88" s="3" t="s">
        <v>444</v>
      </c>
      <c r="D88" s="3" t="s">
        <v>65</v>
      </c>
      <c r="E88" s="3" t="s">
        <v>66</v>
      </c>
      <c r="F88" s="3" t="s">
        <v>445</v>
      </c>
      <c r="G88" s="3" t="s">
        <v>446</v>
      </c>
      <c r="H88" s="3" t="s">
        <v>65</v>
      </c>
      <c r="I88" s="3">
        <v>4</v>
      </c>
      <c r="J88" s="3" t="s">
        <v>69</v>
      </c>
      <c r="K88" s="3" t="s">
        <v>58</v>
      </c>
      <c r="L88" s="3" t="s">
        <v>81</v>
      </c>
      <c r="M88" s="3" t="s">
        <v>104</v>
      </c>
      <c r="N88" s="3" t="s">
        <v>73</v>
      </c>
    </row>
    <row r="89" spans="1:14" ht="14.25">
      <c r="A89" s="3" t="s">
        <v>447</v>
      </c>
      <c r="B89" s="3" t="s">
        <v>448</v>
      </c>
      <c r="C89" s="3" t="s">
        <v>449</v>
      </c>
      <c r="D89" s="3" t="s">
        <v>65</v>
      </c>
      <c r="E89" s="3" t="s">
        <v>66</v>
      </c>
      <c r="F89" s="3" t="s">
        <v>450</v>
      </c>
      <c r="G89" s="3" t="s">
        <v>451</v>
      </c>
      <c r="H89" s="3" t="s">
        <v>65</v>
      </c>
      <c r="I89" s="3">
        <v>3</v>
      </c>
      <c r="J89" s="3" t="s">
        <v>69</v>
      </c>
      <c r="K89" s="3" t="s">
        <v>80</v>
      </c>
      <c r="L89" s="3" t="s">
        <v>81</v>
      </c>
      <c r="M89" s="3" t="s">
        <v>104</v>
      </c>
      <c r="N89" s="3" t="s">
        <v>73</v>
      </c>
    </row>
    <row r="90" spans="1:14" ht="14.25">
      <c r="A90" s="3" t="s">
        <v>457</v>
      </c>
      <c r="B90" s="3" t="s">
        <v>458</v>
      </c>
      <c r="C90" s="3" t="s">
        <v>459</v>
      </c>
      <c r="D90" s="3" t="s">
        <v>65</v>
      </c>
      <c r="E90" s="3" t="s">
        <v>66</v>
      </c>
      <c r="F90" s="3" t="s">
        <v>460</v>
      </c>
      <c r="G90" s="3" t="s">
        <v>461</v>
      </c>
      <c r="H90" s="3" t="s">
        <v>65</v>
      </c>
      <c r="I90" s="3">
        <v>4</v>
      </c>
      <c r="J90" s="3" t="s">
        <v>69</v>
      </c>
      <c r="K90" s="3" t="s">
        <v>135</v>
      </c>
      <c r="L90" s="3" t="s">
        <v>81</v>
      </c>
      <c r="M90" s="3" t="s">
        <v>104</v>
      </c>
      <c r="N90" s="3" t="s">
        <v>73</v>
      </c>
    </row>
    <row r="91" spans="1:14" ht="14.25">
      <c r="A91" s="3" t="s">
        <v>462</v>
      </c>
      <c r="B91" s="3" t="s">
        <v>463</v>
      </c>
      <c r="C91" s="3" t="s">
        <v>159</v>
      </c>
      <c r="D91" s="3" t="s">
        <v>464</v>
      </c>
      <c r="E91" s="3" t="s">
        <v>66</v>
      </c>
      <c r="F91" s="3" t="s">
        <v>465</v>
      </c>
      <c r="G91" s="3" t="s">
        <v>466</v>
      </c>
      <c r="H91" s="3" t="s">
        <v>65</v>
      </c>
      <c r="I91" s="3">
        <v>3</v>
      </c>
      <c r="J91" s="3" t="s">
        <v>69</v>
      </c>
      <c r="K91" s="3" t="s">
        <v>96</v>
      </c>
      <c r="L91" s="3" t="s">
        <v>467</v>
      </c>
      <c r="M91" s="3" t="s">
        <v>89</v>
      </c>
      <c r="N91" s="3" t="s">
        <v>73</v>
      </c>
    </row>
    <row r="92" spans="1:14" ht="14.25">
      <c r="A92" s="3" t="s">
        <v>473</v>
      </c>
      <c r="B92" s="3" t="s">
        <v>474</v>
      </c>
      <c r="C92" s="3" t="s">
        <v>475</v>
      </c>
      <c r="D92" s="3" t="s">
        <v>65</v>
      </c>
      <c r="E92" s="3" t="s">
        <v>66</v>
      </c>
      <c r="F92" s="3" t="s">
        <v>476</v>
      </c>
      <c r="G92" s="3" t="s">
        <v>477</v>
      </c>
      <c r="H92" s="3" t="s">
        <v>65</v>
      </c>
      <c r="I92" s="3">
        <v>3</v>
      </c>
      <c r="J92" s="3" t="s">
        <v>69</v>
      </c>
      <c r="K92" s="3" t="s">
        <v>58</v>
      </c>
      <c r="L92" s="3" t="s">
        <v>81</v>
      </c>
      <c r="M92" s="3" t="s">
        <v>104</v>
      </c>
      <c r="N92" s="3" t="s">
        <v>73</v>
      </c>
    </row>
    <row r="93" spans="1:14" ht="14.25">
      <c r="A93" s="3" t="s">
        <v>478</v>
      </c>
      <c r="B93" s="3" t="s">
        <v>479</v>
      </c>
      <c r="C93" s="3" t="s">
        <v>138</v>
      </c>
      <c r="D93" s="3" t="s">
        <v>480</v>
      </c>
      <c r="E93" s="3" t="s">
        <v>66</v>
      </c>
      <c r="F93" s="3" t="s">
        <v>481</v>
      </c>
      <c r="G93" s="3" t="s">
        <v>482</v>
      </c>
      <c r="H93" s="3" t="s">
        <v>65</v>
      </c>
      <c r="I93" s="3">
        <v>5</v>
      </c>
      <c r="J93" s="3" t="s">
        <v>69</v>
      </c>
      <c r="K93" s="3" t="s">
        <v>96</v>
      </c>
      <c r="L93" s="3" t="s">
        <v>483</v>
      </c>
      <c r="M93" s="3" t="s">
        <v>89</v>
      </c>
      <c r="N93" s="3" t="s">
        <v>73</v>
      </c>
    </row>
    <row r="94" spans="1:14" ht="14.25">
      <c r="A94" s="3" t="s">
        <v>484</v>
      </c>
      <c r="B94" s="3" t="s">
        <v>485</v>
      </c>
      <c r="C94" s="3" t="s">
        <v>486</v>
      </c>
      <c r="D94" s="3" t="s">
        <v>65</v>
      </c>
      <c r="E94" s="3" t="s">
        <v>66</v>
      </c>
      <c r="F94" s="3" t="s">
        <v>487</v>
      </c>
      <c r="G94" s="3" t="s">
        <v>488</v>
      </c>
      <c r="H94" s="3" t="s">
        <v>65</v>
      </c>
      <c r="I94" s="3">
        <v>4</v>
      </c>
      <c r="J94" s="3" t="s">
        <v>69</v>
      </c>
      <c r="K94" s="3" t="s">
        <v>80</v>
      </c>
      <c r="L94" s="3" t="s">
        <v>81</v>
      </c>
      <c r="M94" s="3" t="s">
        <v>104</v>
      </c>
      <c r="N94" s="3" t="s">
        <v>73</v>
      </c>
    </row>
    <row r="95" spans="1:14" ht="14.25">
      <c r="A95" s="3" t="s">
        <v>489</v>
      </c>
      <c r="B95" s="3" t="s">
        <v>490</v>
      </c>
      <c r="C95" s="3" t="s">
        <v>491</v>
      </c>
      <c r="D95" s="3" t="s">
        <v>65</v>
      </c>
      <c r="E95" s="3" t="s">
        <v>66</v>
      </c>
      <c r="F95" s="3" t="s">
        <v>492</v>
      </c>
      <c r="G95" s="3" t="s">
        <v>493</v>
      </c>
      <c r="H95" s="3" t="s">
        <v>65</v>
      </c>
      <c r="I95" s="3">
        <v>4</v>
      </c>
      <c r="J95" s="3" t="s">
        <v>69</v>
      </c>
      <c r="K95" s="3" t="s">
        <v>80</v>
      </c>
      <c r="L95" s="3" t="s">
        <v>81</v>
      </c>
      <c r="M95" s="3" t="s">
        <v>104</v>
      </c>
      <c r="N95" s="3" t="s">
        <v>73</v>
      </c>
    </row>
    <row r="96" spans="1:14" ht="14.25">
      <c r="A96" s="3" t="s">
        <v>494</v>
      </c>
      <c r="B96" s="3" t="s">
        <v>495</v>
      </c>
      <c r="C96" s="3" t="s">
        <v>150</v>
      </c>
      <c r="D96" s="3" t="s">
        <v>496</v>
      </c>
      <c r="E96" s="3" t="s">
        <v>66</v>
      </c>
      <c r="F96" s="3" t="s">
        <v>497</v>
      </c>
      <c r="G96" s="3" t="s">
        <v>498</v>
      </c>
      <c r="H96" s="3" t="s">
        <v>65</v>
      </c>
      <c r="I96" s="3">
        <v>4</v>
      </c>
      <c r="J96" s="3" t="s">
        <v>69</v>
      </c>
      <c r="K96" s="3" t="s">
        <v>135</v>
      </c>
      <c r="L96" s="3" t="s">
        <v>81</v>
      </c>
      <c r="M96" s="3" t="s">
        <v>104</v>
      </c>
      <c r="N96" s="3" t="s">
        <v>73</v>
      </c>
    </row>
    <row r="97" spans="1:14" ht="14.25">
      <c r="A97" s="3" t="s">
        <v>499</v>
      </c>
      <c r="B97" s="3" t="s">
        <v>500</v>
      </c>
      <c r="C97" s="3" t="s">
        <v>501</v>
      </c>
      <c r="D97" s="3" t="s">
        <v>65</v>
      </c>
      <c r="E97" s="3" t="s">
        <v>66</v>
      </c>
      <c r="F97" s="3" t="s">
        <v>502</v>
      </c>
      <c r="G97" s="3" t="s">
        <v>503</v>
      </c>
      <c r="H97" s="3" t="s">
        <v>65</v>
      </c>
      <c r="I97" s="3">
        <v>4</v>
      </c>
      <c r="J97" s="3" t="s">
        <v>69</v>
      </c>
      <c r="K97" s="3" t="s">
        <v>58</v>
      </c>
      <c r="L97" s="3" t="s">
        <v>385</v>
      </c>
      <c r="M97" s="3" t="s">
        <v>89</v>
      </c>
      <c r="N97" s="3" t="s">
        <v>73</v>
      </c>
    </row>
    <row r="98" spans="1:14" ht="14.25">
      <c r="A98" s="3" t="s">
        <v>504</v>
      </c>
      <c r="B98" s="3" t="s">
        <v>505</v>
      </c>
      <c r="C98" s="3" t="s">
        <v>506</v>
      </c>
      <c r="D98" s="3" t="s">
        <v>507</v>
      </c>
      <c r="E98" s="3" t="s">
        <v>66</v>
      </c>
      <c r="F98" s="3" t="s">
        <v>508</v>
      </c>
      <c r="G98" s="3" t="s">
        <v>509</v>
      </c>
      <c r="H98" s="3" t="s">
        <v>65</v>
      </c>
      <c r="I98" s="3">
        <v>3</v>
      </c>
      <c r="J98" s="3" t="s">
        <v>69</v>
      </c>
      <c r="K98" s="3" t="s">
        <v>80</v>
      </c>
      <c r="L98" s="3" t="s">
        <v>81</v>
      </c>
      <c r="M98" s="3" t="s">
        <v>104</v>
      </c>
      <c r="N98" s="3" t="s">
        <v>73</v>
      </c>
    </row>
    <row r="99" spans="1:14" ht="14.25">
      <c r="A99" s="3" t="s">
        <v>514</v>
      </c>
      <c r="B99" s="3" t="s">
        <v>515</v>
      </c>
      <c r="C99" s="3" t="s">
        <v>516</v>
      </c>
      <c r="D99" s="3" t="s">
        <v>65</v>
      </c>
      <c r="E99" s="3" t="s">
        <v>66</v>
      </c>
      <c r="F99" s="3" t="s">
        <v>517</v>
      </c>
      <c r="G99" s="3" t="s">
        <v>518</v>
      </c>
      <c r="H99" s="3" t="s">
        <v>65</v>
      </c>
      <c r="I99" s="3">
        <v>4</v>
      </c>
      <c r="J99" s="3" t="s">
        <v>69</v>
      </c>
      <c r="K99" s="3" t="s">
        <v>58</v>
      </c>
      <c r="L99" s="3" t="s">
        <v>81</v>
      </c>
      <c r="M99" s="3" t="s">
        <v>104</v>
      </c>
      <c r="N99" s="3" t="s">
        <v>73</v>
      </c>
    </row>
    <row r="100" spans="1:14" ht="14.25">
      <c r="A100" s="3" t="s">
        <v>519</v>
      </c>
      <c r="B100" s="3" t="s">
        <v>520</v>
      </c>
      <c r="C100" s="3" t="s">
        <v>107</v>
      </c>
      <c r="D100" s="3" t="s">
        <v>65</v>
      </c>
      <c r="E100" s="3" t="s">
        <v>66</v>
      </c>
      <c r="F100" s="3" t="s">
        <v>521</v>
      </c>
      <c r="G100" s="3" t="s">
        <v>522</v>
      </c>
      <c r="H100" s="3" t="s">
        <v>65</v>
      </c>
      <c r="I100" s="3">
        <v>3</v>
      </c>
      <c r="J100" s="3" t="s">
        <v>69</v>
      </c>
      <c r="K100" s="3" t="s">
        <v>135</v>
      </c>
      <c r="L100" s="3" t="s">
        <v>81</v>
      </c>
      <c r="M100" s="3" t="s">
        <v>104</v>
      </c>
      <c r="N100" s="3" t="s">
        <v>73</v>
      </c>
    </row>
    <row r="101" spans="1:14" ht="14.25">
      <c r="A101" s="3" t="s">
        <v>523</v>
      </c>
      <c r="B101" s="3" t="s">
        <v>524</v>
      </c>
      <c r="C101" s="3" t="s">
        <v>525</v>
      </c>
      <c r="D101" s="3" t="s">
        <v>65</v>
      </c>
      <c r="E101" s="3" t="s">
        <v>66</v>
      </c>
      <c r="F101" s="3" t="s">
        <v>526</v>
      </c>
      <c r="G101" s="3" t="s">
        <v>527</v>
      </c>
      <c r="H101" s="3" t="s">
        <v>65</v>
      </c>
      <c r="I101" s="3">
        <v>4</v>
      </c>
      <c r="J101" s="3" t="s">
        <v>69</v>
      </c>
      <c r="K101" s="3" t="s">
        <v>58</v>
      </c>
      <c r="L101" s="3" t="s">
        <v>528</v>
      </c>
      <c r="M101" s="3" t="s">
        <v>72</v>
      </c>
      <c r="N101" s="3" t="s">
        <v>73</v>
      </c>
    </row>
    <row r="102" spans="1:14" ht="14.25">
      <c r="A102" s="3" t="s">
        <v>529</v>
      </c>
      <c r="B102" s="3" t="s">
        <v>530</v>
      </c>
      <c r="C102" s="3" t="s">
        <v>531</v>
      </c>
      <c r="D102" s="3" t="s">
        <v>65</v>
      </c>
      <c r="E102" s="3" t="s">
        <v>66</v>
      </c>
      <c r="F102" s="3" t="s">
        <v>532</v>
      </c>
      <c r="G102" s="3" t="s">
        <v>533</v>
      </c>
      <c r="H102" s="3" t="s">
        <v>65</v>
      </c>
      <c r="I102" s="3">
        <v>3</v>
      </c>
      <c r="J102" s="3" t="s">
        <v>69</v>
      </c>
      <c r="K102" s="3" t="s">
        <v>58</v>
      </c>
      <c r="L102" s="3" t="s">
        <v>81</v>
      </c>
      <c r="M102" s="3" t="s">
        <v>104</v>
      </c>
      <c r="N102" s="3" t="s">
        <v>73</v>
      </c>
    </row>
    <row r="103" spans="1:14" ht="14.25">
      <c r="A103" s="3" t="s">
        <v>534</v>
      </c>
      <c r="B103" s="3" t="s">
        <v>535</v>
      </c>
      <c r="C103" s="3" t="s">
        <v>536</v>
      </c>
      <c r="D103" s="3" t="s">
        <v>65</v>
      </c>
      <c r="E103" s="3" t="s">
        <v>66</v>
      </c>
      <c r="F103" s="3" t="s">
        <v>537</v>
      </c>
      <c r="G103" s="3" t="s">
        <v>538</v>
      </c>
      <c r="H103" s="3" t="s">
        <v>65</v>
      </c>
      <c r="I103" s="3">
        <v>3</v>
      </c>
      <c r="J103" s="3" t="s">
        <v>69</v>
      </c>
      <c r="K103" s="3" t="s">
        <v>80</v>
      </c>
      <c r="L103" s="3" t="s">
        <v>81</v>
      </c>
      <c r="M103" s="3" t="s">
        <v>104</v>
      </c>
      <c r="N103" s="3" t="s">
        <v>73</v>
      </c>
    </row>
    <row r="104" spans="1:14" ht="14.25">
      <c r="A104" s="3" t="s">
        <v>539</v>
      </c>
      <c r="B104" s="3" t="s">
        <v>540</v>
      </c>
      <c r="C104" s="3" t="s">
        <v>541</v>
      </c>
      <c r="D104" s="3" t="s">
        <v>65</v>
      </c>
      <c r="E104" s="3" t="s">
        <v>66</v>
      </c>
      <c r="F104" s="3" t="s">
        <v>542</v>
      </c>
      <c r="G104" s="3" t="s">
        <v>543</v>
      </c>
      <c r="H104" s="3" t="s">
        <v>65</v>
      </c>
      <c r="I104" s="3">
        <v>3</v>
      </c>
      <c r="J104" s="3" t="s">
        <v>69</v>
      </c>
      <c r="K104" s="3" t="s">
        <v>58</v>
      </c>
      <c r="L104" s="3" t="s">
        <v>81</v>
      </c>
      <c r="M104" s="3" t="s">
        <v>544</v>
      </c>
      <c r="N104" s="3" t="s">
        <v>73</v>
      </c>
    </row>
    <row r="105" spans="1:14" ht="14.25">
      <c r="A105" s="3" t="s">
        <v>545</v>
      </c>
      <c r="B105" s="3" t="s">
        <v>546</v>
      </c>
      <c r="C105" s="3" t="s">
        <v>547</v>
      </c>
      <c r="D105" s="3">
        <v>2.2080000000000002</v>
      </c>
      <c r="E105" s="3" t="s">
        <v>66</v>
      </c>
      <c r="F105" s="3" t="s">
        <v>548</v>
      </c>
      <c r="G105" s="3" t="s">
        <v>549</v>
      </c>
      <c r="H105" s="3" t="s">
        <v>65</v>
      </c>
      <c r="I105" s="3">
        <v>3</v>
      </c>
      <c r="J105" s="3" t="s">
        <v>69</v>
      </c>
      <c r="K105" s="3" t="s">
        <v>135</v>
      </c>
      <c r="L105" s="3" t="s">
        <v>81</v>
      </c>
      <c r="M105" s="3" t="s">
        <v>104</v>
      </c>
      <c r="N105" s="3" t="s">
        <v>73</v>
      </c>
    </row>
    <row r="106" spans="1:14" ht="14.25">
      <c r="A106" s="3" t="s">
        <v>550</v>
      </c>
      <c r="B106" s="3" t="s">
        <v>551</v>
      </c>
      <c r="C106" s="3" t="s">
        <v>186</v>
      </c>
      <c r="D106" s="3" t="s">
        <v>65</v>
      </c>
      <c r="E106" s="3" t="s">
        <v>66</v>
      </c>
      <c r="F106" s="3" t="s">
        <v>552</v>
      </c>
      <c r="G106" s="3" t="s">
        <v>553</v>
      </c>
      <c r="H106" s="3" t="s">
        <v>65</v>
      </c>
      <c r="I106" s="3">
        <v>3</v>
      </c>
      <c r="J106" s="3" t="s">
        <v>69</v>
      </c>
      <c r="K106" s="3" t="s">
        <v>96</v>
      </c>
      <c r="L106" s="3" t="s">
        <v>81</v>
      </c>
      <c r="M106" s="3" t="s">
        <v>104</v>
      </c>
      <c r="N106" s="3" t="s">
        <v>73</v>
      </c>
    </row>
    <row r="107" spans="1:14" ht="14.25">
      <c r="A107" s="3" t="s">
        <v>560</v>
      </c>
      <c r="B107" s="3" t="s">
        <v>561</v>
      </c>
      <c r="C107" s="3" t="s">
        <v>562</v>
      </c>
      <c r="D107" s="3">
        <v>6.0830000000000002</v>
      </c>
      <c r="E107" s="3" t="s">
        <v>66</v>
      </c>
      <c r="F107" s="3" t="s">
        <v>563</v>
      </c>
      <c r="G107" s="3" t="s">
        <v>564</v>
      </c>
      <c r="H107" s="3" t="s">
        <v>65</v>
      </c>
      <c r="I107" s="3">
        <v>4</v>
      </c>
      <c r="J107" s="3" t="s">
        <v>69</v>
      </c>
      <c r="K107" s="3" t="s">
        <v>135</v>
      </c>
      <c r="L107" s="3" t="s">
        <v>565</v>
      </c>
      <c r="M107" s="3" t="s">
        <v>89</v>
      </c>
      <c r="N107" s="3" t="s">
        <v>73</v>
      </c>
    </row>
    <row r="108" spans="1:14" ht="14.25">
      <c r="A108" s="3" t="s">
        <v>571</v>
      </c>
      <c r="B108" s="3" t="s">
        <v>572</v>
      </c>
      <c r="C108" s="3" t="s">
        <v>573</v>
      </c>
      <c r="D108" s="3" t="s">
        <v>65</v>
      </c>
      <c r="E108" s="3" t="s">
        <v>66</v>
      </c>
      <c r="F108" s="3" t="s">
        <v>574</v>
      </c>
      <c r="G108" s="3" t="s">
        <v>575</v>
      </c>
      <c r="H108" s="3" t="s">
        <v>65</v>
      </c>
      <c r="I108" s="3">
        <v>4</v>
      </c>
      <c r="J108" s="3" t="s">
        <v>69</v>
      </c>
      <c r="K108" s="3" t="s">
        <v>58</v>
      </c>
      <c r="L108" s="3" t="s">
        <v>576</v>
      </c>
      <c r="M108" s="3" t="s">
        <v>89</v>
      </c>
      <c r="N108" s="3" t="s">
        <v>73</v>
      </c>
    </row>
    <row r="109" spans="1:14" ht="14.25">
      <c r="A109" s="3" t="s">
        <v>577</v>
      </c>
      <c r="B109" s="3" t="s">
        <v>578</v>
      </c>
      <c r="C109" s="3" t="s">
        <v>579</v>
      </c>
      <c r="D109" s="3" t="s">
        <v>65</v>
      </c>
      <c r="E109" s="3" t="s">
        <v>66</v>
      </c>
      <c r="F109" s="3" t="s">
        <v>580</v>
      </c>
      <c r="G109" s="3" t="s">
        <v>581</v>
      </c>
      <c r="H109" s="3" t="s">
        <v>65</v>
      </c>
      <c r="I109" s="3">
        <v>4</v>
      </c>
      <c r="J109" s="3" t="s">
        <v>69</v>
      </c>
      <c r="K109" s="3" t="s">
        <v>58</v>
      </c>
      <c r="L109" s="3" t="s">
        <v>582</v>
      </c>
      <c r="M109" s="3" t="s">
        <v>89</v>
      </c>
      <c r="N109" s="3" t="s">
        <v>73</v>
      </c>
    </row>
    <row r="110" spans="1:14" ht="14.25">
      <c r="A110" s="3" t="s">
        <v>583</v>
      </c>
      <c r="B110" s="3" t="s">
        <v>584</v>
      </c>
      <c r="C110" s="3" t="s">
        <v>585</v>
      </c>
      <c r="D110" s="3" t="s">
        <v>65</v>
      </c>
      <c r="E110" s="3" t="s">
        <v>66</v>
      </c>
      <c r="F110" s="3" t="s">
        <v>586</v>
      </c>
      <c r="G110" s="3" t="s">
        <v>587</v>
      </c>
      <c r="H110" s="3" t="s">
        <v>65</v>
      </c>
      <c r="I110" s="3">
        <v>4</v>
      </c>
      <c r="J110" s="3" t="s">
        <v>69</v>
      </c>
      <c r="K110" s="3" t="s">
        <v>58</v>
      </c>
      <c r="L110" s="3" t="s">
        <v>81</v>
      </c>
      <c r="M110" s="3" t="s">
        <v>104</v>
      </c>
      <c r="N110" s="3" t="s">
        <v>73</v>
      </c>
    </row>
    <row r="111" spans="1:14" ht="14.25">
      <c r="A111" s="3" t="s">
        <v>588</v>
      </c>
      <c r="B111" s="3" t="s">
        <v>589</v>
      </c>
      <c r="C111" s="3" t="s">
        <v>590</v>
      </c>
      <c r="D111" s="3" t="s">
        <v>65</v>
      </c>
      <c r="E111" s="3" t="s">
        <v>66</v>
      </c>
      <c r="F111" s="3" t="s">
        <v>591</v>
      </c>
      <c r="G111" s="3" t="s">
        <v>592</v>
      </c>
      <c r="H111" s="3" t="s">
        <v>65</v>
      </c>
      <c r="I111" s="3">
        <v>4</v>
      </c>
      <c r="J111" s="3" t="s">
        <v>69</v>
      </c>
      <c r="K111" s="3" t="s">
        <v>80</v>
      </c>
      <c r="L111" s="3" t="s">
        <v>81</v>
      </c>
      <c r="M111" s="3" t="s">
        <v>104</v>
      </c>
      <c r="N111" s="3" t="s">
        <v>73</v>
      </c>
    </row>
    <row r="112" spans="1:14" ht="14.25">
      <c r="A112" s="3" t="s">
        <v>593</v>
      </c>
      <c r="B112" s="3" t="s">
        <v>594</v>
      </c>
      <c r="C112" s="3" t="s">
        <v>174</v>
      </c>
      <c r="D112" s="3" t="s">
        <v>65</v>
      </c>
      <c r="E112" s="3" t="s">
        <v>66</v>
      </c>
      <c r="F112" s="3" t="s">
        <v>595</v>
      </c>
      <c r="G112" s="3" t="s">
        <v>596</v>
      </c>
      <c r="H112" s="3" t="s">
        <v>65</v>
      </c>
      <c r="I112" s="3">
        <v>5</v>
      </c>
      <c r="J112" s="3" t="s">
        <v>69</v>
      </c>
      <c r="K112" s="3" t="s">
        <v>80</v>
      </c>
      <c r="L112" s="3" t="s">
        <v>81</v>
      </c>
      <c r="M112" s="3" t="s">
        <v>104</v>
      </c>
      <c r="N112" s="3" t="s">
        <v>73</v>
      </c>
    </row>
    <row r="113" spans="1:14" ht="14.25">
      <c r="A113" s="3" t="s">
        <v>597</v>
      </c>
      <c r="B113" s="3" t="s">
        <v>598</v>
      </c>
      <c r="C113" s="3" t="s">
        <v>599</v>
      </c>
      <c r="D113" s="3" t="s">
        <v>65</v>
      </c>
      <c r="E113" s="3" t="s">
        <v>66</v>
      </c>
      <c r="F113" s="3" t="s">
        <v>600</v>
      </c>
      <c r="G113" s="3" t="s">
        <v>601</v>
      </c>
      <c r="H113" s="3" t="s">
        <v>65</v>
      </c>
      <c r="I113" s="3">
        <v>4</v>
      </c>
      <c r="J113" s="3" t="s">
        <v>69</v>
      </c>
      <c r="K113" s="3" t="s">
        <v>80</v>
      </c>
      <c r="L113" s="3" t="s">
        <v>81</v>
      </c>
      <c r="M113" s="3" t="s">
        <v>104</v>
      </c>
      <c r="N113" s="3" t="s">
        <v>73</v>
      </c>
    </row>
    <row r="114" spans="1:14" ht="14.25">
      <c r="A114" s="3" t="s">
        <v>602</v>
      </c>
      <c r="B114" s="3" t="s">
        <v>603</v>
      </c>
      <c r="C114" s="3" t="s">
        <v>138</v>
      </c>
      <c r="D114" s="3" t="s">
        <v>604</v>
      </c>
      <c r="E114" s="3" t="s">
        <v>66</v>
      </c>
      <c r="F114" s="3" t="s">
        <v>605</v>
      </c>
      <c r="G114" s="3" t="s">
        <v>606</v>
      </c>
      <c r="H114" s="3" t="s">
        <v>65</v>
      </c>
      <c r="I114" s="3">
        <v>4</v>
      </c>
      <c r="J114" s="3" t="s">
        <v>69</v>
      </c>
      <c r="K114" s="3" t="s">
        <v>135</v>
      </c>
      <c r="L114" s="3" t="s">
        <v>435</v>
      </c>
      <c r="M114" s="3" t="s">
        <v>89</v>
      </c>
      <c r="N114" s="3" t="s">
        <v>73</v>
      </c>
    </row>
    <row r="115" spans="1:14" ht="14.25">
      <c r="A115" s="3" t="s">
        <v>607</v>
      </c>
      <c r="B115" s="3" t="s">
        <v>608</v>
      </c>
      <c r="C115" s="3" t="s">
        <v>159</v>
      </c>
      <c r="D115" s="3" t="s">
        <v>65</v>
      </c>
      <c r="E115" s="3" t="s">
        <v>66</v>
      </c>
      <c r="F115" s="3" t="s">
        <v>609</v>
      </c>
      <c r="G115" s="3" t="s">
        <v>610</v>
      </c>
      <c r="H115" s="3" t="s">
        <v>65</v>
      </c>
      <c r="I115" s="3">
        <v>4</v>
      </c>
      <c r="J115" s="3" t="s">
        <v>69</v>
      </c>
      <c r="K115" s="3" t="s">
        <v>135</v>
      </c>
      <c r="L115" s="3" t="s">
        <v>81</v>
      </c>
      <c r="M115" s="3" t="s">
        <v>104</v>
      </c>
      <c r="N115" s="3" t="s">
        <v>73</v>
      </c>
    </row>
    <row r="116" spans="1:14" ht="14.25">
      <c r="A116" s="3" t="s">
        <v>611</v>
      </c>
      <c r="B116" s="3" t="s">
        <v>612</v>
      </c>
      <c r="C116" s="3" t="s">
        <v>613</v>
      </c>
      <c r="D116" s="3" t="s">
        <v>65</v>
      </c>
      <c r="E116" s="3" t="s">
        <v>66</v>
      </c>
      <c r="F116" s="3" t="s">
        <v>614</v>
      </c>
      <c r="G116" s="3" t="s">
        <v>615</v>
      </c>
      <c r="H116" s="3" t="s">
        <v>65</v>
      </c>
      <c r="I116" s="3">
        <v>4</v>
      </c>
      <c r="J116" s="3" t="s">
        <v>69</v>
      </c>
      <c r="K116" s="3" t="s">
        <v>96</v>
      </c>
      <c r="L116" s="3" t="s">
        <v>81</v>
      </c>
      <c r="M116" s="3" t="s">
        <v>104</v>
      </c>
      <c r="N116" s="3" t="s">
        <v>73</v>
      </c>
    </row>
    <row r="117" spans="1:14" ht="14.25">
      <c r="A117" s="3" t="s">
        <v>616</v>
      </c>
      <c r="B117" s="3" t="s">
        <v>617</v>
      </c>
      <c r="C117" s="3" t="s">
        <v>618</v>
      </c>
      <c r="D117" s="3" t="s">
        <v>65</v>
      </c>
      <c r="E117" s="3" t="s">
        <v>66</v>
      </c>
      <c r="F117" s="3" t="s">
        <v>619</v>
      </c>
      <c r="G117" s="3" t="s">
        <v>620</v>
      </c>
      <c r="H117" s="3" t="s">
        <v>65</v>
      </c>
      <c r="I117" s="3">
        <v>4</v>
      </c>
      <c r="J117" s="3" t="s">
        <v>69</v>
      </c>
      <c r="K117" s="3" t="s">
        <v>80</v>
      </c>
      <c r="L117" s="3" t="s">
        <v>81</v>
      </c>
      <c r="M117" s="3" t="s">
        <v>104</v>
      </c>
      <c r="N117" s="3" t="s">
        <v>73</v>
      </c>
    </row>
    <row r="118" spans="1:14" ht="14.25">
      <c r="A118" s="3" t="s">
        <v>621</v>
      </c>
      <c r="B118" s="3" t="s">
        <v>622</v>
      </c>
      <c r="C118" s="3" t="s">
        <v>623</v>
      </c>
      <c r="D118" s="3" t="s">
        <v>65</v>
      </c>
      <c r="E118" s="3" t="s">
        <v>66</v>
      </c>
      <c r="F118" s="3" t="s">
        <v>624</v>
      </c>
      <c r="G118" s="3" t="s">
        <v>625</v>
      </c>
      <c r="H118" s="3" t="s">
        <v>65</v>
      </c>
      <c r="I118" s="3">
        <v>4</v>
      </c>
      <c r="J118" s="3" t="s">
        <v>69</v>
      </c>
      <c r="K118" s="3" t="s">
        <v>80</v>
      </c>
      <c r="L118" s="3" t="s">
        <v>81</v>
      </c>
      <c r="M118" s="3" t="s">
        <v>104</v>
      </c>
      <c r="N118" s="3" t="s">
        <v>73</v>
      </c>
    </row>
    <row r="119" spans="1:14" ht="14.25">
      <c r="A119" s="3" t="s">
        <v>626</v>
      </c>
      <c r="B119" s="3" t="s">
        <v>627</v>
      </c>
      <c r="C119" s="3" t="s">
        <v>628</v>
      </c>
      <c r="D119" s="3" t="s">
        <v>65</v>
      </c>
      <c r="E119" s="3" t="s">
        <v>66</v>
      </c>
      <c r="F119" s="3" t="s">
        <v>629</v>
      </c>
      <c r="G119" s="3" t="s">
        <v>630</v>
      </c>
      <c r="H119" s="3" t="s">
        <v>65</v>
      </c>
      <c r="I119" s="3">
        <v>4</v>
      </c>
      <c r="J119" s="3" t="s">
        <v>69</v>
      </c>
      <c r="K119" s="3" t="s">
        <v>121</v>
      </c>
      <c r="L119" s="3" t="s">
        <v>81</v>
      </c>
      <c r="M119" s="3" t="s">
        <v>631</v>
      </c>
      <c r="N119" s="3" t="s">
        <v>73</v>
      </c>
    </row>
    <row r="120" spans="1:14" ht="14.25">
      <c r="A120" s="3" t="s">
        <v>632</v>
      </c>
      <c r="B120" s="3" t="s">
        <v>633</v>
      </c>
      <c r="C120" s="3" t="s">
        <v>634</v>
      </c>
      <c r="D120" s="3" t="s">
        <v>65</v>
      </c>
      <c r="E120" s="3" t="s">
        <v>66</v>
      </c>
      <c r="F120" s="3" t="s">
        <v>635</v>
      </c>
      <c r="G120" s="3" t="s">
        <v>636</v>
      </c>
      <c r="H120" s="3" t="s">
        <v>65</v>
      </c>
      <c r="I120" s="3">
        <v>4</v>
      </c>
      <c r="J120" s="3" t="s">
        <v>69</v>
      </c>
      <c r="K120" s="3" t="s">
        <v>58</v>
      </c>
      <c r="L120" s="3" t="s">
        <v>81</v>
      </c>
      <c r="M120" s="3" t="s">
        <v>104</v>
      </c>
      <c r="N120" s="3" t="s">
        <v>73</v>
      </c>
    </row>
    <row r="121" spans="1:14" ht="14.25">
      <c r="A121" s="3" t="s">
        <v>637</v>
      </c>
      <c r="B121" s="3" t="s">
        <v>638</v>
      </c>
      <c r="C121" s="3" t="s">
        <v>639</v>
      </c>
      <c r="D121" s="3" t="s">
        <v>65</v>
      </c>
      <c r="E121" s="3" t="s">
        <v>66</v>
      </c>
      <c r="F121" s="3" t="s">
        <v>640</v>
      </c>
      <c r="G121" s="3" t="s">
        <v>641</v>
      </c>
      <c r="H121" s="3" t="s">
        <v>65</v>
      </c>
      <c r="I121" s="3">
        <v>4</v>
      </c>
      <c r="J121" s="3" t="s">
        <v>69</v>
      </c>
      <c r="K121" s="3" t="s">
        <v>80</v>
      </c>
      <c r="L121" s="3" t="s">
        <v>81</v>
      </c>
      <c r="M121" s="3" t="s">
        <v>104</v>
      </c>
      <c r="N121" s="3" t="s">
        <v>73</v>
      </c>
    </row>
    <row r="122" spans="1:14" ht="14.25">
      <c r="A122" s="3" t="s">
        <v>642</v>
      </c>
      <c r="B122" s="3" t="s">
        <v>643</v>
      </c>
      <c r="C122" s="3" t="s">
        <v>644</v>
      </c>
      <c r="D122" s="3" t="s">
        <v>65</v>
      </c>
      <c r="E122" s="3" t="s">
        <v>66</v>
      </c>
      <c r="F122" s="3" t="s">
        <v>645</v>
      </c>
      <c r="G122" s="3" t="s">
        <v>646</v>
      </c>
      <c r="H122" s="3" t="s">
        <v>65</v>
      </c>
      <c r="I122" s="3">
        <v>4</v>
      </c>
      <c r="J122" s="3" t="s">
        <v>69</v>
      </c>
      <c r="K122" s="3" t="s">
        <v>80</v>
      </c>
      <c r="L122" s="3" t="s">
        <v>81</v>
      </c>
      <c r="M122" s="3" t="s">
        <v>104</v>
      </c>
      <c r="N122" s="3" t="s">
        <v>73</v>
      </c>
    </row>
    <row r="123" spans="1:14" ht="14.25">
      <c r="A123" s="3" t="s">
        <v>647</v>
      </c>
      <c r="B123" s="3" t="s">
        <v>627</v>
      </c>
      <c r="C123" s="3" t="s">
        <v>648</v>
      </c>
      <c r="D123" s="3" t="s">
        <v>65</v>
      </c>
      <c r="E123" s="3" t="s">
        <v>66</v>
      </c>
      <c r="F123" s="3" t="s">
        <v>649</v>
      </c>
      <c r="G123" s="3" t="s">
        <v>650</v>
      </c>
      <c r="H123" s="3" t="s">
        <v>65</v>
      </c>
      <c r="I123" s="3">
        <v>4</v>
      </c>
      <c r="J123" s="3" t="s">
        <v>69</v>
      </c>
      <c r="K123" s="3" t="s">
        <v>80</v>
      </c>
      <c r="L123" s="3" t="s">
        <v>81</v>
      </c>
      <c r="M123" s="3" t="s">
        <v>104</v>
      </c>
      <c r="N123" s="3" t="s">
        <v>73</v>
      </c>
    </row>
    <row r="124" spans="1:14" ht="14.25">
      <c r="A124" s="3" t="s">
        <v>651</v>
      </c>
      <c r="B124" s="3" t="s">
        <v>652</v>
      </c>
      <c r="C124" s="3" t="s">
        <v>653</v>
      </c>
      <c r="D124" s="3" t="s">
        <v>654</v>
      </c>
      <c r="E124" s="3" t="s">
        <v>66</v>
      </c>
      <c r="F124" s="3" t="s">
        <v>655</v>
      </c>
      <c r="G124" s="3" t="s">
        <v>656</v>
      </c>
      <c r="H124" s="3" t="s">
        <v>65</v>
      </c>
      <c r="I124" s="3">
        <v>4</v>
      </c>
      <c r="J124" s="3" t="s">
        <v>69</v>
      </c>
      <c r="K124" s="3" t="s">
        <v>80</v>
      </c>
      <c r="L124" s="3" t="s">
        <v>657</v>
      </c>
      <c r="M124" s="3" t="s">
        <v>89</v>
      </c>
      <c r="N124" s="3" t="s">
        <v>73</v>
      </c>
    </row>
    <row r="125" spans="1:14" ht="14.25">
      <c r="A125" s="3" t="s">
        <v>658</v>
      </c>
      <c r="B125" s="3" t="s">
        <v>659</v>
      </c>
      <c r="C125" s="3" t="s">
        <v>628</v>
      </c>
      <c r="D125" s="3" t="s">
        <v>65</v>
      </c>
      <c r="E125" s="3" t="s">
        <v>66</v>
      </c>
      <c r="F125" s="3" t="s">
        <v>660</v>
      </c>
      <c r="G125" s="3" t="s">
        <v>661</v>
      </c>
      <c r="H125" s="3" t="s">
        <v>65</v>
      </c>
      <c r="I125" s="3">
        <v>4</v>
      </c>
      <c r="J125" s="3" t="s">
        <v>69</v>
      </c>
      <c r="K125" s="3" t="s">
        <v>121</v>
      </c>
      <c r="L125" s="3" t="s">
        <v>81</v>
      </c>
      <c r="M125" s="3" t="s">
        <v>662</v>
      </c>
      <c r="N125" s="3" t="s">
        <v>73</v>
      </c>
    </row>
    <row r="126" spans="1:14" ht="14.25">
      <c r="A126" s="3" t="s">
        <v>663</v>
      </c>
      <c r="B126" s="3" t="s">
        <v>664</v>
      </c>
      <c r="C126" s="3" t="s">
        <v>665</v>
      </c>
      <c r="D126" s="3" t="s">
        <v>65</v>
      </c>
      <c r="E126" s="3" t="s">
        <v>66</v>
      </c>
      <c r="F126" s="3" t="s">
        <v>666</v>
      </c>
      <c r="G126" s="3" t="s">
        <v>667</v>
      </c>
      <c r="H126" s="3" t="s">
        <v>65</v>
      </c>
      <c r="I126" s="3">
        <v>3</v>
      </c>
      <c r="J126" s="3" t="s">
        <v>69</v>
      </c>
      <c r="K126" s="3" t="s">
        <v>80</v>
      </c>
      <c r="L126" s="3" t="s">
        <v>81</v>
      </c>
      <c r="M126" s="3" t="s">
        <v>104</v>
      </c>
      <c r="N126" s="3" t="s">
        <v>73</v>
      </c>
    </row>
    <row r="127" spans="1:14" ht="14.25">
      <c r="A127" s="3" t="s">
        <v>672</v>
      </c>
      <c r="B127" s="3" t="s">
        <v>673</v>
      </c>
      <c r="C127" s="3" t="s">
        <v>674</v>
      </c>
      <c r="D127" s="3" t="s">
        <v>65</v>
      </c>
      <c r="E127" s="3" t="s">
        <v>66</v>
      </c>
      <c r="F127" s="3" t="s">
        <v>675</v>
      </c>
      <c r="G127" s="3" t="s">
        <v>676</v>
      </c>
      <c r="H127" s="3" t="s">
        <v>65</v>
      </c>
      <c r="I127" s="3">
        <v>4</v>
      </c>
      <c r="J127" s="3" t="s">
        <v>69</v>
      </c>
      <c r="K127" s="3" t="s">
        <v>115</v>
      </c>
      <c r="L127" s="3" t="s">
        <v>81</v>
      </c>
      <c r="M127" s="3" t="s">
        <v>104</v>
      </c>
      <c r="N127" s="3" t="s">
        <v>73</v>
      </c>
    </row>
    <row r="128" spans="1:14" ht="14.25">
      <c r="A128" s="3" t="s">
        <v>677</v>
      </c>
      <c r="B128" s="3" t="s">
        <v>678</v>
      </c>
      <c r="C128" s="3" t="s">
        <v>679</v>
      </c>
      <c r="D128" s="3" t="s">
        <v>65</v>
      </c>
      <c r="E128" s="3" t="s">
        <v>66</v>
      </c>
      <c r="F128" s="3" t="s">
        <v>680</v>
      </c>
      <c r="G128" s="3" t="s">
        <v>681</v>
      </c>
      <c r="H128" s="3" t="s">
        <v>65</v>
      </c>
      <c r="I128" s="3">
        <v>4</v>
      </c>
      <c r="J128" s="3" t="s">
        <v>69</v>
      </c>
      <c r="K128" s="3" t="s">
        <v>58</v>
      </c>
      <c r="L128" s="3" t="s">
        <v>81</v>
      </c>
      <c r="M128" s="3" t="s">
        <v>104</v>
      </c>
      <c r="N128" s="3" t="s">
        <v>73</v>
      </c>
    </row>
    <row r="129" spans="1:14" ht="14.25">
      <c r="A129" s="3" t="s">
        <v>682</v>
      </c>
      <c r="B129" s="3" t="s">
        <v>683</v>
      </c>
      <c r="C129" s="3" t="s">
        <v>684</v>
      </c>
      <c r="D129" s="3" t="s">
        <v>65</v>
      </c>
      <c r="E129" s="3" t="s">
        <v>66</v>
      </c>
      <c r="F129" s="3" t="s">
        <v>685</v>
      </c>
      <c r="G129" s="3" t="s">
        <v>686</v>
      </c>
      <c r="H129" s="3" t="s">
        <v>65</v>
      </c>
      <c r="I129" s="3">
        <v>5</v>
      </c>
      <c r="J129" s="3" t="s">
        <v>69</v>
      </c>
      <c r="K129" s="3" t="s">
        <v>115</v>
      </c>
      <c r="L129" s="3" t="s">
        <v>81</v>
      </c>
      <c r="M129" s="3" t="s">
        <v>104</v>
      </c>
      <c r="N129" s="3" t="s">
        <v>73</v>
      </c>
    </row>
    <row r="130" spans="1:14" ht="14.25">
      <c r="A130" s="3" t="s">
        <v>691</v>
      </c>
      <c r="B130" s="3" t="s">
        <v>692</v>
      </c>
      <c r="C130" s="3" t="s">
        <v>693</v>
      </c>
      <c r="D130" s="3" t="s">
        <v>65</v>
      </c>
      <c r="E130" s="3" t="s">
        <v>66</v>
      </c>
      <c r="F130" s="3" t="s">
        <v>694</v>
      </c>
      <c r="G130" s="3" t="s">
        <v>695</v>
      </c>
      <c r="H130" s="3" t="s">
        <v>65</v>
      </c>
      <c r="I130" s="3">
        <v>3</v>
      </c>
      <c r="J130" s="3" t="s">
        <v>69</v>
      </c>
      <c r="K130" s="3" t="s">
        <v>135</v>
      </c>
      <c r="L130" s="3" t="s">
        <v>81</v>
      </c>
      <c r="M130" s="3" t="s">
        <v>104</v>
      </c>
      <c r="N130" s="3" t="s">
        <v>73</v>
      </c>
    </row>
    <row r="131" spans="1:14" ht="14.25">
      <c r="A131" s="3" t="s">
        <v>696</v>
      </c>
      <c r="B131" s="3" t="s">
        <v>697</v>
      </c>
      <c r="C131" s="3" t="s">
        <v>698</v>
      </c>
      <c r="D131" s="3" t="s">
        <v>65</v>
      </c>
      <c r="E131" s="3" t="s">
        <v>66</v>
      </c>
      <c r="F131" s="3" t="s">
        <v>699</v>
      </c>
      <c r="G131" s="3" t="s">
        <v>700</v>
      </c>
      <c r="H131" s="3" t="s">
        <v>65</v>
      </c>
      <c r="I131" s="3">
        <v>3</v>
      </c>
      <c r="J131" s="3" t="s">
        <v>69</v>
      </c>
      <c r="K131" s="3" t="s">
        <v>80</v>
      </c>
      <c r="L131" s="3" t="s">
        <v>81</v>
      </c>
      <c r="M131" s="3" t="s">
        <v>104</v>
      </c>
      <c r="N131" s="3" t="s">
        <v>73</v>
      </c>
    </row>
    <row r="132" spans="1:14" ht="14.25">
      <c r="A132" s="3" t="s">
        <v>701</v>
      </c>
      <c r="B132" s="3" t="s">
        <v>702</v>
      </c>
      <c r="C132" s="3" t="s">
        <v>703</v>
      </c>
      <c r="D132" s="3" t="s">
        <v>65</v>
      </c>
      <c r="E132" s="3" t="s">
        <v>66</v>
      </c>
      <c r="F132" s="3" t="s">
        <v>704</v>
      </c>
      <c r="G132" s="3" t="s">
        <v>705</v>
      </c>
      <c r="H132" s="3" t="s">
        <v>65</v>
      </c>
      <c r="I132" s="3">
        <v>4</v>
      </c>
      <c r="J132" s="3" t="s">
        <v>69</v>
      </c>
      <c r="K132" s="3" t="s">
        <v>58</v>
      </c>
      <c r="L132" s="3" t="s">
        <v>81</v>
      </c>
      <c r="M132" s="3" t="s">
        <v>82</v>
      </c>
      <c r="N132" s="3" t="s">
        <v>73</v>
      </c>
    </row>
    <row r="133" spans="1:14" ht="14.25">
      <c r="A133" s="3" t="s">
        <v>729</v>
      </c>
      <c r="B133" s="3" t="s">
        <v>730</v>
      </c>
      <c r="C133" s="3" t="s">
        <v>731</v>
      </c>
      <c r="D133" s="3" t="s">
        <v>65</v>
      </c>
      <c r="E133" s="3" t="s">
        <v>66</v>
      </c>
      <c r="F133" s="3" t="s">
        <v>732</v>
      </c>
      <c r="G133" s="3" t="s">
        <v>733</v>
      </c>
      <c r="H133" s="3" t="s">
        <v>65</v>
      </c>
      <c r="I133" s="3">
        <v>4</v>
      </c>
      <c r="J133" s="3" t="s">
        <v>69</v>
      </c>
      <c r="K133" s="3" t="s">
        <v>58</v>
      </c>
      <c r="L133" s="3" t="s">
        <v>81</v>
      </c>
      <c r="M133" s="3" t="s">
        <v>104</v>
      </c>
      <c r="N133" s="3" t="s">
        <v>73</v>
      </c>
    </row>
    <row r="134" spans="1:14" ht="14.25">
      <c r="A134" s="3" t="s">
        <v>734</v>
      </c>
      <c r="B134" s="3" t="s">
        <v>735</v>
      </c>
      <c r="C134" s="3" t="s">
        <v>92</v>
      </c>
      <c r="D134" s="3" t="s">
        <v>65</v>
      </c>
      <c r="E134" s="3" t="s">
        <v>66</v>
      </c>
      <c r="F134" s="3" t="s">
        <v>736</v>
      </c>
      <c r="G134" s="3" t="s">
        <v>737</v>
      </c>
      <c r="H134" s="3" t="s">
        <v>65</v>
      </c>
      <c r="I134" s="3">
        <v>5</v>
      </c>
      <c r="J134" s="3" t="s">
        <v>69</v>
      </c>
      <c r="K134" s="3" t="s">
        <v>96</v>
      </c>
      <c r="L134" s="3" t="s">
        <v>467</v>
      </c>
      <c r="M134" s="3" t="s">
        <v>89</v>
      </c>
      <c r="N134" s="3" t="s">
        <v>73</v>
      </c>
    </row>
    <row r="135" spans="1:14" ht="14.25">
      <c r="A135" s="3" t="s">
        <v>738</v>
      </c>
      <c r="B135" s="3" t="s">
        <v>738</v>
      </c>
      <c r="C135" s="3" t="s">
        <v>739</v>
      </c>
      <c r="D135" s="3" t="s">
        <v>65</v>
      </c>
      <c r="E135" s="3" t="s">
        <v>66</v>
      </c>
      <c r="F135" s="3" t="s">
        <v>740</v>
      </c>
      <c r="G135" s="3" t="s">
        <v>741</v>
      </c>
      <c r="H135" s="3" t="s">
        <v>65</v>
      </c>
      <c r="I135" s="3">
        <v>4</v>
      </c>
      <c r="J135" s="3" t="s">
        <v>69</v>
      </c>
      <c r="K135" s="3" t="s">
        <v>58</v>
      </c>
      <c r="L135" s="3" t="s">
        <v>81</v>
      </c>
      <c r="M135" s="3" t="s">
        <v>104</v>
      </c>
      <c r="N135" s="3" t="s">
        <v>73</v>
      </c>
    </row>
    <row r="136" spans="1:14" ht="14.25">
      <c r="A136" s="3" t="s">
        <v>742</v>
      </c>
      <c r="B136" s="3" t="s">
        <v>743</v>
      </c>
      <c r="C136" s="3" t="s">
        <v>107</v>
      </c>
      <c r="D136" s="3" t="s">
        <v>744</v>
      </c>
      <c r="E136" s="3" t="s">
        <v>66</v>
      </c>
      <c r="F136" s="3" t="s">
        <v>745</v>
      </c>
      <c r="G136" s="3" t="s">
        <v>746</v>
      </c>
      <c r="H136" s="3" t="s">
        <v>65</v>
      </c>
      <c r="I136" s="3">
        <v>3</v>
      </c>
      <c r="J136" s="3" t="s">
        <v>69</v>
      </c>
      <c r="K136" s="3" t="s">
        <v>96</v>
      </c>
      <c r="L136" s="3" t="s">
        <v>81</v>
      </c>
      <c r="M136" s="3" t="s">
        <v>104</v>
      </c>
      <c r="N136" s="3" t="s">
        <v>73</v>
      </c>
    </row>
    <row r="137" spans="1:14" ht="14.25">
      <c r="A137" s="3" t="s">
        <v>747</v>
      </c>
      <c r="B137" s="3" t="s">
        <v>524</v>
      </c>
      <c r="C137" s="3" t="s">
        <v>525</v>
      </c>
      <c r="D137" s="3" t="s">
        <v>65</v>
      </c>
      <c r="E137" s="3" t="s">
        <v>66</v>
      </c>
      <c r="F137" s="3" t="s">
        <v>748</v>
      </c>
      <c r="G137" s="3" t="s">
        <v>527</v>
      </c>
      <c r="H137" s="3" t="s">
        <v>65</v>
      </c>
      <c r="I137" s="3">
        <v>4</v>
      </c>
      <c r="J137" s="3" t="s">
        <v>69</v>
      </c>
      <c r="K137" s="3" t="s">
        <v>58</v>
      </c>
      <c r="L137" s="3" t="s">
        <v>528</v>
      </c>
      <c r="M137" s="3" t="s">
        <v>72</v>
      </c>
      <c r="N137" s="3" t="s">
        <v>73</v>
      </c>
    </row>
    <row r="138" spans="1:14" ht="14.25">
      <c r="A138" s="3" t="s">
        <v>749</v>
      </c>
      <c r="B138" s="3" t="s">
        <v>750</v>
      </c>
      <c r="C138" s="3" t="s">
        <v>751</v>
      </c>
      <c r="D138" s="3" t="s">
        <v>752</v>
      </c>
      <c r="E138" s="3" t="s">
        <v>66</v>
      </c>
      <c r="F138" s="3" t="s">
        <v>753</v>
      </c>
      <c r="G138" s="3" t="s">
        <v>754</v>
      </c>
      <c r="H138" s="3" t="s">
        <v>65</v>
      </c>
      <c r="I138" s="3">
        <v>4</v>
      </c>
      <c r="J138" s="3" t="s">
        <v>69</v>
      </c>
      <c r="K138" s="3" t="s">
        <v>135</v>
      </c>
      <c r="L138" s="3" t="s">
        <v>81</v>
      </c>
      <c r="M138" s="3" t="s">
        <v>104</v>
      </c>
      <c r="N138" s="3" t="s">
        <v>73</v>
      </c>
    </row>
    <row r="139" spans="1:14" ht="14.25">
      <c r="A139" s="3" t="s">
        <v>755</v>
      </c>
      <c r="B139" s="3" t="s">
        <v>756</v>
      </c>
      <c r="C139" s="3" t="s">
        <v>757</v>
      </c>
      <c r="D139" s="3" t="s">
        <v>758</v>
      </c>
      <c r="E139" s="3" t="s">
        <v>66</v>
      </c>
      <c r="F139" s="3" t="s">
        <v>759</v>
      </c>
      <c r="G139" s="3" t="s">
        <v>760</v>
      </c>
      <c r="H139" s="3" t="s">
        <v>65</v>
      </c>
      <c r="I139" s="3">
        <v>4</v>
      </c>
      <c r="J139" s="3" t="s">
        <v>69</v>
      </c>
      <c r="K139" s="3" t="s">
        <v>96</v>
      </c>
      <c r="L139" s="3" t="s">
        <v>761</v>
      </c>
      <c r="M139" s="3" t="s">
        <v>89</v>
      </c>
      <c r="N139" s="3" t="s">
        <v>73</v>
      </c>
    </row>
    <row r="140" spans="1:14" ht="14.25">
      <c r="A140" s="3" t="s">
        <v>762</v>
      </c>
      <c r="B140" s="3" t="s">
        <v>227</v>
      </c>
      <c r="C140" s="3" t="s">
        <v>762</v>
      </c>
      <c r="D140" s="3" t="s">
        <v>65</v>
      </c>
      <c r="E140" s="3" t="s">
        <v>66</v>
      </c>
      <c r="F140" s="3" t="s">
        <v>763</v>
      </c>
      <c r="G140" s="3" t="s">
        <v>764</v>
      </c>
      <c r="H140" s="3" t="s">
        <v>65</v>
      </c>
      <c r="I140" s="3">
        <v>3</v>
      </c>
      <c r="J140" s="3" t="s">
        <v>69</v>
      </c>
      <c r="K140" s="3" t="s">
        <v>80</v>
      </c>
      <c r="L140" s="3" t="s">
        <v>81</v>
      </c>
      <c r="M140" s="3" t="s">
        <v>104</v>
      </c>
      <c r="N140" s="3" t="s">
        <v>73</v>
      </c>
    </row>
    <row r="141" spans="1:14" ht="14.25">
      <c r="A141" s="3" t="s">
        <v>769</v>
      </c>
      <c r="B141" s="3" t="s">
        <v>770</v>
      </c>
      <c r="C141" s="3" t="s">
        <v>99</v>
      </c>
      <c r="D141" s="3">
        <v>13.551</v>
      </c>
      <c r="E141" s="3" t="s">
        <v>66</v>
      </c>
      <c r="F141" s="3" t="s">
        <v>771</v>
      </c>
      <c r="G141" s="3" t="s">
        <v>772</v>
      </c>
      <c r="H141" s="3" t="s">
        <v>65</v>
      </c>
      <c r="I141" s="3">
        <v>3</v>
      </c>
      <c r="J141" s="3" t="s">
        <v>69</v>
      </c>
      <c r="K141" s="3" t="s">
        <v>96</v>
      </c>
      <c r="L141" s="3" t="s">
        <v>81</v>
      </c>
      <c r="M141" s="3" t="s">
        <v>104</v>
      </c>
      <c r="N141" s="3" t="s">
        <v>73</v>
      </c>
    </row>
    <row r="142" spans="1:14" ht="14.25">
      <c r="A142" s="3" t="s">
        <v>773</v>
      </c>
      <c r="B142" s="3" t="s">
        <v>774</v>
      </c>
      <c r="C142" s="3" t="s">
        <v>99</v>
      </c>
      <c r="D142" s="3" t="s">
        <v>775</v>
      </c>
      <c r="E142" s="3" t="s">
        <v>66</v>
      </c>
      <c r="F142" s="3" t="s">
        <v>776</v>
      </c>
      <c r="G142" s="3" t="s">
        <v>777</v>
      </c>
      <c r="H142" s="3" t="s">
        <v>65</v>
      </c>
      <c r="I142" s="3">
        <v>3</v>
      </c>
      <c r="J142" s="3" t="s">
        <v>69</v>
      </c>
      <c r="K142" s="3" t="s">
        <v>96</v>
      </c>
      <c r="L142" s="3" t="s">
        <v>81</v>
      </c>
      <c r="M142" s="3" t="s">
        <v>104</v>
      </c>
      <c r="N142" s="3" t="s">
        <v>73</v>
      </c>
    </row>
    <row r="143" spans="1:14" ht="14.25">
      <c r="A143" s="3" t="s">
        <v>782</v>
      </c>
      <c r="B143" s="3" t="s">
        <v>524</v>
      </c>
      <c r="C143" s="3" t="s">
        <v>783</v>
      </c>
      <c r="D143" s="3" t="s">
        <v>65</v>
      </c>
      <c r="E143" s="3" t="s">
        <v>66</v>
      </c>
      <c r="F143" s="3" t="s">
        <v>784</v>
      </c>
      <c r="G143" s="3" t="s">
        <v>785</v>
      </c>
      <c r="H143" s="3" t="s">
        <v>65</v>
      </c>
      <c r="I143" s="3">
        <v>4</v>
      </c>
      <c r="J143" s="3" t="s">
        <v>69</v>
      </c>
      <c r="K143" s="3" t="s">
        <v>80</v>
      </c>
      <c r="L143" s="3" t="s">
        <v>81</v>
      </c>
      <c r="M143" s="3" t="s">
        <v>104</v>
      </c>
      <c r="N143" s="3" t="s">
        <v>73</v>
      </c>
    </row>
    <row r="144" spans="1:14" ht="14.25">
      <c r="A144" s="3" t="s">
        <v>786</v>
      </c>
      <c r="B144" s="3" t="s">
        <v>787</v>
      </c>
      <c r="C144" s="3" t="s">
        <v>788</v>
      </c>
      <c r="D144" s="3" t="s">
        <v>65</v>
      </c>
      <c r="E144" s="3" t="s">
        <v>66</v>
      </c>
      <c r="F144" s="3" t="s">
        <v>789</v>
      </c>
      <c r="G144" s="3" t="s">
        <v>790</v>
      </c>
      <c r="H144" s="3" t="s">
        <v>65</v>
      </c>
      <c r="I144" s="3">
        <v>5</v>
      </c>
      <c r="J144" s="3" t="s">
        <v>69</v>
      </c>
      <c r="K144" s="3" t="s">
        <v>80</v>
      </c>
      <c r="L144" s="3" t="s">
        <v>81</v>
      </c>
      <c r="M144" s="3" t="s">
        <v>82</v>
      </c>
      <c r="N144" s="3" t="s">
        <v>73</v>
      </c>
    </row>
    <row r="145" spans="1:14" ht="14.25">
      <c r="A145" s="3" t="s">
        <v>791</v>
      </c>
      <c r="B145" s="3" t="s">
        <v>792</v>
      </c>
      <c r="C145" s="3" t="s">
        <v>788</v>
      </c>
      <c r="D145" s="3" t="s">
        <v>65</v>
      </c>
      <c r="E145" s="3" t="s">
        <v>66</v>
      </c>
      <c r="F145" s="3" t="s">
        <v>793</v>
      </c>
      <c r="G145" s="3" t="s">
        <v>794</v>
      </c>
      <c r="H145" s="3" t="s">
        <v>795</v>
      </c>
      <c r="I145" s="3">
        <v>5</v>
      </c>
      <c r="J145" s="3" t="s">
        <v>69</v>
      </c>
      <c r="K145" s="3" t="s">
        <v>80</v>
      </c>
      <c r="L145" s="3" t="s">
        <v>81</v>
      </c>
      <c r="M145" s="3" t="s">
        <v>82</v>
      </c>
      <c r="N145" s="3" t="s">
        <v>73</v>
      </c>
    </row>
    <row r="146" spans="1:14" ht="14.25">
      <c r="A146" s="3" t="s">
        <v>796</v>
      </c>
      <c r="B146" s="3" t="s">
        <v>796</v>
      </c>
      <c r="C146" s="3" t="s">
        <v>797</v>
      </c>
      <c r="D146" s="3" t="s">
        <v>65</v>
      </c>
      <c r="E146" s="3" t="s">
        <v>66</v>
      </c>
      <c r="F146" s="3" t="s">
        <v>798</v>
      </c>
      <c r="G146" s="3" t="s">
        <v>799</v>
      </c>
      <c r="H146" s="3" t="s">
        <v>65</v>
      </c>
      <c r="I146" s="3">
        <v>5</v>
      </c>
      <c r="J146" s="3" t="s">
        <v>69</v>
      </c>
      <c r="K146" s="3" t="s">
        <v>80</v>
      </c>
      <c r="L146" s="3" t="s">
        <v>81</v>
      </c>
      <c r="M146" s="3" t="s">
        <v>104</v>
      </c>
      <c r="N146" s="3" t="s">
        <v>73</v>
      </c>
    </row>
    <row r="147" spans="1:14" ht="14.25">
      <c r="A147" s="3" t="s">
        <v>800</v>
      </c>
      <c r="B147" s="3" t="s">
        <v>801</v>
      </c>
      <c r="C147" s="3" t="s">
        <v>802</v>
      </c>
      <c r="D147" s="3" t="s">
        <v>803</v>
      </c>
      <c r="E147" s="3" t="s">
        <v>66</v>
      </c>
      <c r="F147" s="3" t="s">
        <v>804</v>
      </c>
      <c r="G147" s="3" t="s">
        <v>805</v>
      </c>
      <c r="H147" s="3" t="s">
        <v>65</v>
      </c>
      <c r="I147" s="3">
        <v>3</v>
      </c>
      <c r="J147" s="3" t="s">
        <v>806</v>
      </c>
      <c r="K147" s="3" t="s">
        <v>96</v>
      </c>
      <c r="L147" s="3" t="s">
        <v>435</v>
      </c>
      <c r="M147" s="3" t="s">
        <v>807</v>
      </c>
      <c r="N147" s="3" t="s">
        <v>73</v>
      </c>
    </row>
    <row r="148" spans="1:14" ht="14.25">
      <c r="A148" s="3" t="s">
        <v>812</v>
      </c>
      <c r="B148" s="3" t="s">
        <v>813</v>
      </c>
      <c r="C148" s="3" t="s">
        <v>138</v>
      </c>
      <c r="D148" s="3">
        <v>3.1429999999999998</v>
      </c>
      <c r="E148" s="3" t="s">
        <v>66</v>
      </c>
      <c r="F148" s="3" t="s">
        <v>814</v>
      </c>
      <c r="G148" s="3" t="s">
        <v>815</v>
      </c>
      <c r="H148" s="3" t="s">
        <v>65</v>
      </c>
      <c r="I148" s="3">
        <v>3</v>
      </c>
      <c r="J148" s="3" t="s">
        <v>69</v>
      </c>
      <c r="K148" s="3" t="s">
        <v>103</v>
      </c>
      <c r="L148" s="3" t="s">
        <v>81</v>
      </c>
      <c r="M148" s="3" t="s">
        <v>104</v>
      </c>
      <c r="N148" s="3" t="s">
        <v>73</v>
      </c>
    </row>
    <row r="149" spans="1:14" ht="14.25">
      <c r="A149" s="3" t="s">
        <v>816</v>
      </c>
      <c r="B149" s="3" t="s">
        <v>817</v>
      </c>
      <c r="C149" s="3" t="s">
        <v>818</v>
      </c>
      <c r="D149" s="3" t="s">
        <v>65</v>
      </c>
      <c r="E149" s="3" t="s">
        <v>66</v>
      </c>
      <c r="F149" s="3" t="s">
        <v>819</v>
      </c>
      <c r="G149" s="3" t="s">
        <v>820</v>
      </c>
      <c r="H149" s="3" t="s">
        <v>65</v>
      </c>
      <c r="I149" s="3">
        <v>3</v>
      </c>
      <c r="J149" s="3" t="s">
        <v>69</v>
      </c>
      <c r="K149" s="3" t="s">
        <v>58</v>
      </c>
      <c r="L149" s="3" t="s">
        <v>81</v>
      </c>
      <c r="M149" s="3" t="s">
        <v>104</v>
      </c>
      <c r="N149" s="3" t="s">
        <v>73</v>
      </c>
    </row>
    <row r="150" spans="1:14" ht="14.25">
      <c r="A150" s="3" t="s">
        <v>821</v>
      </c>
      <c r="B150" s="3" t="s">
        <v>822</v>
      </c>
      <c r="C150" s="3" t="s">
        <v>159</v>
      </c>
      <c r="D150" s="3" t="s">
        <v>823</v>
      </c>
      <c r="E150" s="3" t="s">
        <v>66</v>
      </c>
      <c r="F150" s="3" t="s">
        <v>824</v>
      </c>
      <c r="G150" s="3" t="s">
        <v>825</v>
      </c>
      <c r="H150" s="3" t="s">
        <v>65</v>
      </c>
      <c r="I150" s="3">
        <v>3</v>
      </c>
      <c r="J150" s="3" t="s">
        <v>826</v>
      </c>
      <c r="K150" s="3" t="s">
        <v>96</v>
      </c>
      <c r="L150" s="3" t="s">
        <v>827</v>
      </c>
      <c r="M150" s="3" t="s">
        <v>807</v>
      </c>
      <c r="N150" s="3" t="s">
        <v>73</v>
      </c>
    </row>
    <row r="151" spans="1:14" ht="14.25">
      <c r="A151" s="3" t="s">
        <v>828</v>
      </c>
      <c r="B151" s="3" t="s">
        <v>829</v>
      </c>
      <c r="C151" s="3" t="s">
        <v>644</v>
      </c>
      <c r="D151" s="3" t="s">
        <v>65</v>
      </c>
      <c r="E151" s="3" t="s">
        <v>66</v>
      </c>
      <c r="F151" s="3" t="s">
        <v>830</v>
      </c>
      <c r="G151" s="3" t="s">
        <v>831</v>
      </c>
      <c r="H151" s="3" t="s">
        <v>65</v>
      </c>
      <c r="I151" s="3">
        <v>3</v>
      </c>
      <c r="J151" s="3" t="s">
        <v>69</v>
      </c>
      <c r="K151" s="3" t="s">
        <v>121</v>
      </c>
      <c r="L151" s="3" t="s">
        <v>81</v>
      </c>
      <c r="M151" s="3" t="s">
        <v>662</v>
      </c>
      <c r="N151" s="3" t="s">
        <v>73</v>
      </c>
    </row>
    <row r="152" spans="1:14" ht="14.25">
      <c r="A152" s="3" t="s">
        <v>832</v>
      </c>
      <c r="B152" s="3" t="s">
        <v>833</v>
      </c>
      <c r="C152" s="3" t="s">
        <v>834</v>
      </c>
      <c r="D152" s="3" t="s">
        <v>65</v>
      </c>
      <c r="E152" s="3" t="s">
        <v>66</v>
      </c>
      <c r="F152" s="3" t="s">
        <v>835</v>
      </c>
      <c r="G152" s="3" t="s">
        <v>836</v>
      </c>
      <c r="H152" s="3" t="s">
        <v>65</v>
      </c>
      <c r="I152" s="3">
        <v>4</v>
      </c>
      <c r="J152" s="3" t="s">
        <v>69</v>
      </c>
      <c r="K152" s="3" t="s">
        <v>80</v>
      </c>
      <c r="L152" s="3" t="s">
        <v>81</v>
      </c>
      <c r="M152" s="3" t="s">
        <v>104</v>
      </c>
      <c r="N152" s="3" t="s">
        <v>73</v>
      </c>
    </row>
    <row r="153" spans="1:14" ht="14.25">
      <c r="A153" s="3" t="s">
        <v>837</v>
      </c>
      <c r="B153" s="3" t="s">
        <v>838</v>
      </c>
      <c r="C153" s="3" t="s">
        <v>839</v>
      </c>
      <c r="D153" s="3" t="s">
        <v>803</v>
      </c>
      <c r="E153" s="3" t="s">
        <v>66</v>
      </c>
      <c r="F153" s="3" t="s">
        <v>840</v>
      </c>
      <c r="G153" s="3" t="s">
        <v>841</v>
      </c>
      <c r="H153" s="3" t="s">
        <v>65</v>
      </c>
      <c r="I153" s="3">
        <v>5</v>
      </c>
      <c r="J153" s="3" t="s">
        <v>69</v>
      </c>
      <c r="K153" s="3" t="s">
        <v>58</v>
      </c>
      <c r="L153" s="3" t="s">
        <v>81</v>
      </c>
      <c r="M153" s="3" t="s">
        <v>104</v>
      </c>
      <c r="N153" s="3" t="s">
        <v>73</v>
      </c>
    </row>
    <row r="154" spans="1:14" ht="14.25">
      <c r="A154" s="3" t="s">
        <v>842</v>
      </c>
      <c r="B154" s="3" t="s">
        <v>843</v>
      </c>
      <c r="C154" s="3" t="s">
        <v>844</v>
      </c>
      <c r="D154" s="3" t="s">
        <v>65</v>
      </c>
      <c r="E154" s="3" t="s">
        <v>66</v>
      </c>
      <c r="F154" s="3" t="s">
        <v>845</v>
      </c>
      <c r="G154" s="3" t="s">
        <v>846</v>
      </c>
      <c r="H154" s="3" t="s">
        <v>65</v>
      </c>
      <c r="I154" s="3">
        <v>4</v>
      </c>
      <c r="J154" s="3" t="s">
        <v>69</v>
      </c>
      <c r="K154" s="3" t="s">
        <v>58</v>
      </c>
      <c r="L154" s="3" t="s">
        <v>81</v>
      </c>
      <c r="M154" s="3" t="s">
        <v>104</v>
      </c>
      <c r="N154" s="3" t="s">
        <v>73</v>
      </c>
    </row>
    <row r="155" spans="1:14" ht="14.25">
      <c r="A155" s="3" t="s">
        <v>847</v>
      </c>
      <c r="B155" s="3" t="s">
        <v>848</v>
      </c>
      <c r="C155" s="3" t="s">
        <v>92</v>
      </c>
      <c r="D155" s="3">
        <v>0.4</v>
      </c>
      <c r="E155" s="3" t="s">
        <v>66</v>
      </c>
      <c r="F155" s="3" t="s">
        <v>849</v>
      </c>
      <c r="G155" s="3" t="s">
        <v>850</v>
      </c>
      <c r="H155" s="3" t="s">
        <v>851</v>
      </c>
      <c r="I155" s="3">
        <v>5</v>
      </c>
      <c r="J155" s="3" t="s">
        <v>69</v>
      </c>
      <c r="K155" s="3" t="s">
        <v>135</v>
      </c>
      <c r="L155" s="3" t="s">
        <v>81</v>
      </c>
      <c r="M155" s="3" t="s">
        <v>82</v>
      </c>
      <c r="N155" s="3" t="s">
        <v>73</v>
      </c>
    </row>
    <row r="156" spans="1:14" ht="14.25">
      <c r="A156" s="3" t="s">
        <v>852</v>
      </c>
      <c r="B156" s="3" t="s">
        <v>853</v>
      </c>
      <c r="C156" s="3" t="s">
        <v>92</v>
      </c>
      <c r="D156" s="3">
        <v>0.45</v>
      </c>
      <c r="E156" s="3" t="s">
        <v>66</v>
      </c>
      <c r="F156" s="3" t="s">
        <v>854</v>
      </c>
      <c r="G156" s="3" t="s">
        <v>855</v>
      </c>
      <c r="H156" s="3" t="s">
        <v>856</v>
      </c>
      <c r="I156" s="3">
        <v>5</v>
      </c>
      <c r="J156" s="3" t="s">
        <v>69</v>
      </c>
      <c r="K156" s="3" t="s">
        <v>135</v>
      </c>
      <c r="L156" s="3" t="s">
        <v>81</v>
      </c>
      <c r="M156" s="3" t="s">
        <v>82</v>
      </c>
      <c r="N156" s="3" t="s">
        <v>73</v>
      </c>
    </row>
    <row r="157" spans="1:14" ht="14.25">
      <c r="A157" s="3" t="s">
        <v>857</v>
      </c>
      <c r="B157" s="3" t="s">
        <v>858</v>
      </c>
      <c r="C157" s="3" t="s">
        <v>859</v>
      </c>
      <c r="D157" s="3">
        <v>0.4</v>
      </c>
      <c r="E157" s="3" t="s">
        <v>66</v>
      </c>
      <c r="F157" s="3" t="s">
        <v>860</v>
      </c>
      <c r="G157" s="3" t="s">
        <v>861</v>
      </c>
      <c r="H157" s="3" t="s">
        <v>862</v>
      </c>
      <c r="I157" s="3">
        <v>5</v>
      </c>
      <c r="J157" s="3" t="s">
        <v>69</v>
      </c>
      <c r="K157" s="3" t="s">
        <v>135</v>
      </c>
      <c r="L157" s="3" t="s">
        <v>81</v>
      </c>
      <c r="M157" s="3" t="s">
        <v>82</v>
      </c>
      <c r="N157" s="3" t="s">
        <v>73</v>
      </c>
    </row>
    <row r="158" spans="1:14" ht="14.25">
      <c r="A158" s="3" t="s">
        <v>863</v>
      </c>
      <c r="B158" s="3" t="s">
        <v>608</v>
      </c>
      <c r="C158" s="3" t="s">
        <v>864</v>
      </c>
      <c r="D158" s="3" t="s">
        <v>65</v>
      </c>
      <c r="E158" s="3" t="s">
        <v>66</v>
      </c>
      <c r="F158" s="3" t="s">
        <v>865</v>
      </c>
      <c r="G158" s="3" t="s">
        <v>866</v>
      </c>
      <c r="H158" s="3" t="s">
        <v>65</v>
      </c>
      <c r="I158" s="3">
        <v>4</v>
      </c>
      <c r="J158" s="3" t="s">
        <v>69</v>
      </c>
      <c r="K158" s="3" t="s">
        <v>58</v>
      </c>
      <c r="L158" s="3" t="s">
        <v>867</v>
      </c>
      <c r="M158" s="3" t="s">
        <v>89</v>
      </c>
      <c r="N158" s="3" t="s">
        <v>73</v>
      </c>
    </row>
    <row r="159" spans="1:14" ht="14.25">
      <c r="A159" s="3" t="s">
        <v>868</v>
      </c>
      <c r="B159" s="3" t="s">
        <v>608</v>
      </c>
      <c r="C159" s="3" t="s">
        <v>869</v>
      </c>
      <c r="D159" s="3" t="s">
        <v>65</v>
      </c>
      <c r="E159" s="3" t="s">
        <v>66</v>
      </c>
      <c r="F159" s="3" t="s">
        <v>870</v>
      </c>
      <c r="G159" s="3" t="s">
        <v>871</v>
      </c>
      <c r="H159" s="3" t="s">
        <v>65</v>
      </c>
      <c r="I159" s="3">
        <v>4</v>
      </c>
      <c r="J159" s="3" t="s">
        <v>69</v>
      </c>
      <c r="K159" s="3" t="s">
        <v>80</v>
      </c>
      <c r="L159" s="3" t="s">
        <v>872</v>
      </c>
      <c r="M159" s="3" t="s">
        <v>89</v>
      </c>
      <c r="N159" s="3" t="s">
        <v>73</v>
      </c>
    </row>
    <row r="160" spans="1:14" ht="14.25">
      <c r="A160" s="3" t="s">
        <v>873</v>
      </c>
      <c r="B160" s="3" t="s">
        <v>874</v>
      </c>
      <c r="C160" s="3" t="s">
        <v>875</v>
      </c>
      <c r="D160" s="3" t="s">
        <v>65</v>
      </c>
      <c r="E160" s="3" t="s">
        <v>66</v>
      </c>
      <c r="F160" s="3" t="s">
        <v>876</v>
      </c>
      <c r="G160" s="3" t="s">
        <v>877</v>
      </c>
      <c r="H160" s="3" t="s">
        <v>65</v>
      </c>
      <c r="I160" s="3">
        <v>4</v>
      </c>
      <c r="J160" s="3" t="s">
        <v>69</v>
      </c>
      <c r="K160" s="3" t="s">
        <v>80</v>
      </c>
      <c r="L160" s="3" t="s">
        <v>81</v>
      </c>
      <c r="M160" s="3" t="s">
        <v>104</v>
      </c>
      <c r="N160" s="3" t="s">
        <v>73</v>
      </c>
    </row>
    <row r="161" spans="1:14" ht="14.25">
      <c r="A161" s="3" t="s">
        <v>878</v>
      </c>
      <c r="B161" s="3" t="s">
        <v>879</v>
      </c>
      <c r="C161" s="3" t="s">
        <v>880</v>
      </c>
      <c r="D161" s="3" t="s">
        <v>65</v>
      </c>
      <c r="E161" s="3" t="s">
        <v>66</v>
      </c>
      <c r="F161" s="3" t="s">
        <v>881</v>
      </c>
      <c r="G161" s="3" t="s">
        <v>882</v>
      </c>
      <c r="H161" s="3" t="s">
        <v>65</v>
      </c>
      <c r="I161" s="3">
        <v>3</v>
      </c>
      <c r="J161" s="3" t="s">
        <v>883</v>
      </c>
      <c r="K161" s="3" t="s">
        <v>58</v>
      </c>
      <c r="L161" s="3" t="s">
        <v>81</v>
      </c>
      <c r="M161" s="3" t="s">
        <v>250</v>
      </c>
      <c r="N161" s="3" t="s">
        <v>73</v>
      </c>
    </row>
    <row r="162" spans="1:14" ht="14.25">
      <c r="A162" s="3" t="s">
        <v>888</v>
      </c>
      <c r="B162" s="3" t="s">
        <v>889</v>
      </c>
      <c r="C162" s="3" t="s">
        <v>890</v>
      </c>
      <c r="D162" s="3">
        <v>1.9</v>
      </c>
      <c r="E162" s="3" t="s">
        <v>66</v>
      </c>
      <c r="F162" s="3" t="s">
        <v>891</v>
      </c>
      <c r="G162" s="3" t="s">
        <v>892</v>
      </c>
      <c r="H162" s="3" t="s">
        <v>65</v>
      </c>
      <c r="I162" s="3">
        <v>3</v>
      </c>
      <c r="J162" s="3" t="s">
        <v>69</v>
      </c>
      <c r="K162" s="3" t="s">
        <v>96</v>
      </c>
      <c r="L162" s="3" t="s">
        <v>81</v>
      </c>
      <c r="M162" s="3" t="s">
        <v>104</v>
      </c>
      <c r="N162" s="3" t="s">
        <v>73</v>
      </c>
    </row>
    <row r="163" spans="1:14" ht="14.25">
      <c r="A163" s="3" t="s">
        <v>893</v>
      </c>
      <c r="B163" s="3" t="s">
        <v>894</v>
      </c>
      <c r="C163" s="3" t="s">
        <v>895</v>
      </c>
      <c r="D163" s="3" t="s">
        <v>65</v>
      </c>
      <c r="E163" s="3" t="s">
        <v>66</v>
      </c>
      <c r="F163" s="3" t="s">
        <v>896</v>
      </c>
      <c r="G163" s="3" t="s">
        <v>897</v>
      </c>
      <c r="H163" s="3" t="s">
        <v>65</v>
      </c>
      <c r="I163" s="3">
        <v>4</v>
      </c>
      <c r="J163" s="3" t="s">
        <v>69</v>
      </c>
      <c r="K163" s="3" t="s">
        <v>58</v>
      </c>
      <c r="L163" s="3" t="s">
        <v>81</v>
      </c>
      <c r="M163" s="3" t="s">
        <v>104</v>
      </c>
      <c r="N163" s="3" t="s">
        <v>73</v>
      </c>
    </row>
    <row r="164" spans="1:14" ht="14.25">
      <c r="A164" s="3" t="s">
        <v>898</v>
      </c>
      <c r="B164" s="3" t="s">
        <v>899</v>
      </c>
      <c r="C164" s="3" t="s">
        <v>900</v>
      </c>
      <c r="D164" s="3" t="s">
        <v>65</v>
      </c>
      <c r="E164" s="3" t="s">
        <v>66</v>
      </c>
      <c r="F164" s="3" t="s">
        <v>901</v>
      </c>
      <c r="G164" s="3" t="s">
        <v>902</v>
      </c>
      <c r="H164" s="3" t="s">
        <v>65</v>
      </c>
      <c r="I164" s="3">
        <v>4</v>
      </c>
      <c r="J164" s="3" t="s">
        <v>69</v>
      </c>
      <c r="K164" s="3" t="s">
        <v>58</v>
      </c>
      <c r="L164" s="3" t="s">
        <v>81</v>
      </c>
      <c r="M164" s="3" t="s">
        <v>82</v>
      </c>
      <c r="N164" s="3" t="s">
        <v>73</v>
      </c>
    </row>
    <row r="165" spans="1:14" ht="14.25">
      <c r="A165" s="3" t="s">
        <v>903</v>
      </c>
      <c r="B165" s="3" t="s">
        <v>904</v>
      </c>
      <c r="C165" s="3" t="s">
        <v>905</v>
      </c>
      <c r="D165" s="3" t="s">
        <v>65</v>
      </c>
      <c r="E165" s="3" t="s">
        <v>66</v>
      </c>
      <c r="F165" s="3" t="s">
        <v>906</v>
      </c>
      <c r="G165" s="3" t="s">
        <v>907</v>
      </c>
      <c r="H165" s="3" t="s">
        <v>65</v>
      </c>
      <c r="I165" s="3">
        <v>4</v>
      </c>
      <c r="J165" s="3" t="s">
        <v>69</v>
      </c>
      <c r="K165" s="3" t="s">
        <v>58</v>
      </c>
      <c r="L165" s="3" t="s">
        <v>81</v>
      </c>
      <c r="M165" s="3" t="s">
        <v>104</v>
      </c>
      <c r="N165" s="3" t="s">
        <v>73</v>
      </c>
    </row>
    <row r="166" spans="1:14" ht="14.25">
      <c r="A166" s="3" t="s">
        <v>908</v>
      </c>
      <c r="B166" s="3" t="s">
        <v>909</v>
      </c>
      <c r="C166" s="3" t="s">
        <v>910</v>
      </c>
      <c r="D166" s="3" t="s">
        <v>65</v>
      </c>
      <c r="E166" s="3" t="s">
        <v>66</v>
      </c>
      <c r="F166" s="3" t="s">
        <v>911</v>
      </c>
      <c r="G166" s="3" t="s">
        <v>912</v>
      </c>
      <c r="H166" s="3" t="s">
        <v>65</v>
      </c>
      <c r="I166" s="3">
        <v>4</v>
      </c>
      <c r="J166" s="3" t="s">
        <v>69</v>
      </c>
      <c r="K166" s="3" t="s">
        <v>115</v>
      </c>
      <c r="L166" s="3" t="s">
        <v>81</v>
      </c>
      <c r="M166" s="3" t="s">
        <v>104</v>
      </c>
      <c r="N166" s="3" t="s">
        <v>73</v>
      </c>
    </row>
    <row r="167" spans="1:14" ht="14.25">
      <c r="A167" s="3" t="s">
        <v>913</v>
      </c>
      <c r="B167" s="3" t="s">
        <v>914</v>
      </c>
      <c r="C167" s="3" t="s">
        <v>418</v>
      </c>
      <c r="D167" s="3" t="s">
        <v>65</v>
      </c>
      <c r="E167" s="3" t="s">
        <v>66</v>
      </c>
      <c r="F167" s="3" t="s">
        <v>915</v>
      </c>
      <c r="G167" s="3" t="s">
        <v>916</v>
      </c>
      <c r="H167" s="3" t="s">
        <v>65</v>
      </c>
      <c r="I167" s="3">
        <v>3</v>
      </c>
      <c r="J167" s="3" t="s">
        <v>69</v>
      </c>
      <c r="K167" s="3" t="s">
        <v>80</v>
      </c>
      <c r="L167" s="3" t="s">
        <v>81</v>
      </c>
      <c r="M167" s="3" t="s">
        <v>104</v>
      </c>
      <c r="N167" s="3" t="s">
        <v>73</v>
      </c>
    </row>
    <row r="168" spans="1:14" ht="14.25">
      <c r="A168" s="3" t="s">
        <v>917</v>
      </c>
      <c r="B168" s="3" t="s">
        <v>918</v>
      </c>
      <c r="C168" s="3" t="s">
        <v>150</v>
      </c>
      <c r="D168" s="3">
        <v>3.1040000000000001</v>
      </c>
      <c r="E168" s="3" t="s">
        <v>66</v>
      </c>
      <c r="F168" s="3" t="s">
        <v>919</v>
      </c>
      <c r="G168" s="3" t="s">
        <v>920</v>
      </c>
      <c r="H168" s="3" t="s">
        <v>65</v>
      </c>
      <c r="I168" s="3">
        <v>4</v>
      </c>
      <c r="J168" s="3" t="s">
        <v>69</v>
      </c>
      <c r="K168" s="3" t="s">
        <v>58</v>
      </c>
      <c r="L168" s="3" t="s">
        <v>921</v>
      </c>
      <c r="M168" s="3" t="s">
        <v>89</v>
      </c>
      <c r="N168" s="3" t="s">
        <v>73</v>
      </c>
    </row>
  </sheetData>
  <autoFilter ref="A1:N168"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D84BC-28B2-4242-AE15-70D8BC3C0025}">
  <dimension ref="A1:H65"/>
  <sheetViews>
    <sheetView tabSelected="1" workbookViewId="0">
      <selection activeCell="D8" sqref="D8"/>
    </sheetView>
  </sheetViews>
  <sheetFormatPr defaultRowHeight="14.25"/>
  <cols>
    <col min="1" max="2" width="9.625" style="38" bestFit="1" customWidth="1"/>
    <col min="3" max="3" width="9.625" style="38" customWidth="1"/>
    <col min="4" max="4" width="81.1875" style="38" bestFit="1" customWidth="1"/>
    <col min="5" max="5" width="84.375" style="38" customWidth="1"/>
    <col min="6" max="6" width="42.1875" style="38" customWidth="1"/>
    <col min="7" max="7" width="13.125" style="38" customWidth="1"/>
    <col min="8" max="8" width="11.25" style="38" customWidth="1"/>
    <col min="9" max="16384" width="9" style="38"/>
  </cols>
  <sheetData>
    <row r="1" spans="1:8">
      <c r="A1" s="37" t="s">
        <v>1283</v>
      </c>
      <c r="B1" s="37" t="s">
        <v>1286</v>
      </c>
      <c r="C1" s="37" t="s">
        <v>19</v>
      </c>
      <c r="D1" s="37" t="s">
        <v>1109</v>
      </c>
      <c r="E1" s="37" t="s">
        <v>20</v>
      </c>
      <c r="F1" s="37" t="s">
        <v>1110</v>
      </c>
      <c r="G1" s="37" t="s">
        <v>1111</v>
      </c>
      <c r="H1" s="37" t="s">
        <v>1112</v>
      </c>
    </row>
    <row r="2" spans="1:8">
      <c r="A2" s="39" t="s">
        <v>1284</v>
      </c>
      <c r="B2" s="40">
        <v>1</v>
      </c>
      <c r="C2" s="40">
        <f>IFERROR(VLOOKUP(D2,Matriz!$AJ$4:$AK$59,2,0),"")</f>
        <v>18</v>
      </c>
      <c r="D2" s="39" t="s">
        <v>922</v>
      </c>
      <c r="E2" s="39" t="s">
        <v>1036</v>
      </c>
      <c r="F2" s="41" t="s">
        <v>923</v>
      </c>
      <c r="G2" s="40" t="s">
        <v>1113</v>
      </c>
      <c r="H2" s="40" t="s">
        <v>1114</v>
      </c>
    </row>
    <row r="3" spans="1:8">
      <c r="A3" s="39" t="s">
        <v>1284</v>
      </c>
      <c r="B3" s="40">
        <v>2</v>
      </c>
      <c r="C3" s="40">
        <f>IFERROR(VLOOKUP(D3,Matriz!$AJ$4:$AK$59,2,0),"")</f>
        <v>45</v>
      </c>
      <c r="D3" s="39" t="s">
        <v>924</v>
      </c>
      <c r="E3" s="39" t="s">
        <v>1037</v>
      </c>
      <c r="F3" s="41" t="s">
        <v>925</v>
      </c>
      <c r="G3" s="40" t="s">
        <v>1115</v>
      </c>
      <c r="H3" s="40" t="s">
        <v>1116</v>
      </c>
    </row>
    <row r="4" spans="1:8">
      <c r="A4" s="39" t="s">
        <v>1285</v>
      </c>
      <c r="B4" s="40">
        <v>3</v>
      </c>
      <c r="C4" s="40" t="str">
        <f>IFERROR(VLOOKUP(D4,Matriz!$AJ$4:$AK$59,2,0),"")</f>
        <v/>
      </c>
      <c r="D4" s="39" t="s">
        <v>1117</v>
      </c>
      <c r="E4" s="39"/>
      <c r="F4" s="41" t="s">
        <v>1118</v>
      </c>
      <c r="G4" s="40" t="s">
        <v>1119</v>
      </c>
      <c r="H4" s="40" t="s">
        <v>1120</v>
      </c>
    </row>
    <row r="5" spans="1:8">
      <c r="A5" s="39" t="s">
        <v>1284</v>
      </c>
      <c r="B5" s="40">
        <v>4</v>
      </c>
      <c r="C5" s="40">
        <f>IFERROR(VLOOKUP(D5,Matriz!$AJ$4:$AK$59,2,0),"")</f>
        <v>14</v>
      </c>
      <c r="D5" s="39" t="s">
        <v>926</v>
      </c>
      <c r="E5" s="39" t="s">
        <v>1038</v>
      </c>
      <c r="F5" s="41" t="s">
        <v>927</v>
      </c>
      <c r="G5" s="40" t="s">
        <v>1121</v>
      </c>
      <c r="H5" s="40" t="s">
        <v>1122</v>
      </c>
    </row>
    <row r="6" spans="1:8">
      <c r="A6" s="39" t="s">
        <v>1285</v>
      </c>
      <c r="B6" s="40">
        <v>5</v>
      </c>
      <c r="C6" s="40" t="str">
        <f>IFERROR(VLOOKUP(D6,Matriz!$AJ$4:$AK$59,2,0),"")</f>
        <v/>
      </c>
      <c r="D6" s="39" t="s">
        <v>1123</v>
      </c>
      <c r="E6" s="39"/>
      <c r="F6" s="41" t="s">
        <v>1124</v>
      </c>
      <c r="G6" s="40" t="s">
        <v>1121</v>
      </c>
      <c r="H6" s="40" t="s">
        <v>1120</v>
      </c>
    </row>
    <row r="7" spans="1:8">
      <c r="A7" s="39" t="s">
        <v>1284</v>
      </c>
      <c r="B7" s="40">
        <v>6</v>
      </c>
      <c r="C7" s="40">
        <f>IFERROR(VLOOKUP(D7,Matriz!$AJ$4:$AK$59,2,0),"")</f>
        <v>20</v>
      </c>
      <c r="D7" s="39" t="s">
        <v>928</v>
      </c>
      <c r="E7" s="39" t="s">
        <v>1039</v>
      </c>
      <c r="F7" s="41" t="s">
        <v>929</v>
      </c>
      <c r="G7" s="40" t="s">
        <v>1125</v>
      </c>
      <c r="H7" s="40" t="s">
        <v>1126</v>
      </c>
    </row>
    <row r="8" spans="1:8">
      <c r="A8" s="39" t="s">
        <v>1285</v>
      </c>
      <c r="B8" s="40">
        <v>7</v>
      </c>
      <c r="C8" s="40" t="str">
        <f>IFERROR(VLOOKUP(D8,Matriz!$AJ$4:$AK$59,2,0),"")</f>
        <v/>
      </c>
      <c r="D8" s="39" t="s">
        <v>1127</v>
      </c>
      <c r="E8" s="39" t="s">
        <v>1128</v>
      </c>
      <c r="F8" s="41" t="s">
        <v>1129</v>
      </c>
      <c r="G8" s="40" t="s">
        <v>1130</v>
      </c>
      <c r="H8" s="40" t="s">
        <v>1120</v>
      </c>
    </row>
    <row r="9" spans="1:8">
      <c r="A9" s="39" t="s">
        <v>1285</v>
      </c>
      <c r="B9" s="40">
        <v>8</v>
      </c>
      <c r="C9" s="40" t="str">
        <f>IFERROR(VLOOKUP(D9,Matriz!$AJ$4:$AK$59,2,0),"")</f>
        <v/>
      </c>
      <c r="D9" s="39" t="s">
        <v>1131</v>
      </c>
      <c r="E9" s="39" t="s">
        <v>1132</v>
      </c>
      <c r="F9" s="41" t="s">
        <v>1133</v>
      </c>
      <c r="G9" s="40" t="s">
        <v>1134</v>
      </c>
      <c r="H9" s="40" t="s">
        <v>1120</v>
      </c>
    </row>
    <row r="10" spans="1:8">
      <c r="A10" s="39" t="s">
        <v>1285</v>
      </c>
      <c r="B10" s="40">
        <v>9</v>
      </c>
      <c r="C10" s="40" t="str">
        <f>IFERROR(VLOOKUP(D10,Matriz!$AJ$4:$AK$59,2,0),"")</f>
        <v/>
      </c>
      <c r="D10" s="39" t="s">
        <v>1135</v>
      </c>
      <c r="E10" s="39" t="s">
        <v>1136</v>
      </c>
      <c r="F10" s="41" t="s">
        <v>1137</v>
      </c>
      <c r="G10" s="40" t="s">
        <v>1138</v>
      </c>
      <c r="H10" s="40" t="s">
        <v>1120</v>
      </c>
    </row>
    <row r="11" spans="1:8">
      <c r="A11" s="39" t="s">
        <v>1285</v>
      </c>
      <c r="B11" s="40">
        <v>10</v>
      </c>
      <c r="C11" s="40" t="str">
        <f>IFERROR(VLOOKUP(D11,Matriz!$AJ$4:$AK$59,2,0),"")</f>
        <v/>
      </c>
      <c r="D11" s="39" t="s">
        <v>1139</v>
      </c>
      <c r="E11" s="39" t="s">
        <v>1140</v>
      </c>
      <c r="F11" s="41" t="s">
        <v>1141</v>
      </c>
      <c r="G11" s="40" t="s">
        <v>1142</v>
      </c>
      <c r="H11" s="40" t="s">
        <v>1143</v>
      </c>
    </row>
    <row r="12" spans="1:8">
      <c r="A12" s="39" t="s">
        <v>1285</v>
      </c>
      <c r="B12" s="40">
        <v>11</v>
      </c>
      <c r="C12" s="40" t="str">
        <f>IFERROR(VLOOKUP(D12,Matriz!$AJ$4:$AK$59,2,0),"")</f>
        <v/>
      </c>
      <c r="D12" s="39" t="s">
        <v>1144</v>
      </c>
      <c r="E12" s="39" t="s">
        <v>1145</v>
      </c>
      <c r="F12" s="41" t="s">
        <v>1146</v>
      </c>
      <c r="G12" s="40" t="s">
        <v>1147</v>
      </c>
      <c r="H12" s="40" t="s">
        <v>1148</v>
      </c>
    </row>
    <row r="13" spans="1:8">
      <c r="A13" s="39" t="s">
        <v>1285</v>
      </c>
      <c r="B13" s="40">
        <v>12</v>
      </c>
      <c r="C13" s="40" t="str">
        <f>IFERROR(VLOOKUP(D13,Matriz!$AJ$4:$AK$59,2,0),"")</f>
        <v/>
      </c>
      <c r="D13" s="39" t="s">
        <v>1149</v>
      </c>
      <c r="E13" s="39" t="s">
        <v>1150</v>
      </c>
      <c r="F13" s="41" t="s">
        <v>1151</v>
      </c>
      <c r="G13" s="40" t="s">
        <v>1152</v>
      </c>
      <c r="H13" s="40" t="s">
        <v>1148</v>
      </c>
    </row>
    <row r="14" spans="1:8">
      <c r="A14" s="39" t="s">
        <v>1284</v>
      </c>
      <c r="B14" s="40">
        <v>13</v>
      </c>
      <c r="C14" s="40">
        <f>IFERROR(VLOOKUP(D14,Matriz!$AJ$4:$AK$59,2,0),"")</f>
        <v>7</v>
      </c>
      <c r="D14" s="39" t="s">
        <v>930</v>
      </c>
      <c r="E14" s="39" t="s">
        <v>1040</v>
      </c>
      <c r="F14" s="41" t="s">
        <v>931</v>
      </c>
      <c r="G14" s="40" t="s">
        <v>1153</v>
      </c>
      <c r="H14" s="40" t="s">
        <v>1154</v>
      </c>
    </row>
    <row r="15" spans="1:8">
      <c r="A15" s="39" t="s">
        <v>1284</v>
      </c>
      <c r="B15" s="40">
        <v>14</v>
      </c>
      <c r="C15" s="40">
        <f>IFERROR(VLOOKUP(D15,Matriz!$AJ$4:$AK$59,2,0),"")</f>
        <v>8</v>
      </c>
      <c r="D15" s="39" t="s">
        <v>932</v>
      </c>
      <c r="E15" s="39" t="s">
        <v>1041</v>
      </c>
      <c r="F15" s="41" t="s">
        <v>933</v>
      </c>
      <c r="G15" s="40" t="s">
        <v>1155</v>
      </c>
      <c r="H15" s="40" t="s">
        <v>1156</v>
      </c>
    </row>
    <row r="16" spans="1:8">
      <c r="A16" s="39" t="s">
        <v>1284</v>
      </c>
      <c r="B16" s="40">
        <v>15</v>
      </c>
      <c r="C16" s="40">
        <f>IFERROR(VLOOKUP(D16,Matriz!$AJ$4:$AK$59,2,0),"")</f>
        <v>29</v>
      </c>
      <c r="D16" s="39" t="s">
        <v>934</v>
      </c>
      <c r="E16" s="39" t="s">
        <v>1042</v>
      </c>
      <c r="F16" s="41" t="s">
        <v>935</v>
      </c>
      <c r="G16" s="40" t="s">
        <v>1157</v>
      </c>
      <c r="H16" s="40" t="s">
        <v>1158</v>
      </c>
    </row>
    <row r="17" spans="1:8">
      <c r="A17" s="39" t="s">
        <v>1284</v>
      </c>
      <c r="B17" s="40">
        <v>16</v>
      </c>
      <c r="C17" s="40">
        <f>IFERROR(VLOOKUP(D17,Matriz!$AJ$4:$AK$59,2,0),"")</f>
        <v>31</v>
      </c>
      <c r="D17" s="39" t="s">
        <v>936</v>
      </c>
      <c r="E17" s="39" t="s">
        <v>1043</v>
      </c>
      <c r="F17" s="41" t="s">
        <v>937</v>
      </c>
      <c r="G17" s="40" t="s">
        <v>1159</v>
      </c>
      <c r="H17" s="40" t="s">
        <v>1160</v>
      </c>
    </row>
    <row r="18" spans="1:8">
      <c r="A18" s="39" t="s">
        <v>1284</v>
      </c>
      <c r="B18" s="40">
        <v>17</v>
      </c>
      <c r="C18" s="40">
        <f>IFERROR(VLOOKUP(D18,Matriz!$AJ$4:$AK$59,2,0),"")</f>
        <v>23</v>
      </c>
      <c r="D18" s="39" t="s">
        <v>938</v>
      </c>
      <c r="E18" s="39" t="s">
        <v>1044</v>
      </c>
      <c r="F18" s="41" t="s">
        <v>939</v>
      </c>
      <c r="G18" s="40" t="s">
        <v>1161</v>
      </c>
      <c r="H18" s="40" t="s">
        <v>1162</v>
      </c>
    </row>
    <row r="19" spans="1:8">
      <c r="A19" s="39" t="s">
        <v>1284</v>
      </c>
      <c r="B19" s="40">
        <v>18</v>
      </c>
      <c r="C19" s="40">
        <f>IFERROR(VLOOKUP(D19,Matriz!$AJ$4:$AK$59,2,0),"")</f>
        <v>6</v>
      </c>
      <c r="D19" s="39" t="s">
        <v>940</v>
      </c>
      <c r="E19" s="39" t="s">
        <v>1045</v>
      </c>
      <c r="F19" s="41" t="s">
        <v>941</v>
      </c>
      <c r="G19" s="40" t="s">
        <v>1163</v>
      </c>
      <c r="H19" s="40" t="s">
        <v>1164</v>
      </c>
    </row>
    <row r="20" spans="1:8">
      <c r="A20" s="39" t="s">
        <v>1284</v>
      </c>
      <c r="B20" s="40">
        <v>19</v>
      </c>
      <c r="C20" s="40">
        <f>IFERROR(VLOOKUP(D20,Matriz!$AJ$4:$AK$59,2,0),"")</f>
        <v>5</v>
      </c>
      <c r="D20" s="39" t="s">
        <v>942</v>
      </c>
      <c r="E20" s="39" t="s">
        <v>1046</v>
      </c>
      <c r="F20" s="41" t="s">
        <v>943</v>
      </c>
      <c r="G20" s="40" t="s">
        <v>1165</v>
      </c>
      <c r="H20" s="40" t="s">
        <v>1166</v>
      </c>
    </row>
    <row r="21" spans="1:8">
      <c r="A21" s="39" t="s">
        <v>1284</v>
      </c>
      <c r="B21" s="40">
        <v>20</v>
      </c>
      <c r="C21" s="40">
        <f>IFERROR(VLOOKUP(D21,Matriz!$AJ$4:$AK$59,2,0),"")</f>
        <v>16</v>
      </c>
      <c r="D21" s="39" t="s">
        <v>944</v>
      </c>
      <c r="E21" s="39" t="s">
        <v>1047</v>
      </c>
      <c r="F21" s="41" t="s">
        <v>23</v>
      </c>
      <c r="G21" s="40" t="s">
        <v>1167</v>
      </c>
      <c r="H21" s="40" t="s">
        <v>1168</v>
      </c>
    </row>
    <row r="22" spans="1:8">
      <c r="A22" s="39" t="s">
        <v>1284</v>
      </c>
      <c r="B22" s="40">
        <v>21</v>
      </c>
      <c r="C22" s="40">
        <f>IFERROR(VLOOKUP(D22,Matriz!$AJ$4:$AK$59,2,0),"")</f>
        <v>33</v>
      </c>
      <c r="D22" s="39" t="s">
        <v>945</v>
      </c>
      <c r="E22" s="39" t="s">
        <v>1048</v>
      </c>
      <c r="F22" s="41" t="s">
        <v>946</v>
      </c>
      <c r="G22" s="40" t="s">
        <v>1169</v>
      </c>
      <c r="H22" s="40" t="s">
        <v>1170</v>
      </c>
    </row>
    <row r="23" spans="1:8">
      <c r="A23" s="39" t="s">
        <v>1284</v>
      </c>
      <c r="B23" s="40">
        <v>22</v>
      </c>
      <c r="C23" s="40">
        <f>IFERROR(VLOOKUP(D23,Matriz!$AJ$4:$AK$59,2,0),"")</f>
        <v>25</v>
      </c>
      <c r="D23" s="39" t="s">
        <v>947</v>
      </c>
      <c r="E23" s="39" t="s">
        <v>1049</v>
      </c>
      <c r="F23" s="41" t="s">
        <v>948</v>
      </c>
      <c r="G23" s="40" t="s">
        <v>1171</v>
      </c>
      <c r="H23" s="40" t="s">
        <v>1172</v>
      </c>
    </row>
    <row r="24" spans="1:8">
      <c r="A24" s="39" t="s">
        <v>1284</v>
      </c>
      <c r="B24" s="40">
        <v>23</v>
      </c>
      <c r="C24" s="40">
        <f>IFERROR(VLOOKUP(D24,Matriz!$AJ$4:$AK$59,2,0),"")</f>
        <v>4</v>
      </c>
      <c r="D24" s="39" t="s">
        <v>949</v>
      </c>
      <c r="E24" s="39" t="s">
        <v>1050</v>
      </c>
      <c r="F24" s="41" t="s">
        <v>950</v>
      </c>
      <c r="G24" s="40" t="s">
        <v>1171</v>
      </c>
      <c r="H24" s="40" t="s">
        <v>1173</v>
      </c>
    </row>
    <row r="25" spans="1:8">
      <c r="A25" s="39" t="s">
        <v>1284</v>
      </c>
      <c r="B25" s="40">
        <v>24</v>
      </c>
      <c r="C25" s="40">
        <f>IFERROR(VLOOKUP(D25,Matriz!$AJ$4:$AK$59,2,0),"")</f>
        <v>35</v>
      </c>
      <c r="D25" s="39" t="s">
        <v>951</v>
      </c>
      <c r="E25" s="39" t="s">
        <v>1051</v>
      </c>
      <c r="F25" s="41" t="s">
        <v>952</v>
      </c>
      <c r="G25" s="40" t="s">
        <v>1174</v>
      </c>
      <c r="H25" s="40" t="s">
        <v>1175</v>
      </c>
    </row>
    <row r="26" spans="1:8">
      <c r="A26" s="39" t="s">
        <v>1284</v>
      </c>
      <c r="B26" s="40">
        <v>25</v>
      </c>
      <c r="C26" s="40">
        <f>IFERROR(VLOOKUP(D26,Matriz!$AJ$4:$AK$59,2,0),"")</f>
        <v>10</v>
      </c>
      <c r="D26" s="39" t="s">
        <v>953</v>
      </c>
      <c r="E26" s="39" t="s">
        <v>1052</v>
      </c>
      <c r="F26" s="41" t="s">
        <v>954</v>
      </c>
      <c r="G26" s="40" t="s">
        <v>1176</v>
      </c>
      <c r="H26" s="40" t="s">
        <v>1177</v>
      </c>
    </row>
    <row r="27" spans="1:8">
      <c r="A27" s="39" t="s">
        <v>1284</v>
      </c>
      <c r="B27" s="40">
        <v>26</v>
      </c>
      <c r="C27" s="40">
        <f>IFERROR(VLOOKUP(D27,Matriz!$AJ$4:$AK$59,2,0),"")</f>
        <v>12</v>
      </c>
      <c r="D27" s="39" t="s">
        <v>955</v>
      </c>
      <c r="E27" s="39" t="s">
        <v>1053</v>
      </c>
      <c r="F27" s="41" t="s">
        <v>956</v>
      </c>
      <c r="G27" s="40" t="s">
        <v>1178</v>
      </c>
      <c r="H27" s="40" t="s">
        <v>1179</v>
      </c>
    </row>
    <row r="28" spans="1:8">
      <c r="A28" s="39" t="s">
        <v>1284</v>
      </c>
      <c r="B28" s="40">
        <v>27</v>
      </c>
      <c r="C28" s="40">
        <f>IFERROR(VLOOKUP(D28,Matriz!$AJ$4:$AK$59,2,0),"")</f>
        <v>36</v>
      </c>
      <c r="D28" s="39" t="s">
        <v>957</v>
      </c>
      <c r="E28" s="39" t="s">
        <v>1054</v>
      </c>
      <c r="F28" s="41" t="s">
        <v>958</v>
      </c>
      <c r="G28" s="40" t="s">
        <v>1178</v>
      </c>
      <c r="H28" s="40" t="s">
        <v>1180</v>
      </c>
    </row>
    <row r="29" spans="1:8">
      <c r="A29" s="39" t="s">
        <v>1284</v>
      </c>
      <c r="B29" s="40">
        <v>28</v>
      </c>
      <c r="C29" s="40">
        <f>IFERROR(VLOOKUP(D29,Matriz!$AJ$4:$AK$59,2,0),"")</f>
        <v>11</v>
      </c>
      <c r="D29" s="39" t="s">
        <v>959</v>
      </c>
      <c r="E29" s="39" t="s">
        <v>1055</v>
      </c>
      <c r="F29" s="41" t="s">
        <v>960</v>
      </c>
      <c r="G29" s="40" t="s">
        <v>1181</v>
      </c>
      <c r="H29" s="40" t="s">
        <v>1182</v>
      </c>
    </row>
    <row r="30" spans="1:8">
      <c r="A30" s="39" t="s">
        <v>1284</v>
      </c>
      <c r="B30" s="40">
        <v>29</v>
      </c>
      <c r="C30" s="40">
        <f>IFERROR(VLOOKUP(D30,Matriz!$AJ$4:$AK$59,2,0),"")</f>
        <v>46</v>
      </c>
      <c r="D30" s="39" t="s">
        <v>961</v>
      </c>
      <c r="E30" s="39" t="s">
        <v>1056</v>
      </c>
      <c r="F30" s="41" t="s">
        <v>962</v>
      </c>
      <c r="G30" s="40" t="s">
        <v>1183</v>
      </c>
      <c r="H30" s="40" t="s">
        <v>1184</v>
      </c>
    </row>
    <row r="31" spans="1:8">
      <c r="A31" s="39" t="s">
        <v>1284</v>
      </c>
      <c r="B31" s="40">
        <v>30</v>
      </c>
      <c r="C31" s="40">
        <f>IFERROR(VLOOKUP(D31,Matriz!$AJ$4:$AK$59,2,0),"")</f>
        <v>24</v>
      </c>
      <c r="D31" s="39" t="s">
        <v>963</v>
      </c>
      <c r="E31" s="39" t="s">
        <v>1057</v>
      </c>
      <c r="F31" s="41" t="s">
        <v>964</v>
      </c>
      <c r="G31" s="40" t="s">
        <v>1185</v>
      </c>
      <c r="H31" s="40" t="s">
        <v>1186</v>
      </c>
    </row>
    <row r="32" spans="1:8">
      <c r="A32" s="39" t="s">
        <v>1284</v>
      </c>
      <c r="B32" s="40">
        <v>31</v>
      </c>
      <c r="C32" s="40">
        <f>IFERROR(VLOOKUP(D32,Matriz!$AJ$4:$AK$59,2,0),"")</f>
        <v>2</v>
      </c>
      <c r="D32" s="39" t="s">
        <v>965</v>
      </c>
      <c r="E32" s="39" t="s">
        <v>1058</v>
      </c>
      <c r="F32" s="41" t="s">
        <v>966</v>
      </c>
      <c r="G32" s="40" t="s">
        <v>1187</v>
      </c>
      <c r="H32" s="40" t="s">
        <v>1188</v>
      </c>
    </row>
    <row r="33" spans="1:8">
      <c r="A33" s="39" t="s">
        <v>1284</v>
      </c>
      <c r="B33" s="40">
        <v>32</v>
      </c>
      <c r="C33" s="40">
        <f>IFERROR(VLOOKUP(D33,Matriz!$AJ$4:$AK$59,2,0),"")</f>
        <v>13</v>
      </c>
      <c r="D33" s="39" t="s">
        <v>967</v>
      </c>
      <c r="E33" s="39" t="s">
        <v>1059</v>
      </c>
      <c r="F33" s="41" t="s">
        <v>968</v>
      </c>
      <c r="G33" s="40" t="s">
        <v>1189</v>
      </c>
      <c r="H33" s="40" t="s">
        <v>1190</v>
      </c>
    </row>
    <row r="34" spans="1:8">
      <c r="A34" s="39" t="s">
        <v>1284</v>
      </c>
      <c r="B34" s="40">
        <v>33</v>
      </c>
      <c r="C34" s="40">
        <f>IFERROR(VLOOKUP(D34,Matriz!$AJ$4:$AK$59,2,0),"")</f>
        <v>15</v>
      </c>
      <c r="D34" s="39" t="s">
        <v>969</v>
      </c>
      <c r="E34" s="39" t="s">
        <v>1191</v>
      </c>
      <c r="F34" s="41" t="s">
        <v>970</v>
      </c>
      <c r="G34" s="40" t="s">
        <v>1192</v>
      </c>
      <c r="H34" s="40" t="s">
        <v>1193</v>
      </c>
    </row>
    <row r="35" spans="1:8">
      <c r="A35" s="39" t="s">
        <v>1284</v>
      </c>
      <c r="B35" s="40">
        <v>34</v>
      </c>
      <c r="C35" s="40">
        <f>IFERROR(VLOOKUP(D35,Matriz!$AJ$4:$AK$59,2,0),"")</f>
        <v>32</v>
      </c>
      <c r="D35" s="39" t="s">
        <v>971</v>
      </c>
      <c r="E35" s="39" t="s">
        <v>1061</v>
      </c>
      <c r="F35" s="41" t="s">
        <v>28</v>
      </c>
      <c r="G35" s="40" t="s">
        <v>1194</v>
      </c>
      <c r="H35" s="40" t="s">
        <v>1195</v>
      </c>
    </row>
    <row r="36" spans="1:8">
      <c r="A36" s="39" t="s">
        <v>1284</v>
      </c>
      <c r="B36" s="40">
        <v>35</v>
      </c>
      <c r="C36" s="40">
        <f>IFERROR(VLOOKUP(D36,Matriz!$AJ$4:$AK$59,2,0),"")</f>
        <v>34</v>
      </c>
      <c r="D36" s="39" t="s">
        <v>972</v>
      </c>
      <c r="E36" s="39" t="s">
        <v>1196</v>
      </c>
      <c r="F36" s="41" t="s">
        <v>973</v>
      </c>
      <c r="G36" s="40" t="s">
        <v>1197</v>
      </c>
      <c r="H36" s="40" t="s">
        <v>1198</v>
      </c>
    </row>
    <row r="37" spans="1:8">
      <c r="A37" s="39" t="s">
        <v>1284</v>
      </c>
      <c r="B37" s="40">
        <v>36</v>
      </c>
      <c r="C37" s="40">
        <f>IFERROR(VLOOKUP(D37,Matriz!$AJ$4:$AK$59,2,0),"")</f>
        <v>3</v>
      </c>
      <c r="D37" s="39" t="s">
        <v>974</v>
      </c>
      <c r="E37" s="39" t="s">
        <v>1063</v>
      </c>
      <c r="F37" s="41" t="s">
        <v>975</v>
      </c>
      <c r="G37" s="40" t="s">
        <v>1199</v>
      </c>
      <c r="H37" s="40" t="s">
        <v>1200</v>
      </c>
    </row>
    <row r="38" spans="1:8">
      <c r="A38" s="39" t="s">
        <v>1284</v>
      </c>
      <c r="B38" s="40">
        <v>37</v>
      </c>
      <c r="C38" s="40">
        <f>IFERROR(VLOOKUP(D38,Matriz!$AJ$4:$AK$59,2,0),"")</f>
        <v>47</v>
      </c>
      <c r="D38" s="39" t="s">
        <v>1087</v>
      </c>
      <c r="E38" s="39" t="s">
        <v>1087</v>
      </c>
      <c r="F38" s="41" t="s">
        <v>1089</v>
      </c>
      <c r="G38" s="40" t="s">
        <v>1201</v>
      </c>
      <c r="H38" s="40" t="s">
        <v>1202</v>
      </c>
    </row>
    <row r="39" spans="1:8">
      <c r="A39" s="39" t="s">
        <v>1285</v>
      </c>
      <c r="B39" s="40">
        <v>38</v>
      </c>
      <c r="C39" s="40" t="str">
        <f>IFERROR(VLOOKUP(D39,Matriz!$AJ$4:$AK$59,2,0),"")</f>
        <v/>
      </c>
      <c r="D39" s="39" t="s">
        <v>1203</v>
      </c>
      <c r="E39" s="39"/>
      <c r="F39" s="41" t="s">
        <v>1204</v>
      </c>
      <c r="G39" s="40" t="s">
        <v>1205</v>
      </c>
      <c r="H39" s="40" t="s">
        <v>1206</v>
      </c>
    </row>
    <row r="40" spans="1:8">
      <c r="A40" s="39" t="s">
        <v>1285</v>
      </c>
      <c r="B40" s="40">
        <v>39</v>
      </c>
      <c r="C40" s="40" t="str">
        <f>IFERROR(VLOOKUP(D40,Matriz!$AJ$4:$AK$59,2,0),"")</f>
        <v/>
      </c>
      <c r="D40" s="39" t="s">
        <v>1207</v>
      </c>
      <c r="E40" s="39"/>
      <c r="F40" s="41" t="s">
        <v>1208</v>
      </c>
      <c r="G40" s="40" t="s">
        <v>1205</v>
      </c>
      <c r="H40" s="40" t="s">
        <v>1209</v>
      </c>
    </row>
    <row r="41" spans="1:8">
      <c r="A41" s="39" t="s">
        <v>1285</v>
      </c>
      <c r="B41" s="40">
        <v>40</v>
      </c>
      <c r="C41" s="40" t="str">
        <f>IFERROR(VLOOKUP(D41,Matriz!$AJ$4:$AK$59,2,0),"")</f>
        <v/>
      </c>
      <c r="D41" s="39" t="s">
        <v>1210</v>
      </c>
      <c r="E41" s="39" t="s">
        <v>1211</v>
      </c>
      <c r="F41" s="41" t="s">
        <v>1212</v>
      </c>
      <c r="G41" s="40" t="s">
        <v>1205</v>
      </c>
      <c r="H41" s="40" t="s">
        <v>1213</v>
      </c>
    </row>
    <row r="42" spans="1:8">
      <c r="A42" s="39" t="s">
        <v>1285</v>
      </c>
      <c r="B42" s="40">
        <v>41</v>
      </c>
      <c r="C42" s="40" t="str">
        <f>IFERROR(VLOOKUP(D42,Matriz!$AJ$4:$AK$59,2,0),"")</f>
        <v/>
      </c>
      <c r="D42" s="39" t="s">
        <v>1214</v>
      </c>
      <c r="E42" s="39"/>
      <c r="F42" s="41" t="s">
        <v>1215</v>
      </c>
      <c r="G42" s="40" t="s">
        <v>1205</v>
      </c>
      <c r="H42" s="40" t="s">
        <v>1216</v>
      </c>
    </row>
    <row r="43" spans="1:8">
      <c r="A43" s="39" t="s">
        <v>1285</v>
      </c>
      <c r="B43" s="40">
        <v>42</v>
      </c>
      <c r="C43" s="40" t="str">
        <f>IFERROR(VLOOKUP(D43,Matriz!$AJ$4:$AK$59,2,0),"")</f>
        <v/>
      </c>
      <c r="D43" s="39" t="s">
        <v>1217</v>
      </c>
      <c r="E43" s="39"/>
      <c r="F43" s="41" t="s">
        <v>1218</v>
      </c>
      <c r="G43" s="40" t="s">
        <v>1219</v>
      </c>
      <c r="H43" s="40" t="s">
        <v>1220</v>
      </c>
    </row>
    <row r="44" spans="1:8">
      <c r="A44" s="39" t="s">
        <v>1284</v>
      </c>
      <c r="B44" s="40">
        <v>43</v>
      </c>
      <c r="C44" s="40">
        <f>IFERROR(VLOOKUP(D44,Matriz!$AJ$4:$AK$59,2,0),"")</f>
        <v>27</v>
      </c>
      <c r="D44" s="39" t="s">
        <v>976</v>
      </c>
      <c r="E44" s="39" t="s">
        <v>1064</v>
      </c>
      <c r="F44" s="41" t="s">
        <v>977</v>
      </c>
      <c r="G44" s="40" t="s">
        <v>1221</v>
      </c>
      <c r="H44" s="40" t="s">
        <v>1222</v>
      </c>
    </row>
    <row r="45" spans="1:8">
      <c r="A45" s="39" t="s">
        <v>1284</v>
      </c>
      <c r="B45" s="40">
        <v>44</v>
      </c>
      <c r="C45" s="40">
        <f>IFERROR(VLOOKUP(D45,Matriz!$AJ$4:$AK$59,2,0),"")</f>
        <v>28</v>
      </c>
      <c r="D45" s="39" t="s">
        <v>978</v>
      </c>
      <c r="E45" s="39" t="s">
        <v>1065</v>
      </c>
      <c r="F45" s="41" t="s">
        <v>979</v>
      </c>
      <c r="G45" s="40" t="s">
        <v>1223</v>
      </c>
      <c r="H45" s="40" t="s">
        <v>1224</v>
      </c>
    </row>
    <row r="46" spans="1:8">
      <c r="A46" s="39" t="s">
        <v>1284</v>
      </c>
      <c r="B46" s="40">
        <v>45</v>
      </c>
      <c r="C46" s="40">
        <f>IFERROR(VLOOKUP(D46,Matriz!$AJ$4:$AK$59,2,0),"")</f>
        <v>21</v>
      </c>
      <c r="D46" s="39" t="s">
        <v>980</v>
      </c>
      <c r="E46" s="39" t="s">
        <v>1066</v>
      </c>
      <c r="F46" s="41" t="s">
        <v>981</v>
      </c>
      <c r="G46" s="40" t="s">
        <v>1225</v>
      </c>
      <c r="H46" s="40" t="s">
        <v>1226</v>
      </c>
    </row>
    <row r="47" spans="1:8">
      <c r="A47" s="39" t="s">
        <v>1284</v>
      </c>
      <c r="B47" s="40">
        <v>46</v>
      </c>
      <c r="C47" s="40">
        <f>IFERROR(VLOOKUP(D47,Matriz!$AJ$4:$AK$59,2,0),"")</f>
        <v>30</v>
      </c>
      <c r="D47" s="39" t="s">
        <v>982</v>
      </c>
      <c r="E47" s="39" t="s">
        <v>1067</v>
      </c>
      <c r="F47" s="41" t="s">
        <v>983</v>
      </c>
      <c r="G47" s="40" t="s">
        <v>1227</v>
      </c>
      <c r="H47" s="40" t="s">
        <v>1228</v>
      </c>
    </row>
    <row r="48" spans="1:8">
      <c r="A48" s="39" t="s">
        <v>1284</v>
      </c>
      <c r="B48" s="40">
        <v>47</v>
      </c>
      <c r="C48" s="40">
        <f>IFERROR(VLOOKUP(D48,Matriz!$AJ$4:$AK$59,2,0),"")</f>
        <v>22</v>
      </c>
      <c r="D48" s="39" t="s">
        <v>984</v>
      </c>
      <c r="E48" s="39" t="s">
        <v>1068</v>
      </c>
      <c r="F48" s="41" t="s">
        <v>985</v>
      </c>
      <c r="G48" s="40" t="s">
        <v>1229</v>
      </c>
      <c r="H48" s="40" t="s">
        <v>1230</v>
      </c>
    </row>
    <row r="49" spans="1:8">
      <c r="A49" s="39" t="s">
        <v>1284</v>
      </c>
      <c r="B49" s="40">
        <v>48</v>
      </c>
      <c r="C49" s="40">
        <f>IFERROR(VLOOKUP(D49,Matriz!$AJ$4:$AK$59,2,0),"")</f>
        <v>19</v>
      </c>
      <c r="D49" s="39" t="s">
        <v>986</v>
      </c>
      <c r="E49" s="39" t="s">
        <v>1069</v>
      </c>
      <c r="F49" s="41" t="s">
        <v>987</v>
      </c>
      <c r="G49" s="40" t="s">
        <v>1231</v>
      </c>
      <c r="H49" s="40" t="s">
        <v>1232</v>
      </c>
    </row>
    <row r="50" spans="1:8">
      <c r="A50" s="39" t="s">
        <v>1285</v>
      </c>
      <c r="B50" s="40">
        <v>49</v>
      </c>
      <c r="C50" s="40" t="str">
        <f>IFERROR(VLOOKUP(D50,Matriz!$AJ$4:$AK$59,2,0),"")</f>
        <v/>
      </c>
      <c r="D50" s="39" t="s">
        <v>1233</v>
      </c>
      <c r="E50" s="39" t="s">
        <v>1234</v>
      </c>
      <c r="F50" s="41" t="s">
        <v>1235</v>
      </c>
      <c r="G50" s="40" t="s">
        <v>1236</v>
      </c>
      <c r="H50" s="40" t="s">
        <v>1209</v>
      </c>
    </row>
    <row r="51" spans="1:8">
      <c r="A51" s="39" t="s">
        <v>1285</v>
      </c>
      <c r="B51" s="40">
        <v>50</v>
      </c>
      <c r="C51" s="40" t="str">
        <f>IFERROR(VLOOKUP(D51,Matriz!$AJ$4:$AK$59,2,0),"")</f>
        <v/>
      </c>
      <c r="D51" s="39" t="s">
        <v>1233</v>
      </c>
      <c r="E51" s="39" t="s">
        <v>1234</v>
      </c>
      <c r="F51" s="41" t="s">
        <v>1237</v>
      </c>
      <c r="G51" s="40" t="s">
        <v>1238</v>
      </c>
      <c r="H51" s="40" t="s">
        <v>1216</v>
      </c>
    </row>
    <row r="52" spans="1:8">
      <c r="A52" s="39" t="s">
        <v>1285</v>
      </c>
      <c r="B52" s="40">
        <v>51</v>
      </c>
      <c r="C52" s="40" t="str">
        <f>IFERROR(VLOOKUP(D52,Matriz!$AJ$4:$AK$59,2,0),"")</f>
        <v/>
      </c>
      <c r="D52" s="39" t="s">
        <v>1239</v>
      </c>
      <c r="E52" s="39" t="s">
        <v>1234</v>
      </c>
      <c r="F52" s="41" t="s">
        <v>1240</v>
      </c>
      <c r="G52" s="40" t="s">
        <v>1238</v>
      </c>
      <c r="H52" s="40" t="s">
        <v>1213</v>
      </c>
    </row>
    <row r="53" spans="1:8">
      <c r="A53" s="39" t="s">
        <v>1285</v>
      </c>
      <c r="B53" s="40">
        <v>52</v>
      </c>
      <c r="C53" s="40" t="str">
        <f>IFERROR(VLOOKUP(D53,Matriz!$AJ$4:$AK$59,2,0),"")</f>
        <v/>
      </c>
      <c r="D53" s="39" t="s">
        <v>1241</v>
      </c>
      <c r="E53" s="39" t="s">
        <v>1242</v>
      </c>
      <c r="F53" s="41" t="s">
        <v>1243</v>
      </c>
      <c r="G53" s="40" t="s">
        <v>1244</v>
      </c>
      <c r="H53" s="40" t="s">
        <v>1245</v>
      </c>
    </row>
    <row r="54" spans="1:8">
      <c r="A54" s="39" t="s">
        <v>1284</v>
      </c>
      <c r="B54" s="40">
        <v>53</v>
      </c>
      <c r="C54" s="40">
        <f>IFERROR(VLOOKUP(D54,Matriz!$AJ$4:$AK$59,2,0),"")</f>
        <v>43</v>
      </c>
      <c r="D54" s="39" t="s">
        <v>1085</v>
      </c>
      <c r="E54" s="39" t="s">
        <v>1086</v>
      </c>
      <c r="F54" s="41" t="s">
        <v>988</v>
      </c>
      <c r="G54" s="40" t="s">
        <v>1246</v>
      </c>
      <c r="H54" s="40" t="s">
        <v>1247</v>
      </c>
    </row>
    <row r="55" spans="1:8">
      <c r="A55" s="39" t="s">
        <v>1284</v>
      </c>
      <c r="B55" s="40">
        <v>54</v>
      </c>
      <c r="C55" s="40">
        <f>IFERROR(VLOOKUP(D55,Matriz!$AJ$4:$AK$59,2,0),"")</f>
        <v>44</v>
      </c>
      <c r="D55" s="39" t="s">
        <v>989</v>
      </c>
      <c r="E55" s="39" t="s">
        <v>1070</v>
      </c>
      <c r="F55" s="41" t="s">
        <v>990</v>
      </c>
      <c r="G55" s="40" t="s">
        <v>1248</v>
      </c>
      <c r="H55" s="40" t="s">
        <v>1249</v>
      </c>
    </row>
    <row r="56" spans="1:8">
      <c r="A56" s="39" t="s">
        <v>1285</v>
      </c>
      <c r="B56" s="40">
        <v>55</v>
      </c>
      <c r="C56" s="40" t="str">
        <f>IFERROR(VLOOKUP(D56,Matriz!$AJ$4:$AK$59,2,0),"")</f>
        <v/>
      </c>
      <c r="D56" s="39" t="s">
        <v>1250</v>
      </c>
      <c r="E56" s="39" t="s">
        <v>1251</v>
      </c>
      <c r="F56" s="41" t="s">
        <v>1252</v>
      </c>
      <c r="G56" s="40" t="s">
        <v>1253</v>
      </c>
      <c r="H56" s="40" t="s">
        <v>1254</v>
      </c>
    </row>
    <row r="57" spans="1:8">
      <c r="A57" s="39" t="s">
        <v>1285</v>
      </c>
      <c r="B57" s="40">
        <v>56</v>
      </c>
      <c r="C57" s="40" t="str">
        <f>IFERROR(VLOOKUP(D57,Matriz!$AJ$4:$AK$59,2,0),"")</f>
        <v/>
      </c>
      <c r="D57" s="39" t="s">
        <v>1255</v>
      </c>
      <c r="E57" s="39" t="s">
        <v>1256</v>
      </c>
      <c r="F57" s="41" t="s">
        <v>1257</v>
      </c>
      <c r="G57" s="40" t="s">
        <v>1253</v>
      </c>
      <c r="H57" s="40" t="s">
        <v>1254</v>
      </c>
    </row>
    <row r="58" spans="1:8">
      <c r="A58" s="39" t="s">
        <v>1285</v>
      </c>
      <c r="B58" s="40">
        <v>57</v>
      </c>
      <c r="C58" s="40" t="str">
        <f>IFERROR(VLOOKUP(D58,Matriz!$AJ$4:$AK$59,2,0),"")</f>
        <v/>
      </c>
      <c r="D58" s="39" t="s">
        <v>1258</v>
      </c>
      <c r="E58" s="39" t="s">
        <v>1259</v>
      </c>
      <c r="F58" s="41" t="s">
        <v>1260</v>
      </c>
      <c r="G58" s="40" t="s">
        <v>1261</v>
      </c>
      <c r="H58" s="40" t="s">
        <v>1254</v>
      </c>
    </row>
    <row r="59" spans="1:8">
      <c r="A59" s="39" t="s">
        <v>1285</v>
      </c>
      <c r="B59" s="40">
        <v>58</v>
      </c>
      <c r="C59" s="40" t="str">
        <f>IFERROR(VLOOKUP(D59,Matriz!$AJ$4:$AK$59,2,0),"")</f>
        <v/>
      </c>
      <c r="D59" s="39" t="s">
        <v>1262</v>
      </c>
      <c r="E59" s="39" t="s">
        <v>1263</v>
      </c>
      <c r="F59" s="41" t="s">
        <v>1264</v>
      </c>
      <c r="G59" s="40" t="s">
        <v>1265</v>
      </c>
      <c r="H59" s="40" t="s">
        <v>1254</v>
      </c>
    </row>
    <row r="60" spans="1:8">
      <c r="A60" s="39" t="s">
        <v>1284</v>
      </c>
      <c r="B60" s="40">
        <v>59</v>
      </c>
      <c r="C60" s="40">
        <f>IFERROR(VLOOKUP(D60,Matriz!$AJ$4:$AK$59,2,0),"")</f>
        <v>26</v>
      </c>
      <c r="D60" s="39" t="s">
        <v>991</v>
      </c>
      <c r="E60" s="39" t="s">
        <v>1071</v>
      </c>
      <c r="F60" s="41" t="s">
        <v>992</v>
      </c>
      <c r="G60" s="40" t="s">
        <v>1265</v>
      </c>
      <c r="H60" s="40" t="s">
        <v>1266</v>
      </c>
    </row>
    <row r="61" spans="1:8">
      <c r="A61" s="39" t="s">
        <v>1285</v>
      </c>
      <c r="B61" s="40">
        <v>60</v>
      </c>
      <c r="C61" s="40" t="str">
        <f>IFERROR(VLOOKUP(D61,Matriz!$AJ$4:$AK$59,2,0),"")</f>
        <v/>
      </c>
      <c r="D61" s="39" t="s">
        <v>1267</v>
      </c>
      <c r="E61" s="39" t="s">
        <v>1268</v>
      </c>
      <c r="F61" s="41" t="s">
        <v>1269</v>
      </c>
      <c r="G61" s="40" t="s">
        <v>1270</v>
      </c>
      <c r="H61" s="40" t="s">
        <v>1271</v>
      </c>
    </row>
    <row r="62" spans="1:8">
      <c r="A62" s="39" t="s">
        <v>1285</v>
      </c>
      <c r="B62" s="40">
        <v>61</v>
      </c>
      <c r="C62" s="40" t="str">
        <f>IFERROR(VLOOKUP(D62,Matriz!$AJ$4:$AK$59,2,0),"")</f>
        <v/>
      </c>
      <c r="D62" s="39" t="s">
        <v>1272</v>
      </c>
      <c r="E62" s="39" t="s">
        <v>1273</v>
      </c>
      <c r="F62" s="41" t="s">
        <v>1274</v>
      </c>
      <c r="G62" s="40" t="s">
        <v>1270</v>
      </c>
      <c r="H62" s="40" t="s">
        <v>1271</v>
      </c>
    </row>
    <row r="63" spans="1:8">
      <c r="A63" s="39" t="s">
        <v>1285</v>
      </c>
      <c r="B63" s="40">
        <v>62</v>
      </c>
      <c r="C63" s="40" t="str">
        <f>IFERROR(VLOOKUP(D63,Matriz!$AJ$4:$AK$59,2,0),"")</f>
        <v/>
      </c>
      <c r="D63" s="39" t="s">
        <v>1275</v>
      </c>
      <c r="E63" s="39" t="s">
        <v>1276</v>
      </c>
      <c r="F63" s="41" t="s">
        <v>1277</v>
      </c>
      <c r="G63" s="40" t="s">
        <v>1278</v>
      </c>
      <c r="H63" s="40" t="s">
        <v>1114</v>
      </c>
    </row>
    <row r="64" spans="1:8">
      <c r="A64" s="39" t="s">
        <v>1284</v>
      </c>
      <c r="B64" s="40">
        <v>63</v>
      </c>
      <c r="C64" s="40">
        <f>IFERROR(VLOOKUP(D64,Matriz!$AJ$4:$AK$59,2,0),"")</f>
        <v>9</v>
      </c>
      <c r="D64" s="39" t="s">
        <v>993</v>
      </c>
      <c r="E64" s="39" t="s">
        <v>1072</v>
      </c>
      <c r="F64" s="41" t="s">
        <v>994</v>
      </c>
      <c r="G64" s="40" t="s">
        <v>1279</v>
      </c>
      <c r="H64" s="40" t="s">
        <v>1280</v>
      </c>
    </row>
    <row r="65" spans="1:8">
      <c r="A65" s="39" t="s">
        <v>1284</v>
      </c>
      <c r="B65" s="40">
        <v>64</v>
      </c>
      <c r="C65" s="40">
        <f>IFERROR(VLOOKUP(D65,Matriz!$AJ$4:$AK$59,2,0),"")</f>
        <v>1</v>
      </c>
      <c r="D65" s="39" t="s">
        <v>995</v>
      </c>
      <c r="E65" s="39" t="s">
        <v>1073</v>
      </c>
      <c r="F65" s="41" t="s">
        <v>996</v>
      </c>
      <c r="G65" s="40" t="s">
        <v>1281</v>
      </c>
      <c r="H65" s="40" t="s">
        <v>1282</v>
      </c>
    </row>
  </sheetData>
  <autoFilter ref="B1:H65" xr:uid="{00000000-0009-0000-0000-000000000000}"/>
  <hyperlinks>
    <hyperlink ref="F4" r:id="rId1" xr:uid="{0FBDB8C2-75B3-4B78-AA71-58DF3B6E3CD2}"/>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Dashboard</vt:lpstr>
      <vt:lpstr>Matriz</vt:lpstr>
      <vt:lpstr>Periódicos</vt:lpstr>
      <vt:lpstr>Videos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2026-08-20T00:23:28Z</dcterms:modified>
</cp:coreProperties>
</file>