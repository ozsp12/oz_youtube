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
    </mc:Choice>
  </mc:AlternateContent>
  <xr:revisionPtr revIDLastSave="316" documentId="13_ncr:1_{E080B429-C63D-4743-90CA-FFA68B47823D}" xr6:coauthVersionLast="47" xr6:coauthVersionMax="47" xr10:uidLastSave="{B062DB39-0886-4478-A38F-564AFE9CA99D}"/>
  <bookViews>
    <workbookView xWindow="-98" yWindow="-98" windowWidth="28996" windowHeight="15675" tabRatio="556" activeTab="1" xr2:uid="{00000000-000D-0000-FFFF-FFFF00000000}"/>
  </bookViews>
  <sheets>
    <sheet name="Dashboard" sheetId="1" r:id="rId1"/>
    <sheet name="Produção" sheetId="2" r:id="rId2"/>
    <sheet name="Matriz" sheetId="11" r:id="rId3"/>
    <sheet name="Videos" sheetId="12" r:id="rId4"/>
    <sheet name="Periódicos" sheetId="3" r:id="rId5"/>
    <sheet name="Backlog" sheetId="14" r:id="rId6"/>
  </sheets>
  <definedNames>
    <definedName name="_xlnm._FilterDatabase" localSheetId="2" hidden="1">Matriz!$A$2:$AB$2</definedName>
    <definedName name="_xlnm._FilterDatabase" localSheetId="4" hidden="1">Periódicos!$A$1:$N$168</definedName>
    <definedName name="_xlnm._FilterDatabase" localSheetId="1" hidden="1">Produção!$A$1:$I$109</definedName>
    <definedName name="_xlnm._FilterDatabase" localSheetId="3" hidden="1">Videos!$A$1:$E$40</definedName>
  </definedNames>
  <calcPr calcId="191029"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A11" i="11" s="1" a="1"/>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A53" i="11" a="1"/>
  <c r="A54" i="11" a="1"/>
  <c r="A55" i="11" a="1"/>
  <c r="A56" i="11" a="1"/>
  <c r="A57" i="11" a="1"/>
  <c r="A58" i="11" a="1"/>
  <c r="A59" i="11" a="1"/>
  <c r="B14" i="1"/>
  <c r="C14" i="1" s="1"/>
  <c r="B15" i="1"/>
  <c r="C15" i="1" s="1"/>
  <c r="B16" i="1"/>
  <c r="C16" i="1" s="1"/>
  <c r="B17" i="1"/>
  <c r="C17" i="1" s="1"/>
  <c r="B18" i="1"/>
  <c r="C18" i="1" s="1"/>
  <c r="B19" i="1"/>
  <c r="C19" i="1" s="1"/>
  <c r="B20" i="1"/>
  <c r="C20" i="1" s="1"/>
  <c r="B21" i="1"/>
  <c r="C21" i="1" s="1"/>
  <c r="B22" i="1"/>
  <c r="C22" i="1" s="1"/>
  <c r="B23" i="1"/>
  <c r="C23" i="1" s="1"/>
  <c r="B24" i="1"/>
  <c r="C24" i="1" s="1"/>
  <c r="B13" i="1"/>
  <c r="C13" i="1" s="1"/>
  <c r="A5" i="1"/>
  <c r="B4" i="11" a="1"/>
  <c r="C4" i="11" a="1"/>
  <c r="B5" i="11" a="1"/>
  <c r="C5" i="11" a="1"/>
  <c r="B6" i="11" a="1"/>
  <c r="C6" i="11" a="1"/>
  <c r="B7" i="11" a="1"/>
  <c r="C7" i="11" a="1"/>
  <c r="B8" i="11" a="1"/>
  <c r="C8" i="11" a="1"/>
  <c r="B9" i="11" a="1"/>
  <c r="C9" i="11" a="1"/>
  <c r="B10" i="11" a="1"/>
  <c r="C10" i="11" a="1"/>
  <c r="B11" i="11" a="1"/>
  <c r="C11" i="11" a="1"/>
  <c r="B12" i="11" a="1"/>
  <c r="C12" i="11" a="1"/>
  <c r="B13" i="11" a="1"/>
  <c r="C13" i="11" a="1"/>
  <c r="B14" i="11" a="1"/>
  <c r="C14" i="11" a="1"/>
  <c r="B15" i="11" a="1"/>
  <c r="C15" i="11" a="1"/>
  <c r="B16" i="11" a="1"/>
  <c r="C16" i="11" a="1"/>
  <c r="B17" i="11" a="1"/>
  <c r="C17" i="11" a="1"/>
  <c r="B18" i="11" a="1"/>
  <c r="C18" i="11" a="1"/>
  <c r="B19" i="11" a="1"/>
  <c r="C19" i="11" a="1"/>
  <c r="B20" i="11" a="1"/>
  <c r="C20" i="11" a="1"/>
  <c r="B21" i="11" a="1"/>
  <c r="C21" i="11" a="1"/>
  <c r="B22" i="11" a="1"/>
  <c r="C22" i="11" a="1"/>
  <c r="B23" i="11" a="1"/>
  <c r="C23" i="11" a="1"/>
  <c r="B24" i="11" a="1"/>
  <c r="C24" i="11" a="1"/>
  <c r="B25" i="11" a="1"/>
  <c r="C25" i="11" a="1"/>
  <c r="B26" i="11" a="1"/>
  <c r="C26" i="11" a="1"/>
  <c r="B27" i="11" a="1"/>
  <c r="C27" i="11" a="1"/>
  <c r="B28" i="11" a="1"/>
  <c r="C28" i="11" a="1"/>
  <c r="B29" i="11" a="1"/>
  <c r="C29" i="11" a="1"/>
  <c r="B30" i="11" a="1"/>
  <c r="C30" i="11" a="1"/>
  <c r="B31" i="11" a="1"/>
  <c r="C31" i="11" a="1"/>
  <c r="B32" i="11" a="1"/>
  <c r="C32" i="11" a="1"/>
  <c r="B33" i="11" a="1"/>
  <c r="C33" i="11" a="1"/>
  <c r="B34" i="11" a="1"/>
  <c r="C34" i="11" a="1"/>
  <c r="B35" i="11" a="1"/>
  <c r="C35" i="11" a="1"/>
  <c r="B36" i="11" a="1"/>
  <c r="C36" i="11" a="1"/>
  <c r="B37" i="11" a="1"/>
  <c r="C37" i="11" a="1"/>
  <c r="B38" i="11" a="1"/>
  <c r="C38" i="11" a="1"/>
  <c r="B39" i="11" a="1"/>
  <c r="C39" i="11" a="1"/>
  <c r="B40" i="11" a="1"/>
  <c r="C40" i="11" a="1"/>
  <c r="B41" i="11" a="1"/>
  <c r="C41" i="11" a="1"/>
  <c r="B42" i="11" a="1"/>
  <c r="C42" i="11" a="1"/>
  <c r="B43" i="11" a="1"/>
  <c r="C43" i="11" a="1"/>
  <c r="B44" i="11" a="1"/>
  <c r="C44" i="11" a="1"/>
  <c r="B45" i="11" a="1"/>
  <c r="C45" i="11" a="1"/>
  <c r="B46" i="11" a="1"/>
  <c r="C46" i="11" a="1"/>
  <c r="B47" i="11" a="1"/>
  <c r="C47" i="11" a="1"/>
  <c r="B48" i="11" a="1"/>
  <c r="C48" i="11" a="1"/>
  <c r="B49" i="11" a="1"/>
  <c r="C49" i="11" a="1"/>
  <c r="B50" i="11" a="1"/>
  <c r="C50" i="11" a="1"/>
  <c r="B51" i="11" a="1"/>
  <c r="C51" i="11" a="1"/>
  <c r="B52" i="11" a="1"/>
  <c r="C52" i="11" a="1"/>
  <c r="B53" i="11" a="1"/>
  <c r="C53" i="11" a="1"/>
  <c r="B54" i="11" a="1"/>
  <c r="C54" i="11" a="1"/>
  <c r="B55" i="11" a="1"/>
  <c r="C55" i="11" a="1"/>
  <c r="B56" i="11" a="1"/>
  <c r="C56" i="11" a="1"/>
  <c r="B57" i="11" a="1"/>
  <c r="C57" i="11" a="1"/>
  <c r="B58" i="11" a="1"/>
  <c r="C58" i="11" a="1"/>
  <c r="B59" i="11" a="1"/>
  <c r="C59" i="11" a="1"/>
  <c r="B60" i="11" a="1"/>
  <c r="C60" i="11" a="1"/>
  <c r="B61" i="11" a="1"/>
  <c r="C61" i="11" a="1"/>
  <c r="B62" i="11" a="1"/>
  <c r="C62" i="11" a="1"/>
  <c r="B63" i="11" a="1"/>
  <c r="C63" i="11" a="1"/>
  <c r="B64" i="11" a="1"/>
  <c r="C64" i="11" a="1"/>
  <c r="B65" i="11" a="1"/>
  <c r="C65" i="11" a="1"/>
  <c r="B66" i="11" a="1"/>
  <c r="C66" i="11" a="1"/>
  <c r="B67" i="11" a="1"/>
  <c r="C67" i="11" a="1"/>
  <c r="B68" i="11" a="1"/>
  <c r="C68" i="11" a="1"/>
  <c r="B69" i="11" a="1"/>
  <c r="C69" i="11" a="1"/>
  <c r="B70" i="11" a="1"/>
  <c r="C70" i="11" a="1"/>
  <c r="B71" i="11" a="1"/>
  <c r="C71" i="11" a="1"/>
  <c r="B72" i="11" a="1"/>
  <c r="C72" i="11" a="1"/>
  <c r="B73" i="11" a="1"/>
  <c r="C73" i="11" a="1"/>
  <c r="B74" i="11" a="1"/>
  <c r="C74" i="11" a="1"/>
  <c r="B75" i="11" a="1"/>
  <c r="C75" i="11" a="1"/>
  <c r="B76" i="11" a="1"/>
  <c r="C76" i="11" a="1"/>
  <c r="B77" i="11" a="1"/>
  <c r="C77" i="11" a="1"/>
  <c r="B78" i="11" a="1"/>
  <c r="C78" i="11" a="1"/>
  <c r="B79" i="11" a="1"/>
  <c r="C79" i="11" a="1"/>
  <c r="B80" i="11" a="1"/>
  <c r="C80" i="11" a="1"/>
  <c r="B81" i="11" a="1"/>
  <c r="C81" i="11" a="1"/>
  <c r="B82" i="11" a="1"/>
  <c r="C82" i="11" a="1"/>
  <c r="B83" i="11" a="1"/>
  <c r="C83" i="11" a="1"/>
  <c r="B84" i="11" a="1"/>
  <c r="C84" i="11" a="1"/>
  <c r="B85" i="11" a="1"/>
  <c r="C85" i="11" a="1"/>
  <c r="B86" i="11" a="1"/>
  <c r="C86" i="11" a="1"/>
  <c r="B87" i="11" a="1"/>
  <c r="C87" i="11" a="1"/>
  <c r="B88" i="11" a="1"/>
  <c r="C88" i="11" a="1"/>
  <c r="B89" i="11" a="1"/>
  <c r="C89" i="11" a="1"/>
  <c r="A90" i="11" a="1"/>
  <c r="B90" i="11" a="1"/>
  <c r="C90" i="11" a="1"/>
  <c r="C3" i="11" a="1"/>
  <c r="B3" i="11" a="1"/>
  <c r="B60" i="1"/>
  <c r="B58" i="1"/>
  <c r="B57" i="1"/>
  <c r="B56" i="1"/>
  <c r="H51" i="1"/>
  <c r="H50" i="1"/>
  <c r="H49" i="1"/>
  <c r="H48" i="1"/>
  <c r="H47" i="1"/>
  <c r="H46" i="1"/>
  <c r="H45" i="1"/>
  <c r="H44" i="1"/>
  <c r="H43" i="1"/>
  <c r="G28" i="1"/>
  <c r="B29" i="1" a="1"/>
  <c r="C29" i="1" a="1"/>
  <c r="B30" i="1" a="1"/>
  <c r="C30" i="1" a="1"/>
  <c r="B31" i="1" a="1"/>
  <c r="C31" i="1" a="1"/>
  <c r="B32" i="1" a="1"/>
  <c r="C32" i="1" a="1"/>
  <c r="B33" i="1" a="1"/>
  <c r="C33" i="1" a="1"/>
  <c r="C28" i="1" a="1"/>
  <c r="B28" i="1" a="1"/>
  <c r="K8" i="1"/>
  <c r="I5" i="1"/>
  <c r="E5" i="1"/>
  <c r="C5" i="1"/>
  <c r="H14" i="1"/>
  <c r="I14" i="1"/>
  <c r="H15" i="1"/>
  <c r="J15" i="1" s="1"/>
  <c r="I15" i="1"/>
  <c r="H16" i="1"/>
  <c r="J16" i="1" s="1"/>
  <c r="I16" i="1"/>
  <c r="H17" i="1"/>
  <c r="J17" i="1" s="1"/>
  <c r="I17" i="1"/>
  <c r="H18" i="1"/>
  <c r="J18" i="1" s="1"/>
  <c r="I18" i="1"/>
  <c r="H19" i="1"/>
  <c r="J19" i="1" s="1"/>
  <c r="I19" i="1"/>
  <c r="H20" i="1"/>
  <c r="J20" i="1" s="1"/>
  <c r="I20" i="1"/>
  <c r="H21" i="1"/>
  <c r="J21" i="1" s="1"/>
  <c r="I21" i="1"/>
  <c r="H22" i="1"/>
  <c r="J22" i="1" s="1"/>
  <c r="I22" i="1"/>
  <c r="H23" i="1"/>
  <c r="J23" i="1" s="1"/>
  <c r="I23" i="1"/>
  <c r="H24" i="1"/>
  <c r="J24" i="1" s="1"/>
  <c r="I24" i="1"/>
  <c r="I13" i="1"/>
  <c r="H13" i="1"/>
  <c r="D14" i="1"/>
  <c r="D15" i="1"/>
  <c r="D16" i="1"/>
  <c r="D17" i="1"/>
  <c r="D18" i="1"/>
  <c r="D19" i="1"/>
  <c r="D20" i="1"/>
  <c r="D21" i="1"/>
  <c r="D22" i="1"/>
  <c r="D23" i="1"/>
  <c r="D24" i="1"/>
  <c r="D13" i="1"/>
  <c r="A66" i="11" a="1"/>
  <c r="A64" i="11" a="1"/>
  <c r="A18" i="11" l="1" a="1"/>
  <c r="A12" i="11" a="1"/>
  <c r="A13" i="11" a="1"/>
  <c r="A14" i="11" a="1"/>
  <c r="A15" i="11" a="1"/>
  <c r="X15" i="11" s="1" a="1"/>
  <c r="A16" i="11" a="1"/>
  <c r="A17" i="11" a="1"/>
  <c r="A20" i="11" a="1"/>
  <c r="V20" i="11" s="1" a="1"/>
  <c r="A21" i="11" a="1"/>
  <c r="A22" i="11" a="1"/>
  <c r="A23" i="11" a="1"/>
  <c r="A24" i="11" a="1"/>
  <c r="S24" i="11" s="1" a="1"/>
  <c r="A28" i="11" a="1"/>
  <c r="A25" i="11" a="1"/>
  <c r="A26" i="11" a="1"/>
  <c r="A27" i="11" a="1"/>
  <c r="X27" i="11" s="1" a="1"/>
  <c r="A51" i="11" a="1"/>
  <c r="Q51" i="11" s="1" a="1"/>
  <c r="A52" i="11" a="1"/>
  <c r="W52" i="11" s="1" a="1"/>
  <c r="A9" i="11" a="1"/>
  <c r="A10" i="11" a="1"/>
  <c r="A4" i="11" a="1"/>
  <c r="A5" i="11" a="1"/>
  <c r="X5" i="11" s="1" a="1"/>
  <c r="A6" i="11" a="1"/>
  <c r="T6" i="11" s="1" a="1"/>
  <c r="A7" i="11" a="1"/>
  <c r="A8" i="11" a="1"/>
  <c r="Z8" i="11" s="1" a="1"/>
  <c r="A19" i="11" a="1"/>
  <c r="AB19" i="11" s="1" a="1"/>
  <c r="A29" i="11" a="1"/>
  <c r="A30" i="11" a="1"/>
  <c r="AB30" i="11" s="1" a="1"/>
  <c r="A31" i="11" a="1"/>
  <c r="W31" i="11" s="1" a="1"/>
  <c r="A32" i="11" a="1"/>
  <c r="Q32" i="11" s="1" a="1"/>
  <c r="A33" i="11" a="1"/>
  <c r="Q33" i="11" s="1" a="1"/>
  <c r="A34" i="11" a="1"/>
  <c r="A35" i="11" a="1"/>
  <c r="A36" i="11" a="1"/>
  <c r="A37" i="11" a="1"/>
  <c r="Y37" i="11" s="1" a="1"/>
  <c r="A38" i="11" a="1"/>
  <c r="X38" i="11" s="1" a="1"/>
  <c r="A39" i="11" a="1"/>
  <c r="A40" i="11" a="1"/>
  <c r="A60" i="11" a="1"/>
  <c r="Y60" i="11" s="1" a="1"/>
  <c r="A61" i="11" a="1"/>
  <c r="Y61" i="11" s="1" a="1"/>
  <c r="A62" i="11" a="1"/>
  <c r="A63" i="11" a="1"/>
  <c r="Y63" i="11" s="1" a="1"/>
  <c r="A65" i="11" a="1"/>
  <c r="R65" i="11" s="1" a="1"/>
  <c r="A67" i="11" a="1"/>
  <c r="S67" i="11" s="1" a="1"/>
  <c r="A68" i="11" a="1"/>
  <c r="S68" i="11" s="1" a="1"/>
  <c r="A69" i="11" a="1"/>
  <c r="Y69" i="11" s="1" a="1"/>
  <c r="A70" i="11" a="1"/>
  <c r="A71" i="11" a="1"/>
  <c r="A72" i="11" a="1"/>
  <c r="A73" i="11" a="1"/>
  <c r="A83" i="11" a="1"/>
  <c r="Q83" i="11" s="1" a="1"/>
  <c r="A84" i="11" a="1"/>
  <c r="A85" i="11" a="1"/>
  <c r="A86" i="11" a="1"/>
  <c r="U86" i="11" s="1" a="1"/>
  <c r="A87" i="11" a="1"/>
  <c r="A88" i="11" a="1"/>
  <c r="A89" i="11" a="1"/>
  <c r="A3" i="11" a="1"/>
  <c r="G8" i="1"/>
  <c r="H57" i="1"/>
  <c r="A50" i="11" a="1"/>
  <c r="A82" i="11" a="1"/>
  <c r="Q54" i="11" a="1"/>
  <c r="Q55" i="11" a="1"/>
  <c r="Z55" i="11" a="1"/>
  <c r="AB56" i="11" a="1"/>
  <c r="Z57" i="11" a="1"/>
  <c r="AB59" i="11" a="1"/>
  <c r="Y64" i="11" a="1"/>
  <c r="Z66" i="11" a="1"/>
  <c r="V64" i="11" a="1"/>
  <c r="Y90" i="11" a="1"/>
  <c r="Y66" i="11" a="1"/>
  <c r="W53" i="11" a="1"/>
  <c r="U54" i="11" a="1"/>
  <c r="T55" i="11" a="1"/>
  <c r="U56" i="11" a="1"/>
  <c r="W57" i="11" a="1"/>
  <c r="Y59" i="11" a="1"/>
  <c r="X64" i="11" a="1"/>
  <c r="AA66" i="11" a="1"/>
  <c r="Z90" i="11" a="1"/>
  <c r="U58" i="11" a="1"/>
  <c r="V58" i="11" a="1"/>
  <c r="W58" i="11" a="1"/>
  <c r="X58" i="11" a="1"/>
  <c r="Y58" i="11" a="1"/>
  <c r="Z58" i="11" a="1"/>
  <c r="AA58" i="11" a="1"/>
  <c r="AB58" i="11" a="1"/>
  <c r="Q59" i="11" a="1"/>
  <c r="R59" i="11" a="1"/>
  <c r="S59" i="11" a="1"/>
  <c r="T59" i="11" a="1"/>
  <c r="Z59" i="11" a="1"/>
  <c r="W64" i="11" a="1"/>
  <c r="X66" i="11" a="1"/>
  <c r="W90" i="11" a="1"/>
  <c r="Q90" i="11" a="1"/>
  <c r="R90" i="11" a="1"/>
  <c r="S90" i="11" a="1"/>
  <c r="T90" i="11" a="1"/>
  <c r="U90" i="11" a="1"/>
  <c r="V90" i="11" a="1"/>
  <c r="Y53" i="11" a="1"/>
  <c r="Y54" i="11" a="1"/>
  <c r="W55" i="11" a="1"/>
  <c r="Y56" i="11" a="1"/>
  <c r="Y57" i="11" a="1"/>
  <c r="AA59" i="11" a="1"/>
  <c r="Z64" i="11" a="1"/>
  <c r="AA53" i="11" a="1"/>
  <c r="AA54" i="11" a="1"/>
  <c r="AB55" i="11" a="1"/>
  <c r="R57" i="11" a="1"/>
  <c r="S58" i="11" a="1"/>
  <c r="U60" i="11" a="1"/>
  <c r="U61" i="11" a="1"/>
  <c r="Q64" i="11" a="1"/>
  <c r="R66" i="11" a="1"/>
  <c r="U53" i="11" a="1"/>
  <c r="V54" i="11" a="1"/>
  <c r="X55" i="11" a="1"/>
  <c r="Z56" i="11" a="1"/>
  <c r="AB57" i="11" a="1"/>
  <c r="U64" i="11" a="1"/>
  <c r="W66" i="11" a="1"/>
  <c r="AB90" i="11" a="1"/>
  <c r="S53" i="11" a="1"/>
  <c r="T54" i="11" a="1"/>
  <c r="U55" i="11" a="1"/>
  <c r="T56" i="11" a="1"/>
  <c r="V57" i="11" a="1"/>
  <c r="W59" i="11" a="1"/>
  <c r="R64" i="11" a="1"/>
  <c r="T66" i="11" a="1"/>
  <c r="AB53" i="11" a="1"/>
  <c r="AB54" i="11" a="1"/>
  <c r="R56" i="11" a="1"/>
  <c r="T57" i="11" a="1"/>
  <c r="U59" i="11" a="1"/>
  <c r="AA63" i="11" a="1"/>
  <c r="AB64" i="11" a="1"/>
  <c r="AB65" i="11" a="1"/>
  <c r="AB66" i="11" a="1"/>
  <c r="Q68" i="11" a="1"/>
  <c r="S69" i="11" a="1"/>
  <c r="AA90" i="11" a="1"/>
  <c r="T53" i="11" a="1"/>
  <c r="S54" i="11" a="1"/>
  <c r="S55" i="11" a="1"/>
  <c r="S56" i="11" a="1"/>
  <c r="U57" i="11" a="1"/>
  <c r="V59" i="11" a="1"/>
  <c r="S64" i="11" a="1"/>
  <c r="V66" i="11" a="1"/>
  <c r="Z53" i="11" a="1"/>
  <c r="Z54" i="11" a="1"/>
  <c r="AA55" i="11" a="1"/>
  <c r="Q57" i="11" a="1"/>
  <c r="AA57" i="11" a="1"/>
  <c r="S66" i="11" a="1"/>
  <c r="X90" i="11" a="1"/>
  <c r="R54" i="11" a="1"/>
  <c r="R55" i="11" a="1"/>
  <c r="Q56" i="11" a="1"/>
  <c r="S57" i="11" a="1"/>
  <c r="R58" i="11" a="1"/>
  <c r="AA64" i="11" a="1"/>
  <c r="Q66" i="11" a="1"/>
  <c r="X30" i="11" a="1"/>
  <c r="R31" i="11" a="1"/>
  <c r="S32" i="11" a="1"/>
  <c r="X53" i="11" a="1"/>
  <c r="W54" i="11" a="1"/>
  <c r="V55" i="11" a="1"/>
  <c r="V56" i="11" a="1"/>
  <c r="X57" i="11" a="1"/>
  <c r="X59" i="11" a="1"/>
  <c r="T64" i="11" a="1"/>
  <c r="U66" i="11" a="1"/>
  <c r="V53" i="11" a="1"/>
  <c r="X54" i="11" a="1"/>
  <c r="Y55" i="11" a="1"/>
  <c r="AA56" i="11" a="1"/>
  <c r="Q58" i="11" a="1"/>
  <c r="A49" i="11" a="1"/>
  <c r="A81" i="11" a="1"/>
  <c r="A48" i="11" a="1"/>
  <c r="A80" i="11" a="1"/>
  <c r="A47" i="11" a="1"/>
  <c r="A79" i="11" a="1"/>
  <c r="A46" i="11" a="1"/>
  <c r="A78" i="11" a="1"/>
  <c r="A45" i="11" a="1"/>
  <c r="A77" i="11" a="1"/>
  <c r="A44" i="11" a="1"/>
  <c r="A76" i="11" a="1"/>
  <c r="A43" i="11" a="1"/>
  <c r="A75" i="11" a="1"/>
  <c r="A42" i="11" a="1"/>
  <c r="A74" i="11" a="1"/>
  <c r="T58" i="11" a="1"/>
  <c r="P11" i="11"/>
  <c r="E11" i="11"/>
  <c r="F11" i="11"/>
  <c r="G11" i="11"/>
  <c r="H11" i="11"/>
  <c r="I11" i="11"/>
  <c r="J11" i="11"/>
  <c r="K11" i="11"/>
  <c r="L11" i="11"/>
  <c r="M11" i="11"/>
  <c r="N11" i="11"/>
  <c r="O11" i="11"/>
  <c r="R18" i="11" a="1"/>
  <c r="Z18" i="11" a="1"/>
  <c r="Q13" i="11" a="1"/>
  <c r="U18" i="11" a="1"/>
  <c r="AB18" i="11" a="1"/>
  <c r="W12" i="11" a="1"/>
  <c r="V13" i="11" a="1"/>
  <c r="T14" i="11" a="1"/>
  <c r="S15" i="11" a="1"/>
  <c r="X17" i="11" a="1"/>
  <c r="V18" i="11" a="1"/>
  <c r="R20" i="11" a="1"/>
  <c r="S21" i="11" a="1"/>
  <c r="Q22" i="11" a="1"/>
  <c r="AA22" i="11" a="1"/>
  <c r="X23" i="11" a="1"/>
  <c r="V24" i="11" a="1"/>
  <c r="R25" i="11" a="1"/>
  <c r="X12" i="11" a="1"/>
  <c r="X18" i="11" a="1"/>
  <c r="W18" i="11" a="1"/>
  <c r="E14" i="1"/>
  <c r="B59" i="1"/>
  <c r="E20" i="1"/>
  <c r="E13" i="1"/>
  <c r="E19" i="1"/>
  <c r="E15" i="1"/>
  <c r="E18" i="1"/>
  <c r="E22" i="1"/>
  <c r="O53" i="11"/>
  <c r="K53" i="11"/>
  <c r="J53" i="11"/>
  <c r="I53" i="11"/>
  <c r="H53" i="11"/>
  <c r="F53" i="11"/>
  <c r="E53" i="11"/>
  <c r="G53" i="11"/>
  <c r="P53" i="11"/>
  <c r="N53" i="11"/>
  <c r="M53" i="11"/>
  <c r="L53" i="11"/>
  <c r="E54" i="11"/>
  <c r="P54" i="11"/>
  <c r="O54" i="11"/>
  <c r="M54" i="11"/>
  <c r="L54" i="11"/>
  <c r="K54" i="11"/>
  <c r="J54" i="11"/>
  <c r="I54" i="11"/>
  <c r="G54" i="11"/>
  <c r="F54" i="11"/>
  <c r="H54" i="11"/>
  <c r="N54" i="11"/>
  <c r="G55" i="11"/>
  <c r="F55" i="11"/>
  <c r="E55" i="11"/>
  <c r="L55" i="11"/>
  <c r="I55" i="11"/>
  <c r="K55" i="11"/>
  <c r="H55" i="11"/>
  <c r="J55" i="11"/>
  <c r="M55" i="11"/>
  <c r="N55" i="11"/>
  <c r="O55" i="11"/>
  <c r="P55" i="11"/>
  <c r="E57" i="11"/>
  <c r="F57" i="11"/>
  <c r="G57" i="11"/>
  <c r="H57" i="11"/>
  <c r="I57" i="11"/>
  <c r="J57" i="11"/>
  <c r="K57" i="11"/>
  <c r="L57" i="11"/>
  <c r="M57" i="11"/>
  <c r="N57" i="11"/>
  <c r="O57" i="11"/>
  <c r="P57" i="11"/>
  <c r="F58" i="11"/>
  <c r="H58" i="11"/>
  <c r="L58" i="11"/>
  <c r="I58" i="11"/>
  <c r="K58" i="11"/>
  <c r="M58" i="11"/>
  <c r="N58" i="11"/>
  <c r="P58" i="11"/>
  <c r="E58" i="11"/>
  <c r="J58" i="11"/>
  <c r="O58" i="11"/>
  <c r="G58" i="11"/>
  <c r="K59" i="11"/>
  <c r="M59" i="11"/>
  <c r="N59" i="11"/>
  <c r="O59" i="11"/>
  <c r="H59" i="11"/>
  <c r="P59" i="11"/>
  <c r="I59" i="11"/>
  <c r="G59" i="11"/>
  <c r="F59" i="11"/>
  <c r="J59" i="11"/>
  <c r="E59" i="11"/>
  <c r="L59" i="11"/>
  <c r="J14" i="1"/>
  <c r="H52" i="1"/>
  <c r="I8" i="1"/>
  <c r="J13" i="1"/>
  <c r="A41" i="11" a="1"/>
  <c r="R11" i="11" a="1"/>
  <c r="Y11" i="11" a="1"/>
  <c r="Q53" i="11" a="1"/>
  <c r="R53" i="11" a="1"/>
  <c r="T11" i="11" a="1"/>
  <c r="AB11" i="11" a="1"/>
  <c r="Q11" i="11" a="1"/>
  <c r="W11" i="11" a="1"/>
  <c r="Q12" i="11" a="1"/>
  <c r="U11" i="11" a="1"/>
  <c r="AA11" i="11" a="1"/>
  <c r="S11" i="11" a="1"/>
  <c r="Z11" i="11" a="1"/>
  <c r="V11" i="11" a="1"/>
  <c r="X11" i="11" a="1"/>
  <c r="R12" i="11" a="1"/>
  <c r="Y4" i="11" a="1"/>
  <c r="K5" i="1"/>
  <c r="H56" i="1"/>
  <c r="G5" i="1"/>
  <c r="E16" i="1"/>
  <c r="E21" i="1"/>
  <c r="E24" i="1"/>
  <c r="E23" i="1"/>
  <c r="E17" i="1"/>
  <c r="W56" i="11" a="1"/>
  <c r="X56" i="11" a="1"/>
  <c r="N64" i="11"/>
  <c r="O64" i="11"/>
  <c r="H64" i="11"/>
  <c r="E64" i="11"/>
  <c r="F64" i="11"/>
  <c r="G64" i="11"/>
  <c r="P64" i="11"/>
  <c r="I64" i="11"/>
  <c r="J64" i="11"/>
  <c r="K64" i="11"/>
  <c r="L64" i="11"/>
  <c r="M64" i="11"/>
  <c r="F66" i="11"/>
  <c r="L66" i="11"/>
  <c r="M66" i="11"/>
  <c r="E66" i="11"/>
  <c r="K66" i="11"/>
  <c r="G66" i="11"/>
  <c r="H66" i="11"/>
  <c r="I66" i="11"/>
  <c r="J66" i="11"/>
  <c r="N66" i="11"/>
  <c r="E90" i="11"/>
  <c r="F90" i="11"/>
  <c r="G90" i="11"/>
  <c r="H90" i="11"/>
  <c r="I90" i="11"/>
  <c r="J90" i="11"/>
  <c r="K90" i="11"/>
  <c r="L90" i="11"/>
  <c r="M90" i="11"/>
  <c r="N90" i="11"/>
  <c r="O90" i="11"/>
  <c r="P90" i="11"/>
  <c r="O56" i="11"/>
  <c r="P56" i="11"/>
  <c r="M56" i="11"/>
  <c r="E56" i="11"/>
  <c r="F56" i="11"/>
  <c r="G56" i="11"/>
  <c r="H56" i="11"/>
  <c r="I56" i="11"/>
  <c r="J56" i="11"/>
  <c r="K56" i="11"/>
  <c r="L56" i="11"/>
  <c r="N56" i="11"/>
  <c r="O66" i="11"/>
  <c r="P66" i="11"/>
  <c r="G29" i="1"/>
  <c r="H28" i="1" a="1"/>
  <c r="Z70" i="11" l="1" a="1"/>
  <c r="S70" i="11" a="1"/>
  <c r="T25" i="11" a="1"/>
  <c r="Y25" i="11" a="1"/>
  <c r="AB71" i="11" a="1"/>
  <c r="V71" i="11" a="1"/>
  <c r="S26" i="11" a="1"/>
  <c r="AB26" i="11" a="1"/>
  <c r="AB84" i="11" a="1"/>
  <c r="AA84" i="11" a="1"/>
  <c r="AA18" i="11" a="1"/>
  <c r="Q18" i="11" a="1"/>
  <c r="AB12" i="11" a="1"/>
  <c r="AA12" i="11" a="1"/>
  <c r="W13" i="11" a="1"/>
  <c r="AA13" i="11" a="1"/>
  <c r="X14" i="11" a="1"/>
  <c r="W14" i="11" a="1"/>
  <c r="T15" i="11" a="1"/>
  <c r="Y15" i="11" a="1"/>
  <c r="Z17" i="11" a="1"/>
  <c r="AB17" i="11" a="1"/>
  <c r="W21" i="11" a="1"/>
  <c r="T21" i="11" a="1"/>
  <c r="S22" i="11" a="1"/>
  <c r="R22" i="11" a="1"/>
  <c r="T23" i="11" a="1"/>
  <c r="Q23" i="11" a="1"/>
  <c r="W29" i="11" a="1"/>
  <c r="Y29" i="11" a="1"/>
  <c r="U20" i="11" a="1"/>
  <c r="Y20" i="11" a="1"/>
  <c r="W3" i="11" a="1"/>
  <c r="AB3" i="11" a="1"/>
  <c r="AB13" i="11" a="1"/>
  <c r="Z13" i="11" a="1"/>
  <c r="R15" i="11" a="1"/>
  <c r="U15" i="11" a="1"/>
  <c r="R21" i="11" a="1"/>
  <c r="AB21" i="11" a="1"/>
  <c r="T18" i="11" a="1"/>
  <c r="Y18" i="11" a="1"/>
  <c r="V12" i="11" a="1"/>
  <c r="S12" i="11" a="1"/>
  <c r="R13" i="11" a="1"/>
  <c r="Y13" i="11" a="1"/>
  <c r="V14" i="11" a="1"/>
  <c r="AB14" i="11" a="1"/>
  <c r="S14" i="11" a="1"/>
  <c r="L14" i="11"/>
  <c r="M14" i="11"/>
  <c r="N14" i="11"/>
  <c r="O14" i="11"/>
  <c r="P14" i="11"/>
  <c r="W17" i="11" a="1"/>
  <c r="U17" i="11" a="1"/>
  <c r="Z20" i="11" a="1"/>
  <c r="X20" i="11" a="1"/>
  <c r="Y21" i="11" a="1"/>
  <c r="U21" i="11" a="1"/>
  <c r="X21" i="11" a="1"/>
  <c r="K18" i="11"/>
  <c r="L18" i="11"/>
  <c r="S30" i="11" a="1"/>
  <c r="Z30" i="11" a="1"/>
  <c r="W22" i="11" a="1"/>
  <c r="T22" i="11" a="1"/>
  <c r="AB22" i="11" a="1"/>
  <c r="U23" i="11" a="1"/>
  <c r="Z23" i="11" a="1"/>
  <c r="Q28" i="11" a="1"/>
  <c r="Z28" i="11" a="1"/>
  <c r="U26" i="11" a="1"/>
  <c r="T26" i="11" a="1"/>
  <c r="V27" i="11" a="1"/>
  <c r="S27" i="11" a="1"/>
  <c r="G4" i="11"/>
  <c r="E4" i="11"/>
  <c r="AB29" i="11" a="1"/>
  <c r="X29" i="11" a="1"/>
  <c r="AA29" i="11" a="1"/>
  <c r="S18" i="11" a="1"/>
  <c r="AD18" i="11" s="1" a="1"/>
  <c r="M18" i="11"/>
  <c r="N18" i="11"/>
  <c r="O18" i="11"/>
  <c r="P18" i="11"/>
  <c r="E18" i="11"/>
  <c r="F18" i="11"/>
  <c r="G18" i="11"/>
  <c r="H18" i="11"/>
  <c r="I18" i="11"/>
  <c r="J18" i="11"/>
  <c r="Q9" i="11" a="1"/>
  <c r="T9" i="11" a="1"/>
  <c r="AA32" i="11" a="1"/>
  <c r="T32" i="11" a="1"/>
  <c r="S60" i="11" a="1"/>
  <c r="AB60" i="11" a="1"/>
  <c r="AA65" i="11" a="1"/>
  <c r="Z65" i="11" a="1"/>
  <c r="T20" i="11" a="1"/>
  <c r="AB20" i="11" a="1"/>
  <c r="R24" i="11" a="1"/>
  <c r="AB24" i="11" a="1"/>
  <c r="Y28" i="11" a="1"/>
  <c r="T28" i="11" a="1"/>
  <c r="AA23" i="11" a="1"/>
  <c r="R23" i="11" a="1"/>
  <c r="AB23" i="11" a="1"/>
  <c r="T39" i="11" a="1"/>
  <c r="Y39" i="11" a="1"/>
  <c r="V67" i="11" a="1"/>
  <c r="Z67" i="11" a="1"/>
  <c r="R67" i="11" a="1"/>
  <c r="Z12" i="11" a="1"/>
  <c r="E12" i="11"/>
  <c r="O12" i="11"/>
  <c r="F12" i="11"/>
  <c r="P12" i="11"/>
  <c r="G12" i="11"/>
  <c r="H12" i="11"/>
  <c r="T12" i="11" a="1"/>
  <c r="U13" i="11" a="1"/>
  <c r="X13" i="11" a="1"/>
  <c r="T13" i="11" a="1"/>
  <c r="Y14" i="11" a="1"/>
  <c r="AA14" i="11" a="1"/>
  <c r="U14" i="11" a="1"/>
  <c r="Q15" i="11" a="1"/>
  <c r="Z15" i="11" a="1"/>
  <c r="AA15" i="11" a="1"/>
  <c r="AB15" i="11" a="1"/>
  <c r="W15" i="11" a="1"/>
  <c r="V15" i="11" a="1"/>
  <c r="V17" i="11" a="1"/>
  <c r="AA17" i="11" a="1"/>
  <c r="Y17" i="11" a="1"/>
  <c r="X24" i="11" a="1"/>
  <c r="Y24" i="11" a="1"/>
  <c r="Z24" i="11" a="1"/>
  <c r="Z25" i="11" a="1"/>
  <c r="X25" i="11" a="1"/>
  <c r="R27" i="11" a="1"/>
  <c r="AB27" i="11" a="1"/>
  <c r="AB31" i="11" a="1"/>
  <c r="S31" i="11" a="1"/>
  <c r="U37" i="11" a="1"/>
  <c r="T37" i="11" a="1"/>
  <c r="V38" i="11" a="1"/>
  <c r="T38" i="11" a="1"/>
  <c r="W65" i="11" a="1"/>
  <c r="T65" i="11" a="1"/>
  <c r="T68" i="11" a="1"/>
  <c r="W68" i="11" a="1"/>
  <c r="I12" i="11"/>
  <c r="J12" i="11"/>
  <c r="K12" i="11"/>
  <c r="L12" i="11"/>
  <c r="M12" i="11"/>
  <c r="N12" i="11"/>
  <c r="J13" i="11"/>
  <c r="O13" i="11"/>
  <c r="N13" i="11"/>
  <c r="F13" i="11"/>
  <c r="E13" i="11"/>
  <c r="M13" i="11"/>
  <c r="L13" i="11"/>
  <c r="K13" i="11"/>
  <c r="I13" i="11"/>
  <c r="H13" i="11"/>
  <c r="G13" i="11"/>
  <c r="P13" i="11"/>
  <c r="S13" i="11" a="1"/>
  <c r="E14" i="11"/>
  <c r="F14" i="11"/>
  <c r="G14" i="11"/>
  <c r="Q14" i="11" a="1"/>
  <c r="R14" i="11" a="1"/>
  <c r="Z14" i="11" a="1"/>
  <c r="S20" i="11" a="1"/>
  <c r="Q20" i="11" a="1"/>
  <c r="P21" i="11"/>
  <c r="Q21" i="11" a="1"/>
  <c r="AA21" i="11" a="1"/>
  <c r="Y22" i="11" a="1"/>
  <c r="X22" i="11" a="1"/>
  <c r="G30" i="1"/>
  <c r="H29" i="1" a="1"/>
  <c r="Y12" i="11" a="1"/>
  <c r="U12" i="11" a="1"/>
  <c r="K16" i="11"/>
  <c r="L16" i="11"/>
  <c r="P16" i="11"/>
  <c r="O16" i="11"/>
  <c r="N16" i="11"/>
  <c r="M16" i="11"/>
  <c r="O17" i="11"/>
  <c r="K17" i="11"/>
  <c r="E17" i="11"/>
  <c r="F17" i="11"/>
  <c r="G17" i="11"/>
  <c r="H17" i="11"/>
  <c r="I17" i="11"/>
  <c r="J17" i="11"/>
  <c r="P17" i="11"/>
  <c r="L17" i="11"/>
  <c r="M17" i="11"/>
  <c r="N17" i="11"/>
  <c r="X28" i="11" a="1"/>
  <c r="S28" i="11" a="1"/>
  <c r="V25" i="11" a="1"/>
  <c r="AB25" i="11" a="1"/>
  <c r="W26" i="11" a="1"/>
  <c r="Y26" i="11" a="1"/>
  <c r="Q27" i="11" a="1"/>
  <c r="Z27" i="11" a="1"/>
  <c r="U27" i="11" a="1"/>
  <c r="Z32" i="11" a="1"/>
  <c r="X32" i="11" a="1"/>
  <c r="R33" i="11" a="1"/>
  <c r="U33" i="11" a="1"/>
  <c r="H14" i="11"/>
  <c r="I14" i="11"/>
  <c r="J14" i="11"/>
  <c r="K14" i="11"/>
  <c r="E15" i="11"/>
  <c r="F15" i="11"/>
  <c r="G15" i="11"/>
  <c r="H15" i="11"/>
  <c r="I15" i="11"/>
  <c r="J15" i="11"/>
  <c r="K15" i="11"/>
  <c r="L15" i="11"/>
  <c r="M15" i="11"/>
  <c r="N15" i="11"/>
  <c r="O15" i="11"/>
  <c r="P15" i="11"/>
  <c r="W23" i="11" a="1"/>
  <c r="V23" i="11" a="1"/>
  <c r="U24" i="11" a="1"/>
  <c r="T24" i="11" a="1"/>
  <c r="AA28" i="11" a="1"/>
  <c r="AB28" i="11" a="1"/>
  <c r="U28" i="11" a="1"/>
  <c r="V28" i="11" a="1"/>
  <c r="R26" i="11" a="1"/>
  <c r="Z26" i="11" a="1"/>
  <c r="AA27" i="11" a="1"/>
  <c r="W27" i="11" a="1"/>
  <c r="E9" i="11"/>
  <c r="F9" i="11"/>
  <c r="Q25" i="11" a="1"/>
  <c r="S25" i="11" a="1"/>
  <c r="AA25" i="11" a="1"/>
  <c r="V4" i="11" a="1"/>
  <c r="F4" i="11"/>
  <c r="T4" i="11" a="1"/>
  <c r="AB39" i="11" a="1"/>
  <c r="V39" i="11" a="1"/>
  <c r="W40" i="11" a="1"/>
  <c r="Y40" i="11" a="1"/>
  <c r="AA61" i="11" a="1"/>
  <c r="S61" i="11" a="1"/>
  <c r="T69" i="11" a="1"/>
  <c r="O69" i="11"/>
  <c r="X70" i="11" a="1"/>
  <c r="U70" i="11" a="1"/>
  <c r="W71" i="11" a="1"/>
  <c r="X71" i="11" a="1"/>
  <c r="Q87" i="11" a="1"/>
  <c r="AD87" i="11" s="1" a="1"/>
  <c r="R87" i="11" a="1"/>
  <c r="S87" i="11" a="1"/>
  <c r="T87" i="11" a="1"/>
  <c r="U87" i="11" a="1"/>
  <c r="V87" i="11" a="1"/>
  <c r="W87" i="11" a="1"/>
  <c r="X87" i="11" a="1"/>
  <c r="X3" i="11" a="1"/>
  <c r="R3" i="11" a="1"/>
  <c r="E16" i="11"/>
  <c r="F16" i="11"/>
  <c r="G16" i="11"/>
  <c r="H16" i="11"/>
  <c r="I16" i="11"/>
  <c r="J16" i="11"/>
  <c r="V16" i="11" a="1"/>
  <c r="U16" i="11" a="1"/>
  <c r="Q16" i="11" a="1"/>
  <c r="T16" i="11" a="1"/>
  <c r="S16" i="11" a="1"/>
  <c r="R16" i="11" a="1"/>
  <c r="AB16" i="11" a="1"/>
  <c r="AA16" i="11" a="1"/>
  <c r="Z16" i="11" a="1"/>
  <c r="Y16" i="11" a="1"/>
  <c r="X16" i="11" a="1"/>
  <c r="W16" i="11" a="1"/>
  <c r="R17" i="11" a="1"/>
  <c r="Q17" i="11" a="1"/>
  <c r="T17" i="11" a="1"/>
  <c r="S17" i="11" a="1"/>
  <c r="O20" i="11"/>
  <c r="P20" i="11"/>
  <c r="N20" i="11"/>
  <c r="K20" i="11"/>
  <c r="J20" i="11"/>
  <c r="I20" i="11"/>
  <c r="H20" i="11"/>
  <c r="G20" i="11"/>
  <c r="W20" i="11" a="1"/>
  <c r="AA20" i="11" a="1"/>
  <c r="M20" i="11"/>
  <c r="L20" i="11"/>
  <c r="E21" i="11"/>
  <c r="F21" i="11"/>
  <c r="G21" i="11"/>
  <c r="I21" i="11"/>
  <c r="J21" i="11"/>
  <c r="K21" i="11"/>
  <c r="L21" i="11"/>
  <c r="M21" i="11"/>
  <c r="N21" i="11"/>
  <c r="O21" i="11"/>
  <c r="Z21" i="11" a="1"/>
  <c r="V21" i="11" a="1"/>
  <c r="H21" i="11"/>
  <c r="U22" i="11" a="1"/>
  <c r="E22" i="11"/>
  <c r="G22" i="11"/>
  <c r="P22" i="11"/>
  <c r="O22" i="11"/>
  <c r="N22" i="11"/>
  <c r="M22" i="11"/>
  <c r="L22" i="11"/>
  <c r="K22" i="11"/>
  <c r="J22" i="11"/>
  <c r="I22" i="11"/>
  <c r="H22" i="11"/>
  <c r="F22" i="11"/>
  <c r="Z22" i="11" a="1"/>
  <c r="V22" i="11" a="1"/>
  <c r="S23" i="11" a="1"/>
  <c r="I23" i="11"/>
  <c r="J23" i="11"/>
  <c r="K23" i="11"/>
  <c r="L23" i="11"/>
  <c r="M23" i="11"/>
  <c r="O23" i="11"/>
  <c r="P23" i="11"/>
  <c r="F23" i="11"/>
  <c r="N23" i="11"/>
  <c r="E23" i="11"/>
  <c r="G23" i="11"/>
  <c r="H23" i="11"/>
  <c r="Y23" i="11" a="1"/>
  <c r="Q24" i="11" a="1"/>
  <c r="W24" i="11" a="1"/>
  <c r="AA24" i="11" a="1"/>
  <c r="R28" i="11" a="1"/>
  <c r="W28" i="11" a="1"/>
  <c r="W25" i="11" a="1"/>
  <c r="U25" i="11" a="1"/>
  <c r="V26" i="11" a="1"/>
  <c r="AA26" i="11" a="1"/>
  <c r="Q26" i="11" a="1"/>
  <c r="V52" i="11" a="1"/>
  <c r="X52" i="11" a="1"/>
  <c r="Y52" i="11" a="1"/>
  <c r="Z52" i="11" a="1"/>
  <c r="AA52" i="11" a="1"/>
  <c r="AB52" i="11" a="1"/>
  <c r="R52" i="11" a="1"/>
  <c r="S52" i="11" a="1"/>
  <c r="T52" i="11" a="1"/>
  <c r="U52" i="11" a="1"/>
  <c r="AB86" i="11" a="1"/>
  <c r="AA86" i="11" a="1"/>
  <c r="E20" i="11"/>
  <c r="F20" i="11"/>
  <c r="V9" i="11" a="1"/>
  <c r="W9" i="11" a="1"/>
  <c r="AA9" i="11" a="1"/>
  <c r="S10" i="11" a="1"/>
  <c r="V10" i="11" a="1"/>
  <c r="Q37" i="11" a="1"/>
  <c r="R37" i="11" a="1"/>
  <c r="AB38" i="11" a="1"/>
  <c r="R38" i="11" a="1"/>
  <c r="AA69" i="11" a="1"/>
  <c r="V69" i="11" a="1"/>
  <c r="S71" i="11" a="1"/>
  <c r="Z71" i="11" a="1"/>
  <c r="Z86" i="11" a="1"/>
  <c r="V86" i="11" a="1"/>
  <c r="V30" i="11" a="1"/>
  <c r="Y30" i="11" a="1"/>
  <c r="R10" i="11" a="1"/>
  <c r="Z10" i="11" a="1"/>
  <c r="W4" i="11" a="1"/>
  <c r="Z4" i="11" a="1"/>
  <c r="Y7" i="11" a="1"/>
  <c r="R7" i="11" a="1"/>
  <c r="AA7" i="11" a="1"/>
  <c r="V60" i="11" a="1"/>
  <c r="AA60" i="11" a="1"/>
  <c r="AB63" i="11" a="1"/>
  <c r="W63" i="11" a="1"/>
  <c r="Y68" i="11" a="1"/>
  <c r="F68" i="11"/>
  <c r="AB68" i="11" a="1"/>
  <c r="E68" i="11"/>
  <c r="G68" i="11"/>
  <c r="H68" i="11"/>
  <c r="I68" i="11"/>
  <c r="T27" i="11" a="1"/>
  <c r="Y27" i="11" a="1"/>
  <c r="Y31" i="11" a="1"/>
  <c r="Q31" i="11" a="1"/>
  <c r="AA31" i="11" a="1"/>
  <c r="W67" i="11" a="1"/>
  <c r="X67" i="11" a="1"/>
  <c r="AA33" i="11" a="1"/>
  <c r="AB33" i="11" a="1"/>
  <c r="Q34" i="11" a="1"/>
  <c r="R34" i="11" a="1"/>
  <c r="S34" i="11" a="1"/>
  <c r="T34" i="11" a="1"/>
  <c r="U34" i="11" a="1"/>
  <c r="V34" i="11" a="1"/>
  <c r="W34" i="11" a="1"/>
  <c r="X34" i="11" a="1"/>
  <c r="Y34" i="11" a="1"/>
  <c r="Z34" i="11" a="1"/>
  <c r="AA34" i="11" a="1"/>
  <c r="AB34" i="11" a="1"/>
  <c r="AA37" i="11" a="1"/>
  <c r="AB37" i="11" a="1"/>
  <c r="X61" i="11" a="1"/>
  <c r="V61" i="11" a="1"/>
  <c r="V65" i="11" a="1"/>
  <c r="U65" i="11" a="1"/>
  <c r="T84" i="11" a="1"/>
  <c r="V84" i="11" a="1"/>
  <c r="J24" i="11"/>
  <c r="G24" i="11"/>
  <c r="H24" i="11"/>
  <c r="I24" i="11"/>
  <c r="K24" i="11"/>
  <c r="L24" i="11"/>
  <c r="M24" i="11"/>
  <c r="N24" i="11"/>
  <c r="O24" i="11"/>
  <c r="P24" i="11"/>
  <c r="E24" i="11"/>
  <c r="F24" i="11"/>
  <c r="I25" i="11"/>
  <c r="J25" i="11"/>
  <c r="O25" i="11"/>
  <c r="E25" i="11"/>
  <c r="F25" i="11"/>
  <c r="G25" i="11"/>
  <c r="H25" i="11"/>
  <c r="L25" i="11"/>
  <c r="M25" i="11"/>
  <c r="N25" i="11"/>
  <c r="P25" i="11"/>
  <c r="K25" i="11"/>
  <c r="X26" i="11" a="1"/>
  <c r="H26" i="11"/>
  <c r="AA51" i="11" a="1"/>
  <c r="AB51" i="11" a="1"/>
  <c r="Z51" i="11" a="1"/>
  <c r="T51" i="11" a="1"/>
  <c r="U51" i="11" a="1"/>
  <c r="V51" i="11" a="1"/>
  <c r="W51" i="11" a="1"/>
  <c r="X51" i="11" a="1"/>
  <c r="Y51" i="11" a="1"/>
  <c r="Q52" i="11" a="1"/>
  <c r="AD52" i="11" s="1" a="1"/>
  <c r="E52" i="11"/>
  <c r="F52" i="11"/>
  <c r="S51" i="11" a="1"/>
  <c r="R51" i="11" a="1"/>
  <c r="R9" i="11" a="1"/>
  <c r="X9" i="11" a="1"/>
  <c r="AA10" i="11" a="1"/>
  <c r="T10" i="11" a="1"/>
  <c r="AB10" i="11" a="1"/>
  <c r="Q5" i="11" a="1"/>
  <c r="Y5" i="11" a="1"/>
  <c r="W6" i="11" a="1"/>
  <c r="V6" i="11" a="1"/>
  <c r="AB6" i="11" a="1"/>
  <c r="V8" i="11" a="1"/>
  <c r="T8" i="11" a="1"/>
  <c r="AB8" i="11" a="1"/>
  <c r="AA68" i="11" a="1"/>
  <c r="X68" i="11" a="1"/>
  <c r="U69" i="11" a="1"/>
  <c r="Z69" i="11" a="1"/>
  <c r="N69" i="11"/>
  <c r="P69" i="11"/>
  <c r="AA70" i="11" a="1"/>
  <c r="E70" i="11"/>
  <c r="R83" i="11" a="1"/>
  <c r="S83" i="11" a="1"/>
  <c r="T83" i="11" a="1"/>
  <c r="U83" i="11" a="1"/>
  <c r="V83" i="11" a="1"/>
  <c r="S86" i="11" a="1"/>
  <c r="W86" i="11" a="1"/>
  <c r="P28" i="11"/>
  <c r="F28" i="11"/>
  <c r="G28" i="11"/>
  <c r="H28" i="11"/>
  <c r="I28" i="11"/>
  <c r="J28" i="11"/>
  <c r="K28" i="11"/>
  <c r="L28" i="11"/>
  <c r="M28" i="11"/>
  <c r="N28" i="11"/>
  <c r="O28" i="11"/>
  <c r="E28" i="11"/>
  <c r="I26" i="11"/>
  <c r="J26" i="11"/>
  <c r="K26" i="11"/>
  <c r="L26" i="11"/>
  <c r="M26" i="11"/>
  <c r="N26" i="11"/>
  <c r="O26" i="11"/>
  <c r="P26" i="11"/>
  <c r="G26" i="11"/>
  <c r="E26" i="11"/>
  <c r="F26" i="11"/>
  <c r="P27" i="11"/>
  <c r="E27" i="11"/>
  <c r="F27" i="11"/>
  <c r="G27" i="11"/>
  <c r="H27" i="11"/>
  <c r="I27" i="11"/>
  <c r="J27" i="11"/>
  <c r="K27" i="11"/>
  <c r="L27" i="11"/>
  <c r="M27" i="11"/>
  <c r="N27" i="11"/>
  <c r="O27" i="11"/>
  <c r="X83" i="11" a="1"/>
  <c r="W83" i="11" a="1"/>
  <c r="Y83" i="11" a="1"/>
  <c r="Z83" i="11" a="1"/>
  <c r="AB83" i="11" a="1"/>
  <c r="AA83" i="11" a="1"/>
  <c r="S84" i="11" a="1"/>
  <c r="R84" i="11" a="1"/>
  <c r="AA5" i="11" a="1"/>
  <c r="R5" i="11" a="1"/>
  <c r="P60" i="11"/>
  <c r="T60" i="11" a="1"/>
  <c r="R70" i="11" a="1"/>
  <c r="T70" i="11" a="1"/>
  <c r="V3" i="11" a="1"/>
  <c r="U3" i="11" a="1"/>
  <c r="Z3" i="11" a="1"/>
  <c r="W7" i="11" a="1"/>
  <c r="T7" i="11" a="1"/>
  <c r="Z7" i="11" a="1"/>
  <c r="X35" i="11" a="1"/>
  <c r="Y35" i="11" a="1"/>
  <c r="Z35" i="11" a="1"/>
  <c r="Q38" i="11" a="1"/>
  <c r="K38" i="11"/>
  <c r="S88" i="11" a="1"/>
  <c r="T88" i="11" a="1"/>
  <c r="R35" i="11" a="1"/>
  <c r="AA35" i="11" a="1"/>
  <c r="AB35" i="11" a="1"/>
  <c r="AB36" i="11" a="1"/>
  <c r="Q36" i="11" a="1"/>
  <c r="R36" i="11" a="1"/>
  <c r="S36" i="11" a="1"/>
  <c r="T36" i="11" a="1"/>
  <c r="U36" i="11" a="1"/>
  <c r="V36" i="11" a="1"/>
  <c r="W36" i="11" a="1"/>
  <c r="X36" i="11" a="1"/>
  <c r="Y36" i="11" a="1"/>
  <c r="Z36" i="11" a="1"/>
  <c r="AA36" i="11" a="1"/>
  <c r="Q62" i="11" a="1"/>
  <c r="AD62" i="11" s="1" a="1"/>
  <c r="R62" i="11" a="1"/>
  <c r="S62" i="11" a="1"/>
  <c r="T62" i="11" a="1"/>
  <c r="U62" i="11" a="1"/>
  <c r="V62" i="11" a="1"/>
  <c r="W62" i="11" a="1"/>
  <c r="Q67" i="11" a="1"/>
  <c r="AD67" i="11" s="1" a="1"/>
  <c r="Y67" i="11" a="1"/>
  <c r="R68" i="11" a="1"/>
  <c r="Z68" i="11" a="1"/>
  <c r="X88" i="11" a="1"/>
  <c r="U88" i="11" a="1"/>
  <c r="V88" i="11" a="1"/>
  <c r="W88" i="11" a="1"/>
  <c r="Z9" i="11" a="1"/>
  <c r="O9" i="11"/>
  <c r="P9" i="11"/>
  <c r="G9" i="11"/>
  <c r="H9" i="11"/>
  <c r="I9" i="11"/>
  <c r="J9" i="11"/>
  <c r="K9" i="11"/>
  <c r="L9" i="11"/>
  <c r="M9" i="11"/>
  <c r="N9" i="11"/>
  <c r="Y9" i="11" a="1"/>
  <c r="U9" i="11" a="1"/>
  <c r="S9" i="11" a="1"/>
  <c r="AB9" i="11" a="1"/>
  <c r="W10" i="11" a="1"/>
  <c r="L10" i="11"/>
  <c r="E10" i="11"/>
  <c r="F10" i="11"/>
  <c r="G10" i="11"/>
  <c r="H10" i="11"/>
  <c r="I10" i="11"/>
  <c r="J10" i="11"/>
  <c r="K10" i="11"/>
  <c r="M10" i="11"/>
  <c r="O10" i="11"/>
  <c r="N10" i="11"/>
  <c r="P10" i="11"/>
  <c r="U10" i="11" a="1"/>
  <c r="X60" i="11" a="1"/>
  <c r="R60" i="11" a="1"/>
  <c r="W61" i="11" a="1"/>
  <c r="T61" i="11" a="1"/>
  <c r="Y70" i="11" a="1"/>
  <c r="V70" i="11" a="1"/>
  <c r="AA71" i="11" a="1"/>
  <c r="Y71" i="11" a="1"/>
  <c r="T86" i="11" a="1"/>
  <c r="R86" i="11" a="1"/>
  <c r="AA67" i="11" a="1"/>
  <c r="U67" i="11" a="1"/>
  <c r="U68" i="11" a="1"/>
  <c r="V68" i="11" a="1"/>
  <c r="K68" i="11"/>
  <c r="M68" i="11"/>
  <c r="W69" i="11" a="1"/>
  <c r="X69" i="11" a="1"/>
  <c r="Y3" i="11" a="1"/>
  <c r="T3" i="11" a="1"/>
  <c r="H4" i="11"/>
  <c r="S4" i="11" a="1"/>
  <c r="AB4" i="11" a="1"/>
  <c r="W5" i="11" a="1"/>
  <c r="V5" i="11" a="1"/>
  <c r="U6" i="11" a="1"/>
  <c r="R6" i="11" a="1"/>
  <c r="AA6" i="11" a="1"/>
  <c r="X8" i="11" a="1"/>
  <c r="S8" i="11" a="1"/>
  <c r="AA8" i="11" a="1"/>
  <c r="Z19" i="11" a="1"/>
  <c r="AA19" i="11" a="1"/>
  <c r="U19" i="11" a="1"/>
  <c r="V19" i="11" a="1"/>
  <c r="W19" i="11" a="1"/>
  <c r="X19" i="11" a="1"/>
  <c r="Y19" i="11" a="1"/>
  <c r="Y65" i="11" a="1"/>
  <c r="S65" i="11" a="1"/>
  <c r="K51" i="11"/>
  <c r="E51" i="11"/>
  <c r="U31" i="11" a="1"/>
  <c r="V31" i="11" a="1"/>
  <c r="W60" i="11" a="1"/>
  <c r="Q60" i="11" a="1"/>
  <c r="AD60" i="11" s="1" a="1"/>
  <c r="Z61" i="11" a="1"/>
  <c r="Q61" i="11" a="1"/>
  <c r="R61" i="11" a="1"/>
  <c r="Z63" i="11" a="1"/>
  <c r="X63" i="11" a="1"/>
  <c r="Q70" i="11" a="1"/>
  <c r="AD70" i="11" s="1" a="1"/>
  <c r="W70" i="11" a="1"/>
  <c r="AB70" i="11" a="1"/>
  <c r="T71" i="11" a="1"/>
  <c r="U71" i="11" a="1"/>
  <c r="Z84" i="11" a="1"/>
  <c r="W84" i="11" a="1"/>
  <c r="Y88" i="11" a="1"/>
  <c r="Z88" i="11" a="1"/>
  <c r="AA88" i="11" a="1"/>
  <c r="AB88" i="11" a="1"/>
  <c r="F51" i="11"/>
  <c r="G51" i="11"/>
  <c r="H51" i="11"/>
  <c r="I51" i="11"/>
  <c r="S29" i="11" a="1"/>
  <c r="Z29" i="11" a="1"/>
  <c r="Q89" i="11" a="1"/>
  <c r="AD89" i="11" s="1" a="1"/>
  <c r="R89" i="11" a="1"/>
  <c r="J51" i="11"/>
  <c r="L51" i="11"/>
  <c r="M51" i="11"/>
  <c r="N51" i="11"/>
  <c r="Y10" i="11" a="1"/>
  <c r="Q10" i="11" a="1"/>
  <c r="X10" i="11" a="1"/>
  <c r="R4" i="11" a="1"/>
  <c r="U4" i="11" a="1"/>
  <c r="AA4" i="11" a="1"/>
  <c r="Y32" i="11" a="1"/>
  <c r="W32" i="11" a="1"/>
  <c r="S39" i="11" a="1"/>
  <c r="Q39" i="11" a="1"/>
  <c r="S40" i="11" a="1"/>
  <c r="R40" i="11" a="1"/>
  <c r="T40" i="11" a="1"/>
  <c r="U40" i="11" a="1"/>
  <c r="V40" i="11" a="1"/>
  <c r="R69" i="11" a="1"/>
  <c r="Q69" i="11" a="1"/>
  <c r="AD69" i="11" s="1" a="1"/>
  <c r="S89" i="11" a="1"/>
  <c r="T89" i="11" a="1"/>
  <c r="U89" i="11" a="1"/>
  <c r="V89" i="11" a="1"/>
  <c r="W89" i="11" a="1"/>
  <c r="X89" i="11" a="1"/>
  <c r="Y89" i="11" a="1"/>
  <c r="Z89" i="11" a="1"/>
  <c r="AA89" i="11" a="1"/>
  <c r="AB89" i="11" a="1"/>
  <c r="N52" i="11"/>
  <c r="M52" i="11"/>
  <c r="K52" i="11"/>
  <c r="J52" i="11"/>
  <c r="I52" i="11"/>
  <c r="H52" i="11"/>
  <c r="G52" i="11"/>
  <c r="AB7" i="11" a="1"/>
  <c r="S7" i="11" a="1"/>
  <c r="V72" i="11" a="1"/>
  <c r="U72" i="11" a="1"/>
  <c r="T72" i="11" a="1"/>
  <c r="P72" i="11"/>
  <c r="O72" i="11"/>
  <c r="N72" i="11"/>
  <c r="J73" i="11"/>
  <c r="G73" i="11"/>
  <c r="H73" i="11"/>
  <c r="I73" i="11"/>
  <c r="Y84" i="11" a="1"/>
  <c r="Q84" i="11" a="1"/>
  <c r="AD84" i="11" s="1" a="1"/>
  <c r="T85" i="11" a="1"/>
  <c r="Y85" i="11" a="1"/>
  <c r="Q85" i="11" a="1"/>
  <c r="AD85" i="11" s="1" a="1"/>
  <c r="S85" i="11" a="1"/>
  <c r="X85" i="11" a="1"/>
  <c r="Z85" i="11" a="1"/>
  <c r="W85" i="11" a="1"/>
  <c r="AB85" i="11" a="1"/>
  <c r="V85" i="11" a="1"/>
  <c r="AA85" i="11" a="1"/>
  <c r="R85" i="11" a="1"/>
  <c r="U85" i="11" a="1"/>
  <c r="P51" i="11"/>
  <c r="O51" i="11"/>
  <c r="O52" i="11"/>
  <c r="L52" i="11"/>
  <c r="P52" i="11"/>
  <c r="X65" i="11" a="1"/>
  <c r="Q65" i="11" a="1"/>
  <c r="AD65" i="11" s="1" a="1"/>
  <c r="T67" i="11" a="1"/>
  <c r="AB67" i="11" a="1"/>
  <c r="S72" i="11" a="1"/>
  <c r="Q72" i="11" a="1"/>
  <c r="AD72" i="11" s="1" a="1"/>
  <c r="R72" i="11" a="1"/>
  <c r="AB72" i="11" a="1"/>
  <c r="AA72" i="11" a="1"/>
  <c r="Z72" i="11" a="1"/>
  <c r="Y72" i="11" a="1"/>
  <c r="X72" i="11" a="1"/>
  <c r="W72" i="11" a="1"/>
  <c r="AB73" i="11" a="1"/>
  <c r="AA73" i="11" a="1"/>
  <c r="Z73" i="11" a="1"/>
  <c r="Y73" i="11" a="1"/>
  <c r="R73" i="11" a="1"/>
  <c r="Q73" i="11" a="1"/>
  <c r="AD73" i="11" s="1" a="1"/>
  <c r="T73" i="11" a="1"/>
  <c r="U73" i="11" a="1"/>
  <c r="V73" i="11" a="1"/>
  <c r="W73" i="11" a="1"/>
  <c r="X73" i="11" a="1"/>
  <c r="S73" i="11" a="1"/>
  <c r="X4" i="11" a="1"/>
  <c r="P4" i="11"/>
  <c r="M4" i="11"/>
  <c r="N4" i="11"/>
  <c r="J4" i="11"/>
  <c r="I4" i="11"/>
  <c r="L4" i="11"/>
  <c r="Q4" i="11" a="1"/>
  <c r="O4" i="11"/>
  <c r="K4" i="11"/>
  <c r="O5" i="11"/>
  <c r="N5" i="11"/>
  <c r="M5" i="11"/>
  <c r="L5" i="11"/>
  <c r="J5" i="11"/>
  <c r="I5" i="11"/>
  <c r="K5" i="11"/>
  <c r="U5" i="11" a="1"/>
  <c r="T5" i="11" a="1"/>
  <c r="Z5" i="11" a="1"/>
  <c r="P5" i="11"/>
  <c r="E5" i="11"/>
  <c r="F5" i="11"/>
  <c r="G5" i="11"/>
  <c r="H5" i="11"/>
  <c r="X6" i="11" a="1"/>
  <c r="Q6" i="11" a="1"/>
  <c r="Y6" i="11" a="1"/>
  <c r="Z6" i="11" a="1"/>
  <c r="S6" i="11" a="1"/>
  <c r="F6" i="11"/>
  <c r="P6" i="11"/>
  <c r="O6" i="11"/>
  <c r="M6" i="11"/>
  <c r="L6" i="11"/>
  <c r="K6" i="11"/>
  <c r="J6" i="11"/>
  <c r="I6" i="11"/>
  <c r="H6" i="11"/>
  <c r="G6" i="11"/>
  <c r="N6" i="11"/>
  <c r="E6" i="11"/>
  <c r="V7" i="11" a="1"/>
  <c r="F7" i="11"/>
  <c r="I7" i="11"/>
  <c r="K7" i="11"/>
  <c r="P7" i="11"/>
  <c r="L7" i="11"/>
  <c r="N7" i="11"/>
  <c r="J7" i="11"/>
  <c r="H7" i="11"/>
  <c r="G7" i="11"/>
  <c r="X7" i="11" a="1"/>
  <c r="Q7" i="11" a="1"/>
  <c r="U7" i="11" a="1"/>
  <c r="M7" i="11"/>
  <c r="E7" i="11"/>
  <c r="O7" i="11"/>
  <c r="Q8" i="11" a="1"/>
  <c r="E8" i="11"/>
  <c r="Y8" i="11" a="1"/>
  <c r="U8" i="11" a="1"/>
  <c r="K29" i="11"/>
  <c r="L29" i="11"/>
  <c r="M29" i="11"/>
  <c r="N29" i="11"/>
  <c r="O29" i="11"/>
  <c r="P29" i="11"/>
  <c r="E29" i="11"/>
  <c r="R29" i="11" a="1"/>
  <c r="U29" i="11" a="1"/>
  <c r="Q29" i="11" a="1"/>
  <c r="T29" i="11" a="1"/>
  <c r="V29" i="11" a="1"/>
  <c r="J29" i="11"/>
  <c r="F29" i="11"/>
  <c r="G29" i="11"/>
  <c r="H29" i="11"/>
  <c r="I29" i="11"/>
  <c r="E30" i="11"/>
  <c r="P30" i="11"/>
  <c r="R30" i="11" a="1"/>
  <c r="N30" i="11"/>
  <c r="O30" i="11"/>
  <c r="J30" i="11"/>
  <c r="M30" i="11"/>
  <c r="L30" i="11"/>
  <c r="I30" i="11"/>
  <c r="G30" i="11"/>
  <c r="W30" i="11" a="1"/>
  <c r="H30" i="11"/>
  <c r="F30" i="11"/>
  <c r="K30" i="11"/>
  <c r="Z31" i="11" a="1"/>
  <c r="M31" i="11"/>
  <c r="E31" i="11"/>
  <c r="P31" i="11"/>
  <c r="X31" i="11" a="1"/>
  <c r="T31" i="11" a="1"/>
  <c r="J31" i="11"/>
  <c r="F31" i="11"/>
  <c r="O31" i="11"/>
  <c r="H31" i="11"/>
  <c r="G31" i="11"/>
  <c r="I31" i="11"/>
  <c r="L31" i="11"/>
  <c r="K31" i="11"/>
  <c r="N31" i="11"/>
  <c r="M32" i="11"/>
  <c r="N32" i="11"/>
  <c r="V32" i="11" a="1"/>
  <c r="O32" i="11"/>
  <c r="P32" i="11"/>
  <c r="E32" i="11"/>
  <c r="F32" i="11"/>
  <c r="G32" i="11"/>
  <c r="U32" i="11" a="1"/>
  <c r="H32" i="11"/>
  <c r="I32" i="11"/>
  <c r="J32" i="11"/>
  <c r="K32" i="11"/>
  <c r="L32" i="11"/>
  <c r="I33" i="11"/>
  <c r="F33" i="11"/>
  <c r="J33" i="11"/>
  <c r="H33" i="11"/>
  <c r="G33" i="11"/>
  <c r="Z33" i="11" a="1"/>
  <c r="Y33" i="11" a="1"/>
  <c r="X33" i="11" a="1"/>
  <c r="T33" i="11" a="1"/>
  <c r="W33" i="11" a="1"/>
  <c r="E33" i="11"/>
  <c r="K33" i="11"/>
  <c r="L33" i="11"/>
  <c r="M33" i="11"/>
  <c r="N33" i="11"/>
  <c r="O33" i="11"/>
  <c r="P33" i="11"/>
  <c r="I34" i="11"/>
  <c r="H34" i="11"/>
  <c r="G34" i="11"/>
  <c r="N34" i="11"/>
  <c r="F34" i="11"/>
  <c r="E34" i="11"/>
  <c r="J34" i="11"/>
  <c r="P34" i="11"/>
  <c r="O34" i="11"/>
  <c r="M34" i="11"/>
  <c r="L34" i="11"/>
  <c r="K34" i="11"/>
  <c r="E35" i="11"/>
  <c r="Q35" i="11" a="1"/>
  <c r="V35" i="11" a="1"/>
  <c r="W35" i="11" a="1"/>
  <c r="S35" i="11" a="1"/>
  <c r="U35" i="11" a="1"/>
  <c r="T35" i="11" a="1"/>
  <c r="F35" i="11"/>
  <c r="L36" i="11"/>
  <c r="O36" i="11"/>
  <c r="P36" i="11"/>
  <c r="I36" i="11"/>
  <c r="K36" i="11"/>
  <c r="M36" i="11"/>
  <c r="N36" i="11"/>
  <c r="J36" i="11"/>
  <c r="E36" i="11"/>
  <c r="F36" i="11"/>
  <c r="G36" i="11"/>
  <c r="H36" i="11"/>
  <c r="M37" i="11"/>
  <c r="K37" i="11"/>
  <c r="L37" i="11"/>
  <c r="I37" i="11"/>
  <c r="J37" i="11"/>
  <c r="H37" i="11"/>
  <c r="G37" i="11"/>
  <c r="P37" i="11"/>
  <c r="V37" i="11" a="1"/>
  <c r="Z37" i="11" a="1"/>
  <c r="O37" i="11"/>
  <c r="N37" i="11"/>
  <c r="E37" i="11"/>
  <c r="F37" i="11"/>
  <c r="U38" i="11" a="1"/>
  <c r="F38" i="11"/>
  <c r="Y38" i="11" a="1"/>
  <c r="Z38" i="11" a="1"/>
  <c r="U39" i="11" a="1"/>
  <c r="X39" i="11" a="1"/>
  <c r="Z39" i="11" a="1"/>
  <c r="AA40" i="11" a="1"/>
  <c r="AB40" i="11" a="1"/>
  <c r="X40" i="11" a="1"/>
  <c r="Z60" i="11" a="1"/>
  <c r="N60" i="11"/>
  <c r="O60" i="11"/>
  <c r="E60" i="11"/>
  <c r="F60" i="11"/>
  <c r="G60" i="11"/>
  <c r="H60" i="11"/>
  <c r="I60" i="11"/>
  <c r="J60" i="11"/>
  <c r="K60" i="11"/>
  <c r="L60" i="11"/>
  <c r="M60" i="11"/>
  <c r="AB62" i="11" a="1"/>
  <c r="AA62" i="11" a="1"/>
  <c r="Z62" i="11" a="1"/>
  <c r="Y62" i="11" a="1"/>
  <c r="X62" i="11" a="1"/>
  <c r="Q63" i="11" a="1"/>
  <c r="AD63" i="11" s="1" a="1"/>
  <c r="R63" i="11" a="1"/>
  <c r="T63" i="11" a="1"/>
  <c r="V63" i="11" a="1"/>
  <c r="S63" i="11" a="1"/>
  <c r="U63" i="11" a="1"/>
  <c r="N67" i="11"/>
  <c r="O67" i="11"/>
  <c r="M67" i="11"/>
  <c r="L67" i="11"/>
  <c r="P67" i="11"/>
  <c r="P68" i="11"/>
  <c r="N68" i="11"/>
  <c r="L68" i="11"/>
  <c r="J68" i="11"/>
  <c r="O68" i="11"/>
  <c r="I69" i="11"/>
  <c r="AB69" i="11" a="1"/>
  <c r="E69" i="11"/>
  <c r="F69" i="11"/>
  <c r="G69" i="11"/>
  <c r="H69" i="11"/>
  <c r="J69" i="11"/>
  <c r="K69" i="11"/>
  <c r="L69" i="11"/>
  <c r="M69" i="11"/>
  <c r="K70" i="11"/>
  <c r="L70" i="11"/>
  <c r="P70" i="11"/>
  <c r="F70" i="11"/>
  <c r="G70" i="11"/>
  <c r="M70" i="11"/>
  <c r="H70" i="11"/>
  <c r="J70" i="11"/>
  <c r="I70" i="11"/>
  <c r="N70" i="11"/>
  <c r="O70" i="11"/>
  <c r="J71" i="11"/>
  <c r="R71" i="11" a="1"/>
  <c r="Q71" i="11" a="1"/>
  <c r="AD71" i="11" s="1" a="1"/>
  <c r="I71" i="11"/>
  <c r="H71" i="11"/>
  <c r="G71" i="11"/>
  <c r="F71" i="11"/>
  <c r="E71" i="11"/>
  <c r="P71" i="11"/>
  <c r="O71" i="11"/>
  <c r="N71" i="11"/>
  <c r="M71" i="11"/>
  <c r="K71" i="11"/>
  <c r="L71" i="11"/>
  <c r="L72" i="11"/>
  <c r="M72" i="11"/>
  <c r="E72" i="11"/>
  <c r="K72" i="11"/>
  <c r="F72" i="11"/>
  <c r="H72" i="11"/>
  <c r="I72" i="11"/>
  <c r="J72" i="11"/>
  <c r="G72" i="11"/>
  <c r="X84" i="11" a="1"/>
  <c r="U84" i="11" a="1"/>
  <c r="Q86" i="11" a="1"/>
  <c r="AD86" i="11" s="1" a="1"/>
  <c r="X86" i="11" a="1"/>
  <c r="Y86" i="11" a="1"/>
  <c r="AA87" i="11" a="1"/>
  <c r="AB87" i="11" a="1"/>
  <c r="Y87" i="11" a="1"/>
  <c r="Z87" i="11" a="1"/>
  <c r="L87" i="11"/>
  <c r="K87" i="11"/>
  <c r="P87" i="11"/>
  <c r="O87" i="11"/>
  <c r="N87" i="11"/>
  <c r="M87" i="11"/>
  <c r="Q88" i="11" a="1"/>
  <c r="AD88" i="11" s="1" a="1"/>
  <c r="R88" i="11" a="1"/>
  <c r="AA3" i="11" a="1"/>
  <c r="S3" i="11" a="1"/>
  <c r="AD90" i="11" a="1"/>
  <c r="AB5" i="11" a="1"/>
  <c r="S5" i="11" a="1"/>
  <c r="M8" i="11"/>
  <c r="K8" i="11"/>
  <c r="I8" i="11"/>
  <c r="L8" i="11"/>
  <c r="W8" i="11" a="1"/>
  <c r="J8" i="11"/>
  <c r="H8" i="11"/>
  <c r="G8" i="11"/>
  <c r="O8" i="11"/>
  <c r="P8" i="11"/>
  <c r="F8" i="11"/>
  <c r="N8" i="11"/>
  <c r="R8" i="11" a="1"/>
  <c r="E19" i="11"/>
  <c r="F19" i="11"/>
  <c r="S19" i="11" a="1"/>
  <c r="K19" i="11"/>
  <c r="G19" i="11"/>
  <c r="Q19" i="11" a="1"/>
  <c r="J19" i="11"/>
  <c r="I19" i="11"/>
  <c r="L19" i="11"/>
  <c r="R19" i="11" a="1"/>
  <c r="T19" i="11" a="1"/>
  <c r="N19" i="11"/>
  <c r="H19" i="11"/>
  <c r="M19" i="11"/>
  <c r="O19" i="11"/>
  <c r="P19" i="11"/>
  <c r="T30" i="11" a="1"/>
  <c r="AA30" i="11" a="1"/>
  <c r="Q30" i="11" a="1"/>
  <c r="U30" i="11" a="1"/>
  <c r="AB32" i="11" a="1"/>
  <c r="R32" i="11" a="1"/>
  <c r="S33" i="11" a="1"/>
  <c r="V33" i="11" a="1"/>
  <c r="I35" i="11"/>
  <c r="H35" i="11"/>
  <c r="G35" i="11"/>
  <c r="P35" i="11"/>
  <c r="M35" i="11"/>
  <c r="L35" i="11"/>
  <c r="K35" i="11"/>
  <c r="N35" i="11"/>
  <c r="J35" i="11"/>
  <c r="O35" i="11"/>
  <c r="W37" i="11" a="1"/>
  <c r="S37" i="11" a="1"/>
  <c r="X37" i="11" a="1"/>
  <c r="E38" i="11"/>
  <c r="W38" i="11" a="1"/>
  <c r="AA38" i="11" a="1"/>
  <c r="S38" i="11" a="1"/>
  <c r="G38" i="11"/>
  <c r="H38" i="11"/>
  <c r="I38" i="11"/>
  <c r="L38" i="11"/>
  <c r="M38" i="11"/>
  <c r="N38" i="11"/>
  <c r="O38" i="11"/>
  <c r="P38" i="11"/>
  <c r="J38" i="11"/>
  <c r="AA39" i="11" a="1"/>
  <c r="N39" i="11"/>
  <c r="R39" i="11" a="1"/>
  <c r="L39" i="11"/>
  <c r="M39" i="11"/>
  <c r="O39" i="11"/>
  <c r="P39" i="11"/>
  <c r="E39" i="11"/>
  <c r="F39" i="11"/>
  <c r="G39" i="11"/>
  <c r="H39" i="11"/>
  <c r="I39" i="11"/>
  <c r="J39" i="11"/>
  <c r="K39" i="11"/>
  <c r="W39" i="11" a="1"/>
  <c r="Q40" i="11" a="1"/>
  <c r="P40" i="11"/>
  <c r="I40" i="11"/>
  <c r="E40" i="11"/>
  <c r="F40" i="11"/>
  <c r="G40" i="11"/>
  <c r="H40" i="11"/>
  <c r="J40" i="11"/>
  <c r="Z40" i="11" a="1"/>
  <c r="L40" i="11"/>
  <c r="M40" i="11"/>
  <c r="N40" i="11"/>
  <c r="O40" i="11"/>
  <c r="K40" i="11"/>
  <c r="N61" i="11"/>
  <c r="O61" i="11"/>
  <c r="P61" i="11"/>
  <c r="E61" i="11"/>
  <c r="F61" i="11"/>
  <c r="G61" i="11"/>
  <c r="H61" i="11"/>
  <c r="I61" i="11"/>
  <c r="J61" i="11"/>
  <c r="AB61" i="11" a="1"/>
  <c r="L61" i="11"/>
  <c r="M61" i="11"/>
  <c r="K61" i="11"/>
  <c r="O62" i="11"/>
  <c r="P62" i="11"/>
  <c r="E62" i="11"/>
  <c r="F62" i="11"/>
  <c r="G62" i="11"/>
  <c r="H62" i="11"/>
  <c r="I62" i="11"/>
  <c r="J62" i="11"/>
  <c r="K62" i="11"/>
  <c r="L62" i="11"/>
  <c r="M62" i="11"/>
  <c r="N62" i="11"/>
  <c r="E63" i="11"/>
  <c r="F63" i="11"/>
  <c r="G63" i="11"/>
  <c r="H63" i="11"/>
  <c r="I63" i="11"/>
  <c r="J63" i="11"/>
  <c r="L63" i="11"/>
  <c r="M63" i="11"/>
  <c r="N63" i="11"/>
  <c r="O63" i="11"/>
  <c r="P63" i="11"/>
  <c r="K63" i="11"/>
  <c r="P65" i="11"/>
  <c r="O65" i="11"/>
  <c r="E65" i="11"/>
  <c r="F65" i="11"/>
  <c r="G65" i="11"/>
  <c r="H65" i="11"/>
  <c r="I65" i="11"/>
  <c r="J65" i="11"/>
  <c r="K65" i="11"/>
  <c r="L65" i="11"/>
  <c r="M65" i="11"/>
  <c r="N65" i="11"/>
  <c r="I67" i="11"/>
  <c r="J67" i="11"/>
  <c r="K67" i="11"/>
  <c r="E67" i="11"/>
  <c r="F67" i="11"/>
  <c r="G67" i="11"/>
  <c r="H67" i="11"/>
  <c r="O73" i="11"/>
  <c r="M73" i="11"/>
  <c r="L73" i="11"/>
  <c r="K73" i="11"/>
  <c r="E73" i="11"/>
  <c r="F73" i="11"/>
  <c r="N73" i="11"/>
  <c r="P73" i="11"/>
  <c r="E83" i="11"/>
  <c r="F83" i="11"/>
  <c r="G83" i="11"/>
  <c r="H83" i="11"/>
  <c r="I83" i="11"/>
  <c r="J83" i="11"/>
  <c r="K83" i="11"/>
  <c r="L83" i="11"/>
  <c r="M83" i="11"/>
  <c r="N83" i="11"/>
  <c r="O83" i="11"/>
  <c r="P83" i="11"/>
  <c r="N84" i="11"/>
  <c r="O84" i="11"/>
  <c r="P84" i="11"/>
  <c r="E84" i="11"/>
  <c r="G84" i="11"/>
  <c r="F84" i="11"/>
  <c r="H84" i="11"/>
  <c r="I84" i="11"/>
  <c r="J84" i="11"/>
  <c r="K84" i="11"/>
  <c r="L84" i="11"/>
  <c r="M84" i="11"/>
  <c r="N85" i="11"/>
  <c r="O85" i="11"/>
  <c r="P85" i="11"/>
  <c r="F85" i="11"/>
  <c r="G85" i="11"/>
  <c r="H85" i="11"/>
  <c r="I85" i="11"/>
  <c r="J85" i="11"/>
  <c r="E85" i="11"/>
  <c r="L85" i="11"/>
  <c r="M85" i="11"/>
  <c r="K85" i="11"/>
  <c r="N86" i="11"/>
  <c r="O86" i="11"/>
  <c r="P86" i="11"/>
  <c r="F86" i="11"/>
  <c r="E86" i="11"/>
  <c r="G86" i="11"/>
  <c r="H86" i="11"/>
  <c r="I86" i="11"/>
  <c r="J86" i="11"/>
  <c r="K86" i="11"/>
  <c r="L86" i="11"/>
  <c r="M86" i="11"/>
  <c r="E87" i="11"/>
  <c r="J87" i="11"/>
  <c r="F87" i="11"/>
  <c r="G87" i="11"/>
  <c r="H87" i="11"/>
  <c r="I87" i="11"/>
  <c r="H88" i="11"/>
  <c r="I88" i="11"/>
  <c r="J88" i="11"/>
  <c r="K88" i="11"/>
  <c r="L88" i="11"/>
  <c r="M88" i="11"/>
  <c r="N88" i="11"/>
  <c r="O88" i="11"/>
  <c r="P88" i="11"/>
  <c r="E88" i="11"/>
  <c r="F88" i="11"/>
  <c r="G88" i="11"/>
  <c r="E89" i="11"/>
  <c r="F89" i="11"/>
  <c r="H89" i="11"/>
  <c r="I89" i="11"/>
  <c r="J89" i="11"/>
  <c r="K89" i="11"/>
  <c r="L89" i="11"/>
  <c r="M89" i="11"/>
  <c r="N89" i="11"/>
  <c r="O89" i="11"/>
  <c r="P89" i="11"/>
  <c r="G89" i="11"/>
  <c r="G3" i="11"/>
  <c r="O3" i="11"/>
  <c r="I3" i="11"/>
  <c r="K3" i="11"/>
  <c r="L3" i="11"/>
  <c r="M3" i="11"/>
  <c r="N3" i="11"/>
  <c r="H3" i="11"/>
  <c r="P3" i="11"/>
  <c r="F3" i="11"/>
  <c r="Q3" i="11" a="1"/>
  <c r="J3" i="11"/>
  <c r="E3" i="11"/>
  <c r="AD83" i="11" a="1"/>
  <c r="T50" i="11" a="1"/>
  <c r="Z50" i="11" a="1"/>
  <c r="U50" i="11" a="1"/>
  <c r="P50" i="11"/>
  <c r="O50" i="11"/>
  <c r="N50" i="11"/>
  <c r="M50" i="11"/>
  <c r="L50" i="11"/>
  <c r="K50" i="11"/>
  <c r="J50" i="11"/>
  <c r="I50" i="11"/>
  <c r="H50" i="11"/>
  <c r="G50" i="11"/>
  <c r="F50" i="11"/>
  <c r="Q50" i="11" a="1"/>
  <c r="E50" i="11"/>
  <c r="X50" i="11" a="1"/>
  <c r="S50" i="11" a="1"/>
  <c r="AA50" i="11" a="1"/>
  <c r="W50" i="11" a="1"/>
  <c r="AB50" i="11" a="1"/>
  <c r="Y50" i="11" a="1"/>
  <c r="R50" i="11" a="1"/>
  <c r="V50" i="11" a="1"/>
  <c r="I82" i="11"/>
  <c r="J82" i="11"/>
  <c r="K82" i="11"/>
  <c r="L82" i="11"/>
  <c r="M82" i="11"/>
  <c r="N82" i="11"/>
  <c r="O82" i="11"/>
  <c r="P82" i="11"/>
  <c r="AD66" i="11" a="1"/>
  <c r="AD59" i="11" a="1"/>
  <c r="O46" i="11"/>
  <c r="N46" i="11"/>
  <c r="M46" i="11"/>
  <c r="L46" i="11"/>
  <c r="K46" i="11"/>
  <c r="J46" i="11"/>
  <c r="I46" i="11"/>
  <c r="H46" i="11"/>
  <c r="G46" i="11"/>
  <c r="F46" i="11"/>
  <c r="E46" i="11"/>
  <c r="M45" i="11"/>
  <c r="F45" i="11"/>
  <c r="G45" i="11"/>
  <c r="H45" i="11"/>
  <c r="I45" i="11"/>
  <c r="J45" i="11"/>
  <c r="K45" i="11"/>
  <c r="P45" i="11"/>
  <c r="O45" i="11"/>
  <c r="N45" i="11"/>
  <c r="L45" i="11"/>
  <c r="AD64" i="11" a="1"/>
  <c r="AD58" i="11" a="1"/>
  <c r="AD55" i="11" a="1"/>
  <c r="AD57" i="11" a="1"/>
  <c r="AD54" i="11" a="1"/>
  <c r="U49" i="11" a="1"/>
  <c r="Y49" i="11" a="1"/>
  <c r="P49" i="11"/>
  <c r="O49" i="11"/>
  <c r="N49" i="11"/>
  <c r="M49" i="11"/>
  <c r="L49" i="11"/>
  <c r="K49" i="11"/>
  <c r="J49" i="11"/>
  <c r="I49" i="11"/>
  <c r="H49" i="11"/>
  <c r="G49" i="11"/>
  <c r="F49" i="11"/>
  <c r="E49" i="11"/>
  <c r="W49" i="11" a="1"/>
  <c r="AA49" i="11" a="1"/>
  <c r="AB49" i="11" a="1"/>
  <c r="R49" i="11" a="1"/>
  <c r="Z49" i="11" a="1"/>
  <c r="Q49" i="11" a="1"/>
  <c r="T49" i="11" a="1"/>
  <c r="S49" i="11" a="1"/>
  <c r="V49" i="11" a="1"/>
  <c r="X49" i="11" a="1"/>
  <c r="X48" i="11" a="1"/>
  <c r="AB48" i="11" a="1"/>
  <c r="Q48" i="11" a="1"/>
  <c r="S48" i="11" a="1"/>
  <c r="U48" i="11" a="1"/>
  <c r="Y48" i="11" a="1"/>
  <c r="T48" i="11" a="1"/>
  <c r="AA48" i="11" a="1"/>
  <c r="P48" i="11"/>
  <c r="O48" i="11"/>
  <c r="N48" i="11"/>
  <c r="M48" i="11"/>
  <c r="L48" i="11"/>
  <c r="K48" i="11"/>
  <c r="J48" i="11"/>
  <c r="I48" i="11"/>
  <c r="H48" i="11"/>
  <c r="G48" i="11"/>
  <c r="F48" i="11"/>
  <c r="E48" i="11"/>
  <c r="W48" i="11" a="1"/>
  <c r="R48" i="11" a="1"/>
  <c r="Z48" i="11" a="1"/>
  <c r="V48" i="11" a="1"/>
  <c r="T47" i="11" a="1"/>
  <c r="Y47" i="11" a="1"/>
  <c r="S47" i="11" a="1"/>
  <c r="AA47" i="11" a="1"/>
  <c r="P47" i="11"/>
  <c r="O47" i="11"/>
  <c r="N47" i="11"/>
  <c r="M47" i="11"/>
  <c r="L47" i="11"/>
  <c r="K47" i="11"/>
  <c r="J47" i="11"/>
  <c r="I47" i="11"/>
  <c r="H47" i="11"/>
  <c r="G47" i="11"/>
  <c r="F47" i="11"/>
  <c r="E47" i="11"/>
  <c r="V47" i="11" a="1"/>
  <c r="R47" i="11" a="1"/>
  <c r="Z47" i="11" a="1"/>
  <c r="U47" i="11" a="1"/>
  <c r="AB47" i="11" a="1"/>
  <c r="X47" i="11" a="1"/>
  <c r="Q47" i="11" a="1"/>
  <c r="W47" i="11" a="1"/>
  <c r="AA46" i="11" a="1"/>
  <c r="Q46" i="11" a="1"/>
  <c r="Y46" i="11" a="1"/>
  <c r="S46" i="11" a="1"/>
  <c r="AB46" i="11" a="1"/>
  <c r="T46" i="11" a="1"/>
  <c r="U46" i="11" a="1"/>
  <c r="X46" i="11" a="1"/>
  <c r="P46" i="11"/>
  <c r="W46" i="11" a="1"/>
  <c r="Z46" i="11" a="1"/>
  <c r="R46" i="11" a="1"/>
  <c r="V46" i="11" a="1"/>
  <c r="U45" i="11" a="1"/>
  <c r="AB45" i="11" a="1"/>
  <c r="S45" i="11" a="1"/>
  <c r="V45" i="11" a="1"/>
  <c r="Y45" i="11" a="1"/>
  <c r="R45" i="11" a="1"/>
  <c r="W45" i="11" a="1"/>
  <c r="Z45" i="11" a="1"/>
  <c r="AA45" i="11" a="1"/>
  <c r="Q45" i="11" a="1"/>
  <c r="T45" i="11" a="1"/>
  <c r="X45" i="11" a="1"/>
  <c r="E45" i="11"/>
  <c r="R44" i="11" a="1"/>
  <c r="AB44" i="11" a="1"/>
  <c r="S44" i="11" a="1"/>
  <c r="T44" i="11" a="1"/>
  <c r="V44" i="11" a="1"/>
  <c r="AA44" i="11" a="1"/>
  <c r="W44" i="11" a="1"/>
  <c r="U44" i="11" a="1"/>
  <c r="Y44" i="11" a="1"/>
  <c r="X44" i="11" a="1"/>
  <c r="Q44" i="11" a="1"/>
  <c r="J44" i="11"/>
  <c r="I44" i="11"/>
  <c r="H44" i="11"/>
  <c r="G44" i="11"/>
  <c r="F44" i="11"/>
  <c r="Z44" i="11" a="1"/>
  <c r="E44" i="11"/>
  <c r="P44" i="11"/>
  <c r="N44" i="11"/>
  <c r="M44" i="11"/>
  <c r="L44" i="11"/>
  <c r="O44" i="11"/>
  <c r="K44" i="11"/>
  <c r="AA43" i="11" a="1"/>
  <c r="S43" i="11" a="1"/>
  <c r="Z43" i="11" a="1"/>
  <c r="AB43" i="11" a="1"/>
  <c r="T43" i="11" a="1"/>
  <c r="V43" i="11" a="1"/>
  <c r="Q43" i="11" a="1"/>
  <c r="U43" i="11" a="1"/>
  <c r="W43" i="11" a="1"/>
  <c r="X43" i="11" a="1"/>
  <c r="Y43" i="11" a="1"/>
  <c r="R43" i="11" a="1"/>
  <c r="F43" i="11"/>
  <c r="L43" i="11"/>
  <c r="M43" i="11"/>
  <c r="N43" i="11"/>
  <c r="O43" i="11"/>
  <c r="I43" i="11"/>
  <c r="E43" i="11"/>
  <c r="G43" i="11"/>
  <c r="H43" i="11"/>
  <c r="P43" i="11"/>
  <c r="J43" i="11"/>
  <c r="K43" i="11"/>
  <c r="O42" i="11"/>
  <c r="P42" i="11"/>
  <c r="E42" i="11"/>
  <c r="F42" i="11"/>
  <c r="G42" i="11"/>
  <c r="L42" i="11"/>
  <c r="H42" i="11"/>
  <c r="I42" i="11"/>
  <c r="J42" i="11"/>
  <c r="K42" i="11"/>
  <c r="N42" i="11"/>
  <c r="Q42" i="11" a="1"/>
  <c r="U42" i="11" a="1"/>
  <c r="Y42" i="11" a="1"/>
  <c r="M42" i="11"/>
  <c r="S42" i="11" a="1"/>
  <c r="X42" i="11" a="1"/>
  <c r="AB42" i="11" a="1"/>
  <c r="R42" i="11" a="1"/>
  <c r="W42" i="11" a="1"/>
  <c r="AA42" i="11" a="1"/>
  <c r="T42" i="11" a="1"/>
  <c r="Z42" i="11" a="1"/>
  <c r="V42" i="11" a="1"/>
  <c r="AB82" i="11" a="1"/>
  <c r="AA82" i="11" a="1"/>
  <c r="Z82" i="11" a="1"/>
  <c r="Y82" i="11" a="1"/>
  <c r="X82" i="11" a="1"/>
  <c r="W82" i="11" a="1"/>
  <c r="V82" i="11" a="1"/>
  <c r="U82" i="11" a="1"/>
  <c r="T82" i="11" a="1"/>
  <c r="S82" i="11" a="1"/>
  <c r="R82" i="11" a="1"/>
  <c r="Q82" i="11" a="1"/>
  <c r="AB81" i="11" a="1"/>
  <c r="AA81" i="11" a="1"/>
  <c r="Z81" i="11" a="1"/>
  <c r="Y81" i="11" a="1"/>
  <c r="X81" i="11" a="1"/>
  <c r="T81" i="11" a="1"/>
  <c r="S81" i="11" a="1"/>
  <c r="R81" i="11" a="1"/>
  <c r="Q81" i="11" a="1"/>
  <c r="AB80" i="11" a="1"/>
  <c r="AA80" i="11" a="1"/>
  <c r="Z80" i="11" a="1"/>
  <c r="Y80" i="11" a="1"/>
  <c r="X80" i="11" a="1"/>
  <c r="W80" i="11" a="1"/>
  <c r="V80" i="11" a="1"/>
  <c r="U80" i="11" a="1"/>
  <c r="T80" i="11" a="1"/>
  <c r="S80" i="11" a="1"/>
  <c r="R80" i="11" a="1"/>
  <c r="Q80" i="11" a="1"/>
  <c r="AB79" i="11" a="1"/>
  <c r="AA79" i="11" a="1"/>
  <c r="Z79" i="11" a="1"/>
  <c r="Y79" i="11" a="1"/>
  <c r="X79" i="11" a="1"/>
  <c r="W79" i="11" a="1"/>
  <c r="V79" i="11" a="1"/>
  <c r="U79" i="11" a="1"/>
  <c r="T79" i="11" a="1"/>
  <c r="S79" i="11" a="1"/>
  <c r="R79" i="11" a="1"/>
  <c r="Q79" i="11" a="1"/>
  <c r="AB78" i="11" a="1"/>
  <c r="AA78" i="11" a="1"/>
  <c r="Z78" i="11" a="1"/>
  <c r="Y78" i="11" a="1"/>
  <c r="X78" i="11" a="1"/>
  <c r="W78" i="11" a="1"/>
  <c r="V78" i="11" a="1"/>
  <c r="U78" i="11" a="1"/>
  <c r="T78" i="11" a="1"/>
  <c r="U76" i="11" a="1"/>
  <c r="T76" i="11" a="1"/>
  <c r="S76" i="11" a="1"/>
  <c r="R76" i="11" a="1"/>
  <c r="Q76" i="11" a="1"/>
  <c r="AB75" i="11" a="1"/>
  <c r="AA75" i="11" a="1"/>
  <c r="Z75" i="11" a="1"/>
  <c r="Y75" i="11" a="1"/>
  <c r="X75" i="11" a="1"/>
  <c r="W75" i="11" a="1"/>
  <c r="V75" i="11" a="1"/>
  <c r="U75" i="11" a="1"/>
  <c r="T75" i="11" a="1"/>
  <c r="S75" i="11" a="1"/>
  <c r="R75" i="11" a="1"/>
  <c r="Q75" i="11" a="1"/>
  <c r="AB74" i="11" a="1"/>
  <c r="AA74" i="11" a="1"/>
  <c r="Z74" i="11" a="1"/>
  <c r="Y74" i="11" a="1"/>
  <c r="X74" i="11" a="1"/>
  <c r="W74" i="11" a="1"/>
  <c r="V74" i="11" a="1"/>
  <c r="U74" i="11" a="1"/>
  <c r="T74" i="11" a="1"/>
  <c r="S74" i="11" a="1"/>
  <c r="R74" i="11" a="1"/>
  <c r="Q74" i="11" a="1"/>
  <c r="D11" i="11"/>
  <c r="AD68" i="11" a="1"/>
  <c r="G82" i="11"/>
  <c r="F82" i="11"/>
  <c r="H82" i="11"/>
  <c r="E82" i="11"/>
  <c r="P81" i="11"/>
  <c r="U81" i="11" a="1"/>
  <c r="I81" i="11"/>
  <c r="O81" i="11"/>
  <c r="W81" i="11" a="1"/>
  <c r="J81" i="11"/>
  <c r="E81" i="11"/>
  <c r="H81" i="11"/>
  <c r="N81" i="11"/>
  <c r="V81" i="11" a="1"/>
  <c r="F81" i="11"/>
  <c r="K81" i="11"/>
  <c r="G81" i="11"/>
  <c r="L81" i="11"/>
  <c r="M81" i="11"/>
  <c r="M80" i="11"/>
  <c r="J80" i="11"/>
  <c r="N80" i="11"/>
  <c r="E80" i="11"/>
  <c r="H80" i="11"/>
  <c r="I80" i="11"/>
  <c r="L80" i="11"/>
  <c r="P80" i="11"/>
  <c r="G80" i="11"/>
  <c r="O80" i="11"/>
  <c r="F80" i="11"/>
  <c r="K80" i="11"/>
  <c r="N79" i="11"/>
  <c r="K79" i="11"/>
  <c r="J79" i="11"/>
  <c r="M79" i="11"/>
  <c r="L79" i="11"/>
  <c r="F79" i="11"/>
  <c r="I79" i="11"/>
  <c r="H79" i="11"/>
  <c r="E79" i="11"/>
  <c r="O79" i="11"/>
  <c r="P79" i="11"/>
  <c r="G79" i="11"/>
  <c r="N78" i="11"/>
  <c r="M78" i="11"/>
  <c r="K78" i="11"/>
  <c r="J78" i="11"/>
  <c r="Q78" i="11" a="1"/>
  <c r="R78" i="11" a="1"/>
  <c r="S78" i="11" a="1"/>
  <c r="G78" i="11"/>
  <c r="F78" i="11"/>
  <c r="E78" i="11"/>
  <c r="P78" i="11"/>
  <c r="L78" i="11"/>
  <c r="I78" i="11"/>
  <c r="H78" i="11"/>
  <c r="O78" i="11"/>
  <c r="I77" i="11"/>
  <c r="X77" i="11" a="1"/>
  <c r="P77" i="11"/>
  <c r="O77" i="11"/>
  <c r="N77" i="11"/>
  <c r="G77" i="11"/>
  <c r="H77" i="11"/>
  <c r="K77" i="11"/>
  <c r="W77" i="11" a="1"/>
  <c r="R77" i="11" a="1"/>
  <c r="AB77" i="11" a="1"/>
  <c r="L77" i="11"/>
  <c r="V77" i="11" a="1"/>
  <c r="U77" i="11" a="1"/>
  <c r="Q77" i="11" a="1"/>
  <c r="M77" i="11"/>
  <c r="J77" i="11"/>
  <c r="AA77" i="11" a="1"/>
  <c r="T77" i="11" a="1"/>
  <c r="Z77" i="11" a="1"/>
  <c r="S77" i="11" a="1"/>
  <c r="Y77" i="11" a="1"/>
  <c r="F77" i="11"/>
  <c r="E77" i="11"/>
  <c r="X76" i="11" a="1"/>
  <c r="W76" i="11" a="1"/>
  <c r="Y76" i="11" a="1"/>
  <c r="M76" i="11"/>
  <c r="E76" i="11"/>
  <c r="G76" i="11"/>
  <c r="H76" i="11"/>
  <c r="I76" i="11"/>
  <c r="J76" i="11"/>
  <c r="K76" i="11"/>
  <c r="L76" i="11"/>
  <c r="AA76" i="11" a="1"/>
  <c r="Z76" i="11" a="1"/>
  <c r="V76" i="11" a="1"/>
  <c r="AB76" i="11" a="1"/>
  <c r="F76" i="11"/>
  <c r="P76" i="11"/>
  <c r="O76" i="11"/>
  <c r="N76" i="11"/>
  <c r="E75" i="11"/>
  <c r="K75" i="11"/>
  <c r="I75" i="11"/>
  <c r="O75" i="11"/>
  <c r="L75" i="11"/>
  <c r="F75" i="11"/>
  <c r="N75" i="11"/>
  <c r="P75" i="11"/>
  <c r="G75" i="11"/>
  <c r="H75" i="11"/>
  <c r="J75" i="11"/>
  <c r="M75" i="11"/>
  <c r="G74" i="11"/>
  <c r="J74" i="11"/>
  <c r="H74" i="11"/>
  <c r="L74" i="11"/>
  <c r="I74" i="11"/>
  <c r="K74" i="11"/>
  <c r="M74" i="11"/>
  <c r="N74" i="11"/>
  <c r="O74" i="11"/>
  <c r="P74" i="11"/>
  <c r="F74" i="11"/>
  <c r="E74" i="11"/>
  <c r="D53" i="11"/>
  <c r="D57" i="11"/>
  <c r="D54" i="11"/>
  <c r="D55" i="11"/>
  <c r="D58" i="11"/>
  <c r="D59" i="11"/>
  <c r="AD56" i="11" a="1"/>
  <c r="AA41" i="11" a="1"/>
  <c r="X41" i="11" a="1"/>
  <c r="T41" i="11" a="1"/>
  <c r="R41" i="11" a="1"/>
  <c r="Q41" i="11" a="1"/>
  <c r="AB41" i="11" a="1"/>
  <c r="W41" i="11" a="1"/>
  <c r="Y41" i="11" a="1"/>
  <c r="U41" i="11" a="1"/>
  <c r="Z41" i="11" a="1"/>
  <c r="V41" i="11" a="1"/>
  <c r="S41" i="11" a="1"/>
  <c r="AD51" i="11" a="1"/>
  <c r="AD53" i="11" a="1"/>
  <c r="AD11" i="11" a="1"/>
  <c r="L41" i="11"/>
  <c r="M41" i="11"/>
  <c r="N41" i="11"/>
  <c r="O41" i="11"/>
  <c r="F41" i="11"/>
  <c r="E41" i="11"/>
  <c r="P41" i="11"/>
  <c r="G41" i="11"/>
  <c r="H41" i="11"/>
  <c r="I41" i="11"/>
  <c r="J41" i="11"/>
  <c r="K41" i="11"/>
  <c r="D56" i="11"/>
  <c r="D90" i="11"/>
  <c r="D64" i="11"/>
  <c r="D66" i="11"/>
  <c r="AD15" i="11" l="1" a="1"/>
  <c r="D18" i="11"/>
  <c r="AD13" i="11" a="1"/>
  <c r="AD12" i="11" a="1"/>
  <c r="D28" i="11"/>
  <c r="D12" i="11"/>
  <c r="D13" i="11"/>
  <c r="AD14" i="11" a="1"/>
  <c r="AD21" i="11" a="1"/>
  <c r="AD22" i="11" a="1"/>
  <c r="AD25" i="11" a="1"/>
  <c r="D17" i="11"/>
  <c r="H30" i="1" a="1"/>
  <c r="G31" i="1"/>
  <c r="D14" i="11"/>
  <c r="D15" i="11"/>
  <c r="D21" i="11"/>
  <c r="D23" i="11"/>
  <c r="AD28" i="11" a="1"/>
  <c r="AD16" i="11" a="1"/>
  <c r="AD20" i="11" a="1"/>
  <c r="AD27" i="11" a="1"/>
  <c r="D16" i="11"/>
  <c r="AD17" i="11" a="1"/>
  <c r="AD23" i="11" a="1"/>
  <c r="AD24" i="11" a="1"/>
  <c r="D20" i="11"/>
  <c r="AD26" i="11" a="1"/>
  <c r="D22" i="11"/>
  <c r="D24" i="11"/>
  <c r="AD34" i="11" a="1"/>
  <c r="D25" i="11"/>
  <c r="D26" i="11"/>
  <c r="D74" i="11"/>
  <c r="D27" i="11"/>
  <c r="D6" i="11"/>
  <c r="AD36" i="11" a="1"/>
  <c r="AD9" i="11" a="1"/>
  <c r="D10" i="11"/>
  <c r="D9" i="11"/>
  <c r="D8" i="11"/>
  <c r="AD4" i="11" a="1"/>
  <c r="AD61" i="11" a="1"/>
  <c r="D5" i="11"/>
  <c r="AD31" i="11" a="1"/>
  <c r="D50" i="11"/>
  <c r="D4" i="11"/>
  <c r="AD10" i="11" a="1"/>
  <c r="D51" i="11"/>
  <c r="D7" i="11"/>
  <c r="D31" i="11"/>
  <c r="D32" i="11"/>
  <c r="D37" i="11"/>
  <c r="D52" i="11"/>
  <c r="AD6" i="11" a="1"/>
  <c r="AD8" i="11" a="1"/>
  <c r="D68" i="11"/>
  <c r="D40" i="11"/>
  <c r="AD7" i="11" a="1"/>
  <c r="D29" i="11"/>
  <c r="AD29" i="11" a="1"/>
  <c r="D30" i="11"/>
  <c r="D33" i="11"/>
  <c r="D34" i="11"/>
  <c r="AD35" i="11" a="1"/>
  <c r="D36" i="11"/>
  <c r="D69" i="11"/>
  <c r="D60" i="11"/>
  <c r="D71" i="11"/>
  <c r="D72" i="11"/>
  <c r="AD5" i="11" a="1"/>
  <c r="AD32" i="11" a="1"/>
  <c r="D39" i="11"/>
  <c r="AD40" i="11" a="1"/>
  <c r="D63" i="11"/>
  <c r="D65" i="11"/>
  <c r="D73" i="11"/>
  <c r="D84" i="11"/>
  <c r="D3" i="11"/>
  <c r="D38" i="11"/>
  <c r="AD37" i="11" a="1"/>
  <c r="D70" i="11"/>
  <c r="D19" i="11"/>
  <c r="AD19" i="11" a="1"/>
  <c r="AD30" i="11" a="1"/>
  <c r="AD33" i="11" a="1"/>
  <c r="D35" i="11"/>
  <c r="AD39" i="11" a="1"/>
  <c r="D61" i="11"/>
  <c r="D62" i="11"/>
  <c r="D67" i="11"/>
  <c r="D83" i="11"/>
  <c r="D85" i="11"/>
  <c r="D86" i="11"/>
  <c r="D87" i="11"/>
  <c r="D88" i="11"/>
  <c r="D89" i="11"/>
  <c r="AD3" i="11" a="1"/>
  <c r="D46" i="11"/>
  <c r="AD38" i="11" a="1"/>
  <c r="D45" i="11"/>
  <c r="AD50" i="11" a="1"/>
  <c r="AD81" i="11" a="1"/>
  <c r="AD49" i="11" a="1"/>
  <c r="AD48" i="11" a="1"/>
  <c r="AD79" i="11" a="1"/>
  <c r="D82" i="11"/>
  <c r="D49" i="11"/>
  <c r="AD47" i="11" a="1"/>
  <c r="AD42" i="11" a="1"/>
  <c r="D48" i="11"/>
  <c r="AD46" i="11" a="1"/>
  <c r="D44" i="11"/>
  <c r="D47" i="11"/>
  <c r="AD43" i="11" a="1"/>
  <c r="D43" i="11"/>
  <c r="D42" i="11"/>
  <c r="AD80" i="11" a="1"/>
  <c r="AD75" i="11" a="1"/>
  <c r="D77" i="11"/>
  <c r="AD45" i="11" a="1"/>
  <c r="AD44" i="11" a="1"/>
  <c r="AD76" i="11" a="1"/>
  <c r="D81" i="11"/>
  <c r="D78" i="11"/>
  <c r="D76" i="11"/>
  <c r="D80" i="11"/>
  <c r="D79" i="11"/>
  <c r="D75" i="11"/>
  <c r="AD77" i="11" a="1"/>
  <c r="AD78" i="11" a="1"/>
  <c r="AD74" i="11" a="1"/>
  <c r="L91" i="11"/>
  <c r="M91" i="11"/>
  <c r="N91" i="11"/>
  <c r="O91" i="11"/>
  <c r="F91" i="11"/>
  <c r="E91" i="11"/>
  <c r="P91" i="11"/>
  <c r="H91" i="11"/>
  <c r="I91" i="11"/>
  <c r="J91" i="11"/>
  <c r="K91" i="11"/>
  <c r="AD82" i="11" a="1"/>
  <c r="AD41" i="11" a="1"/>
  <c r="D41" i="11"/>
  <c r="G91" i="11"/>
  <c r="G32" i="1" l="1"/>
  <c r="H31" i="1" a="1"/>
  <c r="E8" i="1"/>
  <c r="AE47" i="11"/>
  <c r="C8" i="1"/>
  <c r="AE70" i="11"/>
  <c r="AE59" i="11"/>
  <c r="AE30" i="11"/>
  <c r="A8" i="1"/>
  <c r="AE78" i="11"/>
  <c r="AE34" i="11"/>
  <c r="AE9" i="11"/>
  <c r="AE68" i="11"/>
  <c r="AE71" i="11"/>
  <c r="AE13" i="11"/>
  <c r="AE76" i="11"/>
  <c r="AE48" i="11"/>
  <c r="AE53" i="11"/>
  <c r="AE58" i="11"/>
  <c r="AE26" i="11"/>
  <c r="AE27" i="11"/>
  <c r="AE28" i="11"/>
  <c r="AE60" i="11"/>
  <c r="AE81" i="11"/>
  <c r="AE77" i="11"/>
  <c r="AE46" i="11"/>
  <c r="AE21" i="11"/>
  <c r="AE23" i="11"/>
  <c r="AE55" i="11"/>
  <c r="AE11" i="11"/>
  <c r="AE8" i="11"/>
  <c r="AE29" i="11"/>
  <c r="AE51" i="11"/>
  <c r="D91" i="11"/>
  <c r="AE20" i="11"/>
  <c r="AE39" i="11"/>
  <c r="AE44" i="11"/>
  <c r="AE86" i="11"/>
  <c r="AE19" i="11"/>
  <c r="AE66" i="11"/>
  <c r="AE17" i="11"/>
  <c r="AE85" i="11"/>
  <c r="AE83" i="11"/>
  <c r="AE18" i="11"/>
  <c r="AE62" i="11"/>
  <c r="AE88" i="11"/>
  <c r="AE89" i="11"/>
  <c r="AE42" i="11"/>
  <c r="AE43" i="11"/>
  <c r="AE63" i="11"/>
  <c r="AE90" i="11"/>
  <c r="AE65" i="11"/>
  <c r="AE61" i="11"/>
  <c r="AE64" i="11"/>
  <c r="AE67" i="11"/>
  <c r="AE82" i="11"/>
  <c r="AE84" i="11"/>
  <c r="AE56" i="11"/>
  <c r="AE45" i="11"/>
  <c r="AE54" i="11"/>
  <c r="AE3" i="11"/>
  <c r="AE75" i="11"/>
  <c r="AE12" i="11"/>
  <c r="AE24" i="11"/>
  <c r="AE49" i="11"/>
  <c r="AE52" i="11"/>
  <c r="AE57" i="11"/>
  <c r="AE22" i="11"/>
  <c r="AE31" i="11"/>
  <c r="AE37" i="11"/>
  <c r="AE69" i="11"/>
  <c r="AE79" i="11"/>
  <c r="AE10" i="11"/>
  <c r="AE25" i="11"/>
  <c r="AE32" i="11"/>
  <c r="AE36" i="11"/>
  <c r="AE50" i="11"/>
  <c r="AE5" i="11"/>
  <c r="AE15" i="11"/>
  <c r="AE7" i="11"/>
  <c r="AE6" i="11"/>
  <c r="AE72" i="11"/>
  <c r="AE4" i="11"/>
  <c r="AE33" i="11"/>
  <c r="AE80" i="11"/>
  <c r="AE87" i="11"/>
  <c r="AE16" i="11"/>
  <c r="AE38" i="11"/>
  <c r="AE40" i="11"/>
  <c r="AE41" i="11"/>
  <c r="AE14" i="11"/>
  <c r="AE35" i="11"/>
  <c r="AE73" i="11"/>
  <c r="AE74" i="11"/>
  <c r="H32" i="1" l="1" a="1"/>
  <c r="G33" i="1"/>
  <c r="A43" i="1"/>
  <c r="B46" i="1"/>
  <c r="D43" i="1"/>
  <c r="D52" i="1"/>
  <c r="B52" i="1"/>
  <c r="A52" i="1"/>
  <c r="C51" i="1"/>
  <c r="E51" i="1" s="1"/>
  <c r="B51" i="1"/>
  <c r="A51" i="1"/>
  <c r="D50" i="1"/>
  <c r="C50" i="1"/>
  <c r="E50" i="1" s="1"/>
  <c r="B50" i="1"/>
  <c r="A50" i="1"/>
  <c r="C49" i="1"/>
  <c r="E49" i="1" s="1"/>
  <c r="A49" i="1"/>
  <c r="B48" i="1"/>
  <c r="D47" i="1"/>
  <c r="A47" i="1"/>
  <c r="C46" i="1"/>
  <c r="E46" i="1" s="1"/>
  <c r="D45" i="1"/>
  <c r="D46" i="1"/>
  <c r="C45" i="1"/>
  <c r="E45" i="1" s="1"/>
  <c r="A45" i="1"/>
  <c r="A44" i="1"/>
  <c r="D49" i="1"/>
  <c r="B45" i="1"/>
  <c r="D44" i="1"/>
  <c r="B44" i="1"/>
  <c r="C43" i="1"/>
  <c r="E43" i="1" s="1"/>
  <c r="C52" i="1"/>
  <c r="E52" i="1" s="1"/>
  <c r="D51" i="1"/>
  <c r="B49" i="1"/>
  <c r="D48" i="1"/>
  <c r="A48" i="1"/>
  <c r="C47" i="1"/>
  <c r="E47" i="1" s="1"/>
  <c r="B47" i="1"/>
  <c r="A46" i="1"/>
  <c r="C44" i="1"/>
  <c r="E44" i="1" s="1"/>
  <c r="B43" i="1"/>
  <c r="C48" i="1"/>
  <c r="E48" i="1" s="1"/>
  <c r="G34" i="1" l="1"/>
  <c r="H33" i="1" a="1"/>
  <c r="G35" i="1" l="1"/>
  <c r="H34" i="1" a="1"/>
  <c r="G36" i="1" l="1"/>
  <c r="H35" i="1" a="1"/>
  <c r="H36" i="1" l="1" a="1"/>
  <c r="G37" i="1"/>
  <c r="G38" i="1" l="1"/>
  <c r="H37" i="1" a="1"/>
  <c r="G39" i="1" l="1"/>
  <c r="H39" i="1" s="1" a="1"/>
  <c r="H38"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<sst xmlns="http://schemas.openxmlformats.org/spreadsheetml/2006/main" count="6638" uniqueCount="1193">
  <si>
    <t>Indicador</t>
  </si>
  <si>
    <t>Valor</t>
  </si>
  <si>
    <t>Assunto</t>
  </si>
  <si>
    <t>Projetos</t>
  </si>
  <si>
    <t>Saídas</t>
  </si>
  <si>
    <t>Cobertura</t>
  </si>
  <si>
    <t>Física</t>
  </si>
  <si>
    <t>Matemática</t>
  </si>
  <si>
    <t>Data Science</t>
  </si>
  <si>
    <t>Links registrados</t>
  </si>
  <si>
    <t>Cobertura geral</t>
  </si>
  <si>
    <t>Computação Quântica</t>
  </si>
  <si>
    <t>Tipo</t>
  </si>
  <si>
    <t>Links</t>
  </si>
  <si>
    <t>arXiv/SSRN</t>
  </si>
  <si>
    <t>Journal</t>
  </si>
  <si>
    <t>Research Gate</t>
  </si>
  <si>
    <t>YouTube</t>
  </si>
  <si>
    <t>TikTok</t>
  </si>
  <si>
    <t>LinkedIn</t>
  </si>
  <si>
    <t>Newsletter LinkedIn</t>
  </si>
  <si>
    <t>Substack</t>
  </si>
  <si>
    <t>GitHub</t>
  </si>
  <si>
    <t>Oz.io</t>
  </si>
  <si>
    <t>Oz Site</t>
  </si>
  <si>
    <t>Curso</t>
  </si>
  <si>
    <t>Index</t>
  </si>
  <si>
    <t>ID</t>
  </si>
  <si>
    <t>Ideia</t>
  </si>
  <si>
    <t>Descrição</t>
  </si>
  <si>
    <t>Status Tipo</t>
  </si>
  <si>
    <t>Data</t>
  </si>
  <si>
    <t>Link</t>
  </si>
  <si>
    <t>fazer um vídeo sobre a origem da ideia do quantum</t>
  </si>
  <si>
    <t>Preprint ou working paper relacionado ao projeto</t>
  </si>
  <si>
    <t>Artigo científico submetido ou publicado em periódico sobre o projeto</t>
  </si>
  <si>
    <t>Preprint ou material acadêmico do projeto no ResearchGate</t>
  </si>
  <si>
    <t>Vídeo educativo sobre o projeto</t>
  </si>
  <si>
    <t>Vídeo curto de divulgação sobre o projeto</t>
  </si>
  <si>
    <t>Post de divulgação sobre o projeto</t>
  </si>
  <si>
    <t>Newsletter com texto semiformal sobre os resultados ou conteúdo do projeto</t>
  </si>
  <si>
    <t>Repositório com códigos, notebooks ou materiais do projeto</t>
  </si>
  <si>
    <t>Post ou material relacionado ao projeto na página pessoal do GitHub Pages</t>
  </si>
  <si>
    <t>Post ou material relacionado ao projeto na página pessoal</t>
  </si>
  <si>
    <t>Curso produzido a partir do conteúdo do projeto, comercial ou aberto</t>
  </si>
  <si>
    <t>fazer vídeo falando sobre Einstein e suas descobertas</t>
  </si>
  <si>
    <t>introdução á álgebra linear usando python</t>
  </si>
  <si>
    <t>postar um vídeo sobre a samambaia de Barnsley</t>
  </si>
  <si>
    <t>curso baseado no curso de bioestat. ministrado no Hospital A. Einstein</t>
  </si>
  <si>
    <t>Introdução ao cálculo 1 usando python</t>
  </si>
  <si>
    <t>Ebook de introdução ao cálculo vetorial (baseado em notas do Prof. Fleming)</t>
  </si>
  <si>
    <t>Metodologias de clusterização e isomorfismo com Física Estat.</t>
  </si>
  <si>
    <t>Mostrar ensemble microcacônico no TSNE e K-Means adaptativo</t>
  </si>
  <si>
    <t>história da computação clássica e quântica</t>
  </si>
  <si>
    <t>artigo comentando desde a criação dos números até o cálculo computacional</t>
  </si>
  <si>
    <t>curso de programação com python: introdução à algoritmos de programação</t>
  </si>
  <si>
    <t>Artigo sobre evasão universitária no Brasil</t>
  </si>
  <si>
    <t>proposta de metodologia para usar ML na predição de evasão universitária</t>
  </si>
  <si>
    <t>review sobre econofisica</t>
  </si>
  <si>
    <t>escrever artigo falando sobre o nascimento da econofísica e a atual conjuntura</t>
  </si>
  <si>
    <t>metodologia de econofisica para distribuição de renda</t>
  </si>
  <si>
    <t>Usando a metodologia desenvolvida pelo Marcelo Byrro</t>
  </si>
  <si>
    <t>Sobre médias generalizadas, entropia e aplicações</t>
  </si>
  <si>
    <t>Publicar artigo com análise de dados do PNAD na revista Scientific Data</t>
  </si>
  <si>
    <t>Exemplo interessante de artigo da revista: https://www.nature.com/articles/s41597-026-06722-5#Tab3</t>
  </si>
  <si>
    <t>fazer vídeo falando sobre Schrodinger e suas descobertas</t>
  </si>
  <si>
    <t>explicação sobre como construir um exemplo de circuito em comp. quânt.</t>
  </si>
  <si>
    <t>Artigo sobre o paradoxo da moeda e da roda de Aristóteles</t>
  </si>
  <si>
    <t>https://arxiv.org/abs/2512.00123</t>
  </si>
  <si>
    <t>https://doi.org/10.1590/1806-9126-RBEF-2025-0401</t>
  </si>
  <si>
    <t>https://www.youtube.com/watch?v=uzmDvQQZoGs</t>
  </si>
  <si>
    <t>https://www.tiktok.com/@olsp1982/video/7591487240614858005</t>
  </si>
  <si>
    <t>Experimento de medição da densidade da água</t>
  </si>
  <si>
    <t>uso de IA e programação no ensino de física experimental</t>
  </si>
  <si>
    <t>https://arxiv.org/abs/2508.02682</t>
  </si>
  <si>
    <t>https://doi.org/10.1590/1806-9126-RBEF-2025-0044</t>
  </si>
  <si>
    <t>O nascimento da mecânica quântica</t>
  </si>
  <si>
    <t>artigo contextualizando o nascer da mecânica quântica com Gibbs, Planck, Einstein</t>
  </si>
  <si>
    <t>Revisão sobre frameworks dinâmicos (matriz de densidade)</t>
  </si>
  <si>
    <t>escrever sobre pictures, informação, e o uso de matrix theory e matriz densidade</t>
  </si>
  <si>
    <t>dedução de todas as métricas da matriz de confusão</t>
  </si>
  <si>
    <t>minicurso em playlist do canal do youtube e tiktok</t>
  </si>
  <si>
    <t>contribuição de Dirac para a mecânica quântica</t>
  </si>
  <si>
    <t>Explicar de forma lúdica o problema de grafos do filme</t>
  </si>
  <si>
    <t>Vídeo falando sobre a questão #160 do Enem 2025 e a resolução</t>
  </si>
  <si>
    <t>https://www.youtube.com/watch?v=fvKghpRJkY8</t>
  </si>
  <si>
    <t>https://www.tiktok.com/@olsp1982/video/7575534029655608583?is_from_webapp=1&amp;sender_device=pc&amp;web_id=7580439068664989205</t>
  </si>
  <si>
    <t>colocar os notebooks no repo algorithms do GitHub</t>
  </si>
  <si>
    <t>Vídeo descrevendo o que é uma rede de Hopfield</t>
  </si>
  <si>
    <t>fazer vídeo sobre o uso de regressão linear em física e em data science</t>
  </si>
  <si>
    <t>Transformação de Lorentz, causalidade e a equação de onda</t>
  </si>
  <si>
    <t>como a covariância da equação de onda implica nas transformações de Lorentz</t>
  </si>
  <si>
    <t>Artigo de revisão sobre junções de espaços tempo</t>
  </si>
  <si>
    <t>Is this the simplest (and most surprising) sorting algorithm ever?</t>
  </si>
  <si>
    <t>fazer vídeo sobre stickbead argument do Feynman</t>
  </si>
  <si>
    <t>Falando sobre o teorema de Bayes e dando exemplos de aplicações</t>
  </si>
  <si>
    <t>Teoria dos Números</t>
  </si>
  <si>
    <t>Equações diofantinas e raízes de polinômios com progressões</t>
  </si>
  <si>
    <t>fazer um vídeo explicando o teste de Wilcoxon</t>
  </si>
  <si>
    <t>Dust content content solutions for the Alcubierre warp drive spacetime.</t>
  </si>
  <si>
    <t>artigo que escrevi para minha pesquisa em warp drive theory</t>
  </si>
  <si>
    <t>https://arxiv.org/abs/2008.06560</t>
  </si>
  <si>
    <t>artigo publicado na revista EPJC</t>
  </si>
  <si>
    <t>https://doi.org/10.1140/epjc/s10052-020-8355-2</t>
  </si>
  <si>
    <t>preprint no Research Gate</t>
  </si>
  <si>
    <t>vídeo educativo sobre o artigo</t>
  </si>
  <si>
    <t>Post de divulgação sobre o artigo</t>
  </si>
  <si>
    <t>Newsletter com texto semi formal sobre os resultados do artigo</t>
  </si>
  <si>
    <t>Repo com códigos do projeto</t>
  </si>
  <si>
    <t>Post ou algo relacionado ao artigo em minha pagina pessoal do GitHub Pages</t>
  </si>
  <si>
    <t>Post ou algo relacionado ao artigo em minha pagina pessoal</t>
  </si>
  <si>
    <t>Curso produzido sobre o conteúdo (a venda ou não)</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</si>
  <si>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</si>
  <si>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</si>
  <si>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</si>
  <si>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</si>
  <si>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</si>
  <si>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</si>
  <si>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</si>
  <si>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</si>
  <si>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</si>
  <si>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</si>
  <si>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</si>
  <si>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</si>
  <si>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</si>
  <si>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</si>
  <si>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Divulgação de Warp Drive Theory no Brasil (em PT-BR)</t>
  </si>
  <si>
    <t>artigo educativo com introdução à RG no contexto de warp drive theory</t>
  </si>
  <si>
    <t>Isomorfismo entre Minkowski e Warp Drive</t>
  </si>
  <si>
    <t>apresentar a transformação de coordenadas entre WD e Minkowski</t>
  </si>
  <si>
    <t>Uso do SageMath em Warp Drive Theory</t>
  </si>
  <si>
    <t>https://www.sciencedirect.com/science/article/abs/pii/S0010465523000930</t>
  </si>
  <si>
    <t>Resolver as equações de Einstein para a métrica de Alcubierre</t>
  </si>
  <si>
    <t>Usar a métrica original de Alcubierre e acoplar as fontes de energia e momento</t>
  </si>
  <si>
    <t>Introdução ao Warp Drive em revista de divulgação</t>
  </si>
  <si>
    <t>Falar sobre Relatividade e Warp Drive para público amplo</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</si>
  <si>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</si>
  <si>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</si>
  <si>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</si>
  <si>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</si>
  <si>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</si>
  <si>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</si>
  <si>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</si>
  <si>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</si>
  <si>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</si>
  <si>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</si>
  <si>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</si>
  <si>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</si>
  <si>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</si>
  <si>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</si>
  <si>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</si>
  <si>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</si>
  <si>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</si>
  <si>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</si>
  <si>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</si>
  <si>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</si>
  <si>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</si>
  <si>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</si>
  <si>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</si>
  <si>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</si>
  <si>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</si>
  <si>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</si>
  <si>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</si>
  <si>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</si>
  <si>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</si>
  <si>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</si>
  <si>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</si>
  <si>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</si>
  <si>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</si>
  <si>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</si>
  <si>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</si>
  <si>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</si>
  <si>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</si>
  <si>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</si>
  <si>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</si>
  <si>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</si>
  <si>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</si>
  <si>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</si>
  <si>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</si>
  <si>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</si>
  <si>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</si>
  <si>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</si>
  <si>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</si>
  <si>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</si>
  <si>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</si>
  <si>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</si>
  <si>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</si>
  <si>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</si>
  <si>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</si>
  <si>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</si>
  <si>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</si>
  <si>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</si>
  <si>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</si>
  <si>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</si>
  <si>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</si>
  <si>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</si>
  <si>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</si>
  <si>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</si>
  <si>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</si>
  <si>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</si>
  <si>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</si>
  <si>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</si>
  <si>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</si>
  <si>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</si>
  <si>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</si>
  <si>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</si>
  <si>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</si>
  <si>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</si>
  <si>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</si>
  <si>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</si>
  <si>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</si>
  <si>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</si>
  <si>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</si>
  <si>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</si>
  <si>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</si>
  <si>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</si>
  <si>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</si>
  <si>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</si>
  <si>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</si>
  <si>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</si>
  <si>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</si>
  <si>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</si>
  <si>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</si>
  <si>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</si>
  <si>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</si>
  <si>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</si>
  <si>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</si>
  <si>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</si>
  <si>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</si>
  <si>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</si>
  <si>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</si>
  <si>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</si>
  <si>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</si>
  <si>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</si>
  <si>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</si>
  <si>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</si>
  <si>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</si>
  <si>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</si>
  <si>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</si>
  <si>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</si>
  <si>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</si>
  <si>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</si>
  <si>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</si>
  <si>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</si>
  <si>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</si>
  <si>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</si>
  <si>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</si>
  <si>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</si>
  <si>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</si>
  <si>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</si>
  <si>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</si>
  <si>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</si>
  <si>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</si>
  <si>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</si>
  <si>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</si>
  <si>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</si>
  <si>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</si>
  <si>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</si>
  <si>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</si>
  <si>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</si>
  <si>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</si>
  <si>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</si>
  <si>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</si>
  <si>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</si>
  <si>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</si>
  <si>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</si>
  <si>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</si>
  <si>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</si>
  <si>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</si>
  <si>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</si>
  <si>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</si>
  <si>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</si>
  <si>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</si>
  <si>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</si>
  <si>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</si>
  <si>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</si>
  <si>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</si>
  <si>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</si>
  <si>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</si>
  <si>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</si>
  <si>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</si>
  <si>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</si>
  <si>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</si>
  <si>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</si>
  <si>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</si>
  <si>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</si>
  <si>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</si>
  <si>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</si>
  <si>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</si>
  <si>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</si>
  <si>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</si>
  <si>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</si>
  <si>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</si>
  <si>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</si>
  <si>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</si>
  <si>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</si>
  <si>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</si>
  <si>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</si>
  <si>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</si>
  <si>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</si>
  <si>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</si>
  <si>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</si>
  <si>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</si>
  <si>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</si>
  <si>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</si>
  <si>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</si>
  <si>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</si>
  <si>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</si>
  <si>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</si>
  <si>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</si>
  <si>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</si>
  <si>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</si>
  <si>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</si>
  <si>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</si>
  <si>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</si>
  <si>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</si>
  <si>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</si>
  <si>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</si>
  <si>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</si>
  <si>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</si>
  <si>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</si>
  <si>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</si>
  <si>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</si>
  <si>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</si>
  <si>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</si>
  <si>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</si>
  <si>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</si>
  <si>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</si>
  <si>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</si>
  <si>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</si>
  <si>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</si>
  <si>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</si>
  <si>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</si>
  <si>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</si>
  <si>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</si>
  <si>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</si>
  <si>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</si>
  <si>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</si>
  <si>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</si>
  <si>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</si>
  <si>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</si>
  <si>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</si>
  <si>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</si>
  <si>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</si>
  <si>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</si>
  <si>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</si>
  <si>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</si>
  <si>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</si>
  <si>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</si>
  <si>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</si>
  <si>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</si>
  <si>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</si>
  <si>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</si>
  <si>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</si>
  <si>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</si>
  <si>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</si>
  <si>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</si>
  <si>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</si>
  <si>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</si>
  <si>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</si>
  <si>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</si>
  <si>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</si>
  <si>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</si>
  <si>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</si>
  <si>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</si>
  <si>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</si>
  <si>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</si>
  <si>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</si>
  <si>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</si>
  <si>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</si>
  <si>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</si>
  <si>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</si>
  <si>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</si>
  <si>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</si>
  <si>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</si>
  <si>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</si>
  <si>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</si>
  <si>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</si>
  <si>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</si>
  <si>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</si>
  <si>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</si>
  <si>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</si>
  <si>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</si>
  <si>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</si>
  <si>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</si>
  <si>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</si>
  <si>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</si>
  <si>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</si>
  <si>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</si>
  <si>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</si>
  <si>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</si>
  <si>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</si>
  <si>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</si>
  <si>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</si>
  <si>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</si>
  <si>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</si>
  <si>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</si>
  <si>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</si>
  <si>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</si>
  <si>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</si>
  <si>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</si>
  <si>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</si>
  <si>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</si>
  <si>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</si>
  <si>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</si>
  <si>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</si>
  <si>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</si>
  <si>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</si>
  <si>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</si>
  <si>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</si>
  <si>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</si>
  <si>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</si>
  <si>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</si>
  <si>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</si>
  <si>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</si>
  <si>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</si>
  <si>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</si>
  <si>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</si>
  <si>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</si>
  <si>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</si>
  <si>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</si>
  <si>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</si>
  <si>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</si>
  <si>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</si>
  <si>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</si>
  <si>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</si>
  <si>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</si>
  <si>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</si>
  <si>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</si>
  <si>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</si>
  <si>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</si>
  <si>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</si>
  <si>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</si>
  <si>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</si>
  <si>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</si>
  <si>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</si>
  <si>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</si>
  <si>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</si>
  <si>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</si>
  <si>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</si>
  <si>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</si>
  <si>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</si>
  <si>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</si>
  <si>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</si>
  <si>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</si>
  <si>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</si>
  <si>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</si>
  <si>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</si>
  <si>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</si>
  <si>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</si>
  <si>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</si>
  <si>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</si>
  <si>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</si>
  <si>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</si>
  <si>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</si>
  <si>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</si>
  <si>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</si>
  <si>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</si>
  <si>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</si>
  <si>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</si>
  <si>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</si>
  <si>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</si>
  <si>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</si>
  <si>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</si>
  <si>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</si>
  <si>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</si>
  <si>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</si>
  <si>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</si>
  <si>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</si>
  <si>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</si>
  <si>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</si>
  <si>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</si>
  <si>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</si>
  <si>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</si>
  <si>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</si>
  <si>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</si>
  <si>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</si>
  <si>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</si>
  <si>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</si>
  <si>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</si>
  <si>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</si>
  <si>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</si>
  <si>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</si>
  <si>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</si>
  <si>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</si>
  <si>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</si>
  <si>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</si>
  <si>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</si>
  <si>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</si>
  <si>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</si>
  <si>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</si>
  <si>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</si>
  <si>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</si>
  <si>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</si>
  <si>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</si>
  <si>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</si>
  <si>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</si>
  <si>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</si>
  <si>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</si>
  <si>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</si>
  <si>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</si>
  <si>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</si>
  <si>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</si>
  <si>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</si>
  <si>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</si>
  <si>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</si>
  <si>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</si>
  <si>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</si>
  <si>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</si>
  <si>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</si>
  <si>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</si>
  <si>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</si>
  <si>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</si>
  <si>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</si>
  <si>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</si>
  <si>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</si>
  <si>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</si>
  <si>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</si>
  <si>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</si>
  <si>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</si>
  <si>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</si>
  <si>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</si>
  <si>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</si>
  <si>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</si>
  <si>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</si>
  <si>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</si>
  <si>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</si>
  <si>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</si>
  <si>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</si>
  <si>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</si>
  <si>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</si>
  <si>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</si>
  <si>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</si>
  <si>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</si>
  <si>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</si>
  <si>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</si>
  <si>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</si>
  <si>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</si>
  <si>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</si>
  <si>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</si>
  <si>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</si>
  <si>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</si>
  <si>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</si>
  <si>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</si>
  <si>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</si>
  <si>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</si>
  <si>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</si>
  <si>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</si>
  <si>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</si>
  <si>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</si>
  <si>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</si>
  <si>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</si>
  <si>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</si>
  <si>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</si>
  <si>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</si>
  <si>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</si>
  <si>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</si>
  <si>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</si>
  <si>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</si>
  <si>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</si>
  <si>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</si>
  <si>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</si>
  <si>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</si>
  <si>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</si>
  <si>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</si>
  <si>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</si>
  <si>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</si>
  <si>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</si>
  <si>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</si>
  <si>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</si>
  <si>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</si>
  <si>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</si>
  <si>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</si>
  <si>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</si>
  <si>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</si>
  <si>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</si>
  <si>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</si>
  <si>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</si>
  <si>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</si>
  <si>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</si>
  <si>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</si>
  <si>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</si>
  <si>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</si>
  <si>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</si>
  <si>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</si>
  <si>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</si>
  <si>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</si>
  <si>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</si>
  <si>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</si>
  <si>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</si>
  <si>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</si>
  <si>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</si>
  <si>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</si>
  <si>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</si>
  <si>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</si>
  <si>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</si>
  <si>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</si>
  <si>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</si>
  <si>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</si>
  <si>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</si>
  <si>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</si>
  <si>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</si>
  <si>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</si>
  <si>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</si>
  <si>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</si>
  <si>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</si>
  <si>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</si>
  <si>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</si>
  <si>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</si>
  <si>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</si>
  <si>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</si>
  <si>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</si>
  <si>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</si>
  <si>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</si>
  <si>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</si>
  <si>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</si>
  <si>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</si>
  <si>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</si>
  <si>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</si>
  <si>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</si>
  <si>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</si>
  <si>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</si>
  <si>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</si>
  <si>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</si>
  <si>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</si>
  <si>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</si>
  <si>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</si>
  <si>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</si>
  <si>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</si>
  <si>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</si>
  <si>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</si>
  <si>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</si>
  <si>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</si>
  <si>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</si>
  <si>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</si>
  <si>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</si>
  <si>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</si>
  <si>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</si>
  <si>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</si>
  <si>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</si>
  <si>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</si>
  <si>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</si>
  <si>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</si>
  <si>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</si>
  <si>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</si>
  <si>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</si>
  <si>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</si>
  <si>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</si>
  <si>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</si>
  <si>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</si>
  <si>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</si>
  <si>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</si>
  <si>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</si>
  <si>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</si>
  <si>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</si>
  <si>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</si>
  <si>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</si>
  <si>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</si>
  <si>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</si>
  <si>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</si>
  <si>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</si>
  <si>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</si>
  <si>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</si>
  <si>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</si>
  <si>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</si>
  <si>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</si>
  <si>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</si>
  <si>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</si>
  <si>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</si>
  <si>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</si>
  <si>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</si>
  <si>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</si>
  <si>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</si>
  <si>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</si>
  <si>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</si>
  <si>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</si>
  <si>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</si>
  <si>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</si>
  <si>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</si>
  <si>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</si>
  <si>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</si>
  <si>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</si>
  <si>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</si>
  <si>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</si>
  <si>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</si>
  <si>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</si>
  <si>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</si>
  <si>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</si>
  <si>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</si>
  <si>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</si>
  <si>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</si>
  <si>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</si>
  <si>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</si>
  <si>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</si>
  <si>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</si>
  <si>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</si>
  <si>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</si>
  <si>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</si>
  <si>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</si>
  <si>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</si>
  <si>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</si>
  <si>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</si>
  <si>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</si>
  <si>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</si>
  <si>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</si>
  <si>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</si>
  <si>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</si>
  <si>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</si>
  <si>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</si>
  <si>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</si>
  <si>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</si>
  <si>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</si>
  <si>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</si>
  <si>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</si>
  <si>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</si>
  <si>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</si>
  <si>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</si>
  <si>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</si>
  <si>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</si>
  <si>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</si>
  <si>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</si>
  <si>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</si>
  <si>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</si>
  <si>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</si>
  <si>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</si>
  <si>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</si>
  <si>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</si>
  <si>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</si>
  <si>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</si>
  <si>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</si>
  <si>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</si>
  <si>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</si>
  <si>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</si>
  <si>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</si>
  <si>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</si>
  <si>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</si>
  <si>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</si>
  <si>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</si>
  <si>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</si>
  <si>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</si>
  <si>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</si>
  <si>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</si>
  <si>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</si>
  <si>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</si>
  <si>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</si>
  <si>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</si>
  <si>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</si>
  <si>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</si>
  <si>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</si>
  <si>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</si>
  <si>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</si>
  <si>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</si>
  <si>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</si>
  <si>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</si>
  <si>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</si>
  <si>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</si>
  <si>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</si>
  <si>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</si>
  <si>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</si>
  <si>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</si>
  <si>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</si>
  <si>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</si>
  <si>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</si>
  <si>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</si>
  <si>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</si>
  <si>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</si>
  <si>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</si>
  <si>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</si>
  <si>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</si>
  <si>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</si>
  <si>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</si>
  <si>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</si>
  <si>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</si>
  <si>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</si>
  <si>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</si>
  <si>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</si>
  <si>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</si>
  <si>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</si>
  <si>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</si>
  <si>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</si>
  <si>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</si>
  <si>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</si>
  <si>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</si>
  <si>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</si>
  <si>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</si>
  <si>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</si>
  <si>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</si>
  <si>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</si>
  <si>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</si>
  <si>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</si>
  <si>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</si>
  <si>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</si>
  <si>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</si>
  <si>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</si>
  <si>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</si>
  <si>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</si>
  <si>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</si>
  <si>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</si>
  <si>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</si>
  <si>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</si>
  <si>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</si>
  <si>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</si>
  <si>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</si>
  <si>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</si>
  <si>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</si>
  <si>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</si>
  <si>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</si>
  <si>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</si>
  <si>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</si>
  <si>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</si>
  <si>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</si>
  <si>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</si>
  <si>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</si>
  <si>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</si>
  <si>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</si>
  <si>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</si>
  <si>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</si>
  <si>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</si>
  <si>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</si>
  <si>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</si>
  <si>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</si>
  <si>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</si>
  <si>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</si>
  <si>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</si>
  <si>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</si>
  <si>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</si>
  <si>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</si>
  <si>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</si>
  <si>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</si>
  <si>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</si>
  <si>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</si>
  <si>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</si>
  <si>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</si>
  <si>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</si>
  <si>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</si>
  <si>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</si>
  <si>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</si>
  <si>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</si>
  <si>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</si>
  <si>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</si>
  <si>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</si>
  <si>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</si>
  <si>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</si>
  <si>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</si>
  <si>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</si>
  <si>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</si>
  <si>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</si>
  <si>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</si>
  <si>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</si>
  <si>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</si>
  <si>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</si>
  <si>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</si>
  <si>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</si>
  <si>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</si>
  <si>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</si>
  <si>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</si>
  <si>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</si>
  <si>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</si>
  <si>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</si>
  <si>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</si>
  <si>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</si>
  <si>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</si>
  <si>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</si>
  <si>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</si>
  <si>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</si>
  <si>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</si>
  <si>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</si>
  <si>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</si>
  <si>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</si>
  <si>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</si>
  <si>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</si>
  <si>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</si>
  <si>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</si>
  <si>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</si>
  <si>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</si>
  <si>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</si>
  <si>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</si>
  <si>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</si>
  <si>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</si>
  <si>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</si>
  <si>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</si>
  <si>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</si>
  <si>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</si>
  <si>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</si>
  <si>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</si>
  <si>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</si>
  <si>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</si>
  <si>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</si>
  <si>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</si>
  <si>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</si>
  <si>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</si>
  <si>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</si>
  <si>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</si>
  <si>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</si>
  <si>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</si>
  <si>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</si>
  <si>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</si>
  <si>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</si>
  <si>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</si>
  <si>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</si>
  <si>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</si>
  <si>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</si>
  <si>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</si>
  <si>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</si>
  <si>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</si>
  <si>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</si>
  <si>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</si>
  <si>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</si>
  <si>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</si>
  <si>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</si>
  <si>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</si>
  <si>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</si>
  <si>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</si>
  <si>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</si>
  <si>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</si>
  <si>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</si>
  <si>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</si>
  <si>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</si>
  <si>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</si>
  <si>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</si>
  <si>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</si>
  <si>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</si>
  <si>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</si>
  <si>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</si>
  <si>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</si>
  <si>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</si>
  <si>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</si>
  <si>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</si>
  <si>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</si>
  <si>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</si>
  <si>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</si>
  <si>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</si>
  <si>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</si>
  <si>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</si>
  <si>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</si>
  <si>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</si>
  <si>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</si>
  <si>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</si>
  <si>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</si>
  <si>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</si>
  <si>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</si>
  <si>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</si>
  <si>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</si>
  <si>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</si>
  <si>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</si>
  <si>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</si>
  <si>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</si>
  <si>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</si>
  <si>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</si>
  <si>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</si>
  <si>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</si>
  <si>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</si>
  <si>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</si>
  <si>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</si>
  <si>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</si>
  <si>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</si>
  <si>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</si>
  <si>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</si>
  <si>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</si>
  <si>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</si>
  <si>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</si>
  <si>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</si>
  <si>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</si>
  <si>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</si>
  <si>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</si>
  <si>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</si>
  <si>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</si>
  <si>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</si>
  <si>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</si>
  <si>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</si>
  <si>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</si>
  <si>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</si>
  <si>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</si>
  <si>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</si>
  <si>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</si>
  <si>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</si>
  <si>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</si>
  <si>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</si>
  <si>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</si>
  <si>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</si>
  <si>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</si>
  <si>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</si>
  <si>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</si>
  <si>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</si>
  <si>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</si>
  <si>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</si>
  <si>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</si>
  <si>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</si>
  <si>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</si>
  <si>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</si>
  <si>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</si>
  <si>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</si>
  <si>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</si>
  <si>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</si>
  <si>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</si>
  <si>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</si>
  <si>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</si>
  <si>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</si>
  <si>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</si>
  <si>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</si>
  <si>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</si>
  <si>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</si>
  <si>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</si>
  <si>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</si>
  <si>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</si>
  <si>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</si>
  <si>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</si>
  <si>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</si>
  <si>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</si>
  <si>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</si>
  <si>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</si>
  <si>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</si>
  <si>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</si>
  <si>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</si>
  <si>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</si>
  <si>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</si>
  <si>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</si>
  <si>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</si>
  <si>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</si>
  <si>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</si>
  <si>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</si>
  <si>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</si>
  <si>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</si>
  <si>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</si>
  <si>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</si>
  <si>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</si>
  <si>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</si>
  <si>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</si>
  <si>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</si>
  <si>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</si>
  <si>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</si>
  <si>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</si>
  <si>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</si>
  <si>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</si>
  <si>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</si>
  <si>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</si>
  <si>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</si>
  <si>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</si>
  <si>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</si>
  <si>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</si>
  <si>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</si>
  <si>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</si>
  <si>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</si>
  <si>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</si>
  <si>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</si>
  <si>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</si>
  <si>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</si>
  <si>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</si>
  <si>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</si>
  <si>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</si>
  <si>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</si>
  <si>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</si>
  <si>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</si>
  <si>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</si>
  <si>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</si>
  <si>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</si>
  <si>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</si>
  <si>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</si>
  <si>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</si>
  <si>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</si>
  <si>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</si>
  <si>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</si>
  <si>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</si>
  <si>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</si>
  <si>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</si>
  <si>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</si>
  <si>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</si>
  <si>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</si>
  <si>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</si>
  <si>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</si>
  <si>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</si>
  <si>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</si>
  <si>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</si>
  <si>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</si>
  <si>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</si>
  <si>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</si>
  <si>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Warp Drive: The physics behind space warp</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</si>
  <si>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</si>
  <si>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</si>
  <si>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</si>
  <si>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</si>
  <si>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</si>
  <si>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</si>
  <si>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</si>
  <si>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</si>
  <si>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</si>
  <si>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</si>
  <si>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Mecânica Quântica</t>
  </si>
  <si>
    <t>Álgebra Linear</t>
  </si>
  <si>
    <t>Programação e Algoritmos</t>
  </si>
  <si>
    <t>Estatística e Probabilidade</t>
  </si>
  <si>
    <t>Matemática Aplicada e Cálculo</t>
  </si>
  <si>
    <t>Física Estatística e Econofísica</t>
  </si>
  <si>
    <t>Ciência de Dados e IA</t>
  </si>
  <si>
    <t>Física Clássica</t>
  </si>
  <si>
    <t>Geometria</t>
  </si>
  <si>
    <t>Relatividade e Warp Drive</t>
  </si>
  <si>
    <t>DASHBOARD DE PRODUÇÃO INTELECTUAL</t>
  </si>
  <si>
    <t>Fonte: aba Produção (88 projetos × 12 canais), Temas e Periódicos — todos os indicadores são fórmulas</t>
  </si>
  <si>
    <t>Tema</t>
  </si>
  <si>
    <t>Saídas concluídas</t>
  </si>
  <si>
    <t>PRODUÇÃO POR TEMA</t>
  </si>
  <si>
    <t>PRODUÇÃO POR CANAL</t>
  </si>
  <si>
    <t>Saídas planejadas</t>
  </si>
  <si>
    <t>Projetos ativos</t>
  </si>
  <si>
    <t>Média saídas/projeto</t>
  </si>
  <si>
    <t>Projetos com ≥1 saída</t>
  </si>
  <si>
    <t>Projetos sem saída</t>
  </si>
  <si>
    <t>Projetos multicanal (≥3)</t>
  </si>
  <si>
    <t>Temas ativos</t>
  </si>
  <si>
    <t>Canais ativos</t>
  </si>
  <si>
    <t>Periódicos fit ≥4</t>
  </si>
  <si>
    <t>Rank saídas</t>
  </si>
  <si>
    <t>EVOLUÇÃO ANUAL (por data registrada)</t>
  </si>
  <si>
    <t>ÚLTIMOS 12 MESES</t>
  </si>
  <si>
    <t>Ano</t>
  </si>
  <si>
    <t>Mês</t>
  </si>
  <si>
    <t>TOP 10 PROJETOS POR SAÍDAS CONCLUÍDAS</t>
  </si>
  <si>
    <t>PERIÓDICOS (pipeline de submissão)</t>
  </si>
  <si>
    <t>Periódicos mapeados</t>
  </si>
  <si>
    <t>Fit 5 (prioridade)</t>
  </si>
  <si>
    <t>Fit ≥4</t>
  </si>
  <si>
    <t>Impact Factor médio</t>
  </si>
  <si>
    <t>Open Access declarado</t>
  </si>
  <si>
    <t>Artigos planejados (Journal)</t>
  </si>
  <si>
    <t>Artigos concluídos (Journal)</t>
  </si>
  <si>
    <t>QUALIDADE DOS DADOS (itens a corrigir)</t>
  </si>
  <si>
    <t>Verificação</t>
  </si>
  <si>
    <t>Ocorrências</t>
  </si>
  <si>
    <t>Saídas concluídas sem link</t>
  </si>
  <si>
    <t>Links preenchidos sem status concluído</t>
  </si>
  <si>
    <t>Saídas concluídas sem data</t>
  </si>
  <si>
    <t>Projetos sem tema atribuído</t>
  </si>
  <si>
    <t>Periódicos sem Impact Factor</t>
  </si>
  <si>
    <t>Situação global</t>
  </si>
  <si>
    <t>Concluídas</t>
  </si>
  <si>
    <t>Pendentes</t>
  </si>
  <si>
    <t>MATRIZ PROJETO × CANAL (gerada automaticamente a partir da aba Produção)</t>
  </si>
  <si>
    <t>arXiv/SSRN (link)</t>
  </si>
  <si>
    <t>Journal (link)</t>
  </si>
  <si>
    <t>Research Gate (link)</t>
  </si>
  <si>
    <t>YouTube (link)</t>
  </si>
  <si>
    <t>TikTok (link)</t>
  </si>
  <si>
    <t>LinkedIn (link)</t>
  </si>
  <si>
    <t>Newsletter LinkedIn (link)</t>
  </si>
  <si>
    <t>Substack (link)</t>
  </si>
  <si>
    <t>GitHub (link)</t>
  </si>
  <si>
    <t>Oz.io (link)</t>
  </si>
  <si>
    <t>Oz Site (link)</t>
  </si>
  <si>
    <t>Curso (link)</t>
  </si>
  <si>
    <t>TOTAL</t>
  </si>
  <si>
    <t>Título</t>
  </si>
  <si>
    <t>Publicação</t>
  </si>
  <si>
    <t>Duração</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</si>
  <si>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</si>
  <si>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</si>
  <si>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</si>
  <si>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</si>
  <si>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</si>
  <si>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</si>
  <si>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</si>
  <si>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</si>
  <si>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</si>
  <si>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</si>
  <si>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</si>
  <si>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</si>
  <si>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</si>
  <si>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</si>
  <si>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</si>
  <si>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</si>
  <si>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</si>
  <si>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</si>
  <si>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</si>
  <si>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</si>
  <si>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</si>
  <si>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</si>
  <si>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</si>
  <si>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</si>
  <si>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</si>
  <si>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</si>
  <si>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</si>
  <si>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</si>
  <si>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</si>
  <si>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</si>
  <si>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</si>
  <si>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</si>
  <si>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</si>
  <si>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</si>
  <si>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 science presentation, but a pedagogical introduction grounded in the formalism of General Relativity.
📌 Video Chapters (YouTube Chapters):
00:00 - Introduction and Alcubierre's Proposal
00:14 - The Warp Bubble and Spacetime Manipulation
00:40 - The Wake Effect and Frame of Reference Transport
00:50 - Physics Inside the Warp Bubble
01:10 - 3+1 Formalism in General Relativity
01:25 - The ADM Decomposition
01:39 - Lapse and Deviation Vector: Fundamental Concepts
02:06 - The Alcubierre Metric and the Bubble Impulse
02:26 - Global Hyperbolicity and Preservation of Causality
02:54 - Negative Energy and Violated Energy Conditions
This video offers a concise and rigorous overview of the theoretical foundations of the Alcubierre Warp Drive, aimed at graduate students and researchers in General Relativity. The Alcubierre metric, introduced in 1994, describes a spacetime geometry that allows for effectively superluminal displacement by contracting space ahead of a warp bubble and expanding it behind it, without violating local causality or the speed-of-light limit within the bubble.
Key concepts:
Spacetime foliation in spatial hypersurfaces
Definition and interpretation of the lapse function and deviation vector
Structure of the Alcubierre metric
Global hyperbolicity and preservation of causality
Violation of classical energy conditions (Weak and Dominant)
Role of exotic matter and implications for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Einstein's equations, exotic matter, causality, energy conditions
#GeneralRelativity #TheoreticalPhysics #AlcubierreDrive #Spacetime #WarpDrive #Einstein #Interstellar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</si>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</sst>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m/d/yyyy"/>
  </numFmts>
  <fonts count="18">
    <font>
      <sz val="11"/>
      <name val="Carlito"/>
    </font>
    <font>
      <sz val="12"/>
      <color rgb="FF000000"/>
      <name val="Calibri"/>
      <family val="2"/>
    </font>
    <font>
      <b/>
      <sz val="12"/>
      <color rgb="FFFFFFFF"/>
      <name val="Calibri"/>
      <family val="2"/>
    </font>
    <font>
      <sz val="12"/>
      <name val="Calibri"/>
      <family val="2"/>
    </font>
    <font>
      <b/>
      <sz val="11"/>
      <color rgb="FFFFFFFF"/>
      <name val="Calibri"/>
      <family val="2"/>
    </font>
    <font>
      <sz val="11"/>
      <color rgb="FF000000"/>
      <name val="Calibri"/>
      <family val="2"/>
    </font>
    <font>
      <b/>
      <sz val="18"/>
      <color rgb="FFFFFFFF"/>
      <name val="Calibri"/>
      <family val="2"/>
    </font>
    <font>
      <sz val="11"/>
      <name val="Calibri"/>
      <family val="2"/>
    </font>
    <font>
      <i/>
      <sz val="11"/>
      <color rgb="FF595959"/>
      <name val="Calibri"/>
      <family val="2"/>
    </font>
    <font>
      <b/>
      <sz val="9"/>
      <color rgb="FFFFFFFF"/>
      <name val="Calibri"/>
      <family val="2"/>
    </font>
    <font>
      <b/>
      <sz val="16"/>
      <color rgb="FF1F3864"/>
      <name val="Calibri"/>
      <family val="2"/>
    </font>
    <font>
      <b/>
      <sz val="11"/>
      <name val="Calibri"/>
      <family val="2"/>
    </font>
    <font>
      <b/>
      <sz val="13"/>
      <color rgb="FFFFFFFF"/>
      <name val="Calibri"/>
      <family val="2"/>
      <scheme val="minor"/>
    </font>
    <font>
      <sz val="11"/>
      <name val="Calibri"/>
      <family val="2"/>
      <scheme val="minor"/>
    </font>
    <font>
      <b/>
      <sz val="11"/>
      <name val="Calibri"/>
      <family val="2"/>
      <scheme val="minor"/>
    </font>
    <font>
      <sz val="9"/>
      <name val="Calibri"/>
      <family val="2"/>
      <scheme val="minor"/>
    </font>
    <font>
      <b/>
      <sz val="11"/>
      <name val="Carlito"/>
    </font>
    <font>
      <b/>
      <sz val="11"/>
      <color rgb="FFFFFFFF"/>
      <name val="Calibri"/>
      <family val="2"/>
      <scheme val="minor"/>
    </font>
  </fonts>
  <fills count="12">
    <fill>
      <patternFill patternType="none"/>
    </fill>
    <fill>
      <patternFill patternType="gray125"/>
    </fill>
    <fill>
      <patternFill patternType="solid">
        <fgColor rgb="FFFFFFFF"/>
      </patternFill>
    </fill>
    <fill>
      <patternFill patternType="solid">
        <fgColor rgb="FF17324D"/>
      </patternFill>
    </fill>
    <fill>
      <patternFill patternType="solid">
        <fgColor rgb="FF1F3864"/>
        <bgColor indexed="64"/>
      </patternFill>
    </fill>
    <fill>
      <patternFill patternType="solid">
        <fgColor rgb="FFD9E2F3"/>
        <bgColor indexed="64"/>
      </patternFill>
    </fill>
    <fill>
      <patternFill patternType="solid">
        <fgColor rgb="FF2E5496"/>
        <bgColor indexed="64"/>
      </patternFill>
    </fill>
    <fill>
      <patternFill patternType="solid">
        <fgColor rgb="FFF2F5FB"/>
        <bgColor indexed="64"/>
      </patternFill>
    </fill>
    <fill>
      <patternFill patternType="solid">
        <fgColor rgb="FFC00000"/>
        <bgColor indexed="64"/>
      </patternFill>
    </fill>
    <fill>
      <patternFill patternType="solid">
        <fgColor rgb="FFF8CBAD"/>
        <bgColor indexed="64"/>
      </patternFill>
    </fill>
    <fill>
      <patternFill patternType="solid">
        <fgColor rgb="FFD9E1F2"/>
        <bgColor indexed="64"/>
      </patternFill>
    </fill>
    <fill>
      <patternFill patternType="solid">
        <fgColor rgb="FF17324D"/>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rgb="FFB7B7B7"/>
      </left>
      <right style="thin">
        <color rgb="FFD9D9D9"/>
      </right>
      <top style="thin">
        <color rgb="FFB7B7B7"/>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right/>
      <top/>
      <bottom style="thin">
        <color rgb="FF1F3864"/>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1F3864"/>
      </bottom>
      <diagonal/>
    </border>
    <border>
      <left style="thin">
        <color rgb="FFBFBFBF"/>
      </left>
      <right/>
      <top style="thin">
        <color rgb="FFBFBFBF"/>
      </top>
      <bottom style="thin">
        <color rgb="FF1F3864"/>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style="thin">
        <color rgb="FFD9D9D9"/>
      </left>
      <right style="thin">
        <color rgb="FFD9D9D9"/>
      </right>
      <top/>
      <bottom/>
      <diagonal/>
    </border>
  </borders>
  <cellStyleXfs count="1">
    <xf numFmtId="0" fontId="0" fillId="0" borderId="0"/>
  </cellStyleXfs>
  <cellXfs count="71">
    <xf numFmtId="0" fontId="0" fillId="0" borderId="0" xfId="0"/>
    <xf numFmtId="0" fontId="2" fillId="3" borderId="2"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4" xfId="0" applyFont="1" applyFill="1" applyBorder="1" applyAlignment="1">
      <alignment horizontal="center" vertical="center"/>
    </xf>
    <xf numFmtId="0" fontId="1" fillId="2" borderId="1" xfId="0" applyFont="1" applyFill="1" applyBorder="1" applyAlignment="1">
      <alignment horizontal="center" vertical="center"/>
    </xf>
    <xf numFmtId="0" fontId="4" fillId="3" borderId="7" xfId="0" applyFont="1" applyFill="1" applyBorder="1" applyAlignment="1">
      <alignment horizontal="center" vertical="center"/>
    </xf>
    <xf numFmtId="0" fontId="4" fillId="3" borderId="8" xfId="0" applyFont="1" applyFill="1" applyBorder="1" applyAlignment="1">
      <alignment horizontal="center" vertical="center"/>
    </xf>
    <xf numFmtId="0" fontId="5" fillId="2" borderId="9" xfId="0" applyFont="1" applyFill="1" applyBorder="1" applyAlignment="1">
      <alignment horizontal="left" vertical="center"/>
    </xf>
    <xf numFmtId="0" fontId="7" fillId="0" borderId="0" xfId="0" applyFont="1"/>
    <xf numFmtId="0" fontId="11" fillId="5" borderId="11" xfId="0" applyFont="1" applyFill="1" applyBorder="1" applyAlignment="1">
      <alignment wrapText="1"/>
    </xf>
    <xf numFmtId="0" fontId="11" fillId="5" borderId="12" xfId="0" applyFont="1" applyFill="1" applyBorder="1" applyAlignment="1">
      <alignment wrapText="1"/>
    </xf>
    <xf numFmtId="0" fontId="11" fillId="5" borderId="13" xfId="0" applyFont="1" applyFill="1" applyBorder="1" applyAlignment="1">
      <alignment wrapText="1"/>
    </xf>
    <xf numFmtId="0" fontId="7" fillId="0" borderId="14" xfId="0" applyFont="1" applyBorder="1"/>
    <xf numFmtId="0" fontId="7" fillId="0" borderId="15" xfId="0" applyFont="1" applyBorder="1"/>
    <xf numFmtId="9" fontId="7" fillId="0" borderId="16" xfId="0" applyNumberFormat="1" applyFont="1" applyBorder="1"/>
    <xf numFmtId="0" fontId="7" fillId="0" borderId="17" xfId="0" applyFont="1" applyBorder="1"/>
    <xf numFmtId="0" fontId="7" fillId="0" borderId="18" xfId="0" applyFont="1" applyBorder="1"/>
    <xf numFmtId="9" fontId="7" fillId="0" borderId="19" xfId="0" applyNumberFormat="1" applyFont="1" applyBorder="1"/>
    <xf numFmtId="0" fontId="11" fillId="5" borderId="11" xfId="0" applyFont="1" applyFill="1" applyBorder="1"/>
    <xf numFmtId="0" fontId="11" fillId="5" borderId="12" xfId="0" applyFont="1" applyFill="1" applyBorder="1"/>
    <xf numFmtId="0" fontId="11" fillId="5" borderId="13" xfId="0" applyFont="1" applyFill="1" applyBorder="1"/>
    <xf numFmtId="0" fontId="7" fillId="0" borderId="16" xfId="0" applyFont="1" applyBorder="1"/>
    <xf numFmtId="17" fontId="7" fillId="0" borderId="14" xfId="0" applyNumberFormat="1" applyFont="1" applyBorder="1"/>
    <xf numFmtId="0" fontId="7" fillId="0" borderId="19" xfId="0" applyFont="1" applyBorder="1"/>
    <xf numFmtId="17" fontId="7" fillId="0" borderId="17" xfId="0" applyNumberFormat="1" applyFont="1" applyBorder="1"/>
    <xf numFmtId="0" fontId="7" fillId="0" borderId="14" xfId="0" applyFont="1" applyBorder="1" applyAlignment="1">
      <alignment wrapText="1"/>
    </xf>
    <xf numFmtId="1" fontId="7" fillId="0" borderId="16" xfId="0" applyNumberFormat="1" applyFont="1" applyBorder="1"/>
    <xf numFmtId="2" fontId="7" fillId="0" borderId="16" xfId="0" applyNumberFormat="1" applyFont="1" applyBorder="1"/>
    <xf numFmtId="0" fontId="7" fillId="0" borderId="17" xfId="0" applyFont="1" applyBorder="1" applyAlignment="1">
      <alignment wrapText="1"/>
    </xf>
    <xf numFmtId="1" fontId="7" fillId="0" borderId="19" xfId="0" applyNumberFormat="1" applyFont="1" applyBorder="1"/>
    <xf numFmtId="0" fontId="11" fillId="9" borderId="11" xfId="0" applyFont="1" applyFill="1" applyBorder="1"/>
    <xf numFmtId="0" fontId="11" fillId="9" borderId="13" xfId="0" applyFont="1" applyFill="1" applyBorder="1"/>
    <xf numFmtId="0" fontId="11" fillId="0" borderId="0" xfId="0" applyFont="1"/>
    <xf numFmtId="1" fontId="7" fillId="0" borderId="0" xfId="0" applyNumberFormat="1" applyFont="1"/>
    <xf numFmtId="0" fontId="13" fillId="0" borderId="0" xfId="0" applyFont="1"/>
    <xf numFmtId="0" fontId="14" fillId="5" borderId="20" xfId="0" applyFont="1" applyFill="1" applyBorder="1" applyAlignment="1">
      <alignment horizontal="center" wrapText="1"/>
    </xf>
    <xf numFmtId="0" fontId="14" fillId="5" borderId="21" xfId="0" applyFont="1" applyFill="1" applyBorder="1" applyAlignment="1">
      <alignment horizontal="center" wrapText="1"/>
    </xf>
    <xf numFmtId="0" fontId="14" fillId="5" borderId="22" xfId="0" applyFont="1" applyFill="1" applyBorder="1" applyAlignment="1">
      <alignment horizontal="center" wrapText="1"/>
    </xf>
    <xf numFmtId="0" fontId="13" fillId="0" borderId="23" xfId="0" applyFont="1" applyBorder="1"/>
    <xf numFmtId="0" fontId="13" fillId="0" borderId="6" xfId="0" applyFont="1" applyBorder="1"/>
    <xf numFmtId="0" fontId="14" fillId="0" borderId="6" xfId="0" applyFont="1" applyBorder="1"/>
    <xf numFmtId="0" fontId="13" fillId="0" borderId="6" xfId="0" applyFont="1" applyBorder="1" applyAlignment="1">
      <alignment horizontal="center"/>
    </xf>
    <xf numFmtId="0" fontId="15" fillId="0" borderId="6" xfId="0" applyFont="1" applyBorder="1"/>
    <xf numFmtId="0" fontId="14" fillId="0" borderId="24" xfId="0" applyFont="1" applyBorder="1"/>
    <xf numFmtId="0" fontId="13" fillId="0" borderId="24" xfId="0" applyFont="1" applyBorder="1" applyAlignment="1">
      <alignment horizontal="center"/>
    </xf>
    <xf numFmtId="0" fontId="14" fillId="5" borderId="0" xfId="0" applyFont="1" applyFill="1"/>
    <xf numFmtId="0" fontId="14" fillId="5" borderId="25" xfId="0" applyFont="1" applyFill="1" applyBorder="1"/>
    <xf numFmtId="0" fontId="14" fillId="0" borderId="0" xfId="0" applyFont="1"/>
    <xf numFmtId="0" fontId="3" fillId="0" borderId="1" xfId="0" applyFont="1" applyBorder="1" applyAlignment="1">
      <alignment horizontal="center" vertical="center"/>
    </xf>
    <xf numFmtId="0" fontId="3" fillId="0" borderId="1" xfId="0" applyFont="1" applyBorder="1" applyAlignment="1">
      <alignment vertical="center"/>
    </xf>
    <xf numFmtId="0" fontId="16" fillId="10" borderId="0" xfId="0" applyFont="1" applyFill="1"/>
    <xf numFmtId="0" fontId="4" fillId="4" borderId="5" xfId="0" applyFont="1" applyFill="1" applyBorder="1"/>
    <xf numFmtId="0" fontId="7" fillId="0" borderId="5" xfId="0" applyFont="1" applyBorder="1"/>
    <xf numFmtId="0" fontId="4" fillId="8" borderId="5" xfId="0" applyFont="1" applyFill="1" applyBorder="1"/>
    <xf numFmtId="0" fontId="9" fillId="6" borderId="5" xfId="0" applyFont="1" applyFill="1" applyBorder="1" applyAlignment="1">
      <alignment horizontal="center"/>
    </xf>
    <xf numFmtId="1" fontId="10" fillId="7" borderId="10" xfId="0" applyNumberFormat="1" applyFont="1" applyFill="1" applyBorder="1" applyAlignment="1">
      <alignment horizontal="center"/>
    </xf>
    <xf numFmtId="0" fontId="7" fillId="0" borderId="10" xfId="0" applyFont="1" applyBorder="1"/>
    <xf numFmtId="0" fontId="6" fillId="4" borderId="5" xfId="0" applyFont="1" applyFill="1" applyBorder="1" applyAlignment="1">
      <alignment horizontal="center"/>
    </xf>
    <xf numFmtId="0" fontId="8" fillId="0" borderId="5" xfId="0" applyFont="1" applyBorder="1" applyAlignment="1">
      <alignment horizontal="center"/>
    </xf>
    <xf numFmtId="9" fontId="10" fillId="7" borderId="10" xfId="0" applyNumberFormat="1" applyFont="1" applyFill="1" applyBorder="1" applyAlignment="1">
      <alignment horizontal="center"/>
    </xf>
    <xf numFmtId="164" fontId="10" fillId="7" borderId="10" xfId="0" applyNumberFormat="1" applyFont="1" applyFill="1" applyBorder="1" applyAlignment="1">
      <alignment horizontal="center"/>
    </xf>
    <xf numFmtId="0" fontId="12" fillId="4" borderId="5" xfId="0" applyFont="1" applyFill="1" applyBorder="1"/>
    <xf numFmtId="0" fontId="13" fillId="0" borderId="5" xfId="0" applyFont="1" applyBorder="1"/>
    <xf numFmtId="0" fontId="13" fillId="0" borderId="9" xfId="0" applyFont="1" applyBorder="1" applyAlignment="1">
      <alignment vertical="top"/>
    </xf>
    <xf numFmtId="14" fontId="13" fillId="0" borderId="9" xfId="0" applyNumberFormat="1" applyFont="1" applyBorder="1" applyAlignment="1">
      <alignment horizontal="center" vertical="top"/>
    </xf>
    <xf numFmtId="21" fontId="13" fillId="0" borderId="9" xfId="0" applyNumberFormat="1" applyFont="1" applyBorder="1" applyAlignment="1">
      <alignment horizontal="center" vertical="top"/>
    </xf>
    <xf numFmtId="0" fontId="17" fillId="11" borderId="0" xfId="0" applyFont="1" applyFill="1" applyAlignment="1">
      <alignment horizontal="center"/>
    </xf>
    <xf numFmtId="165" fontId="17" fillId="11" borderId="0" xfId="0" applyNumberFormat="1" applyFont="1" applyFill="1" applyAlignment="1">
      <alignment horizontal="center"/>
    </xf>
    <xf numFmtId="165" fontId="13" fillId="0" borderId="0" xfId="0" applyNumberFormat="1" applyFont="1"/>
    <xf numFmtId="0" fontId="3" fillId="0" borderId="1" xfId="0" applyFont="1" applyBorder="1" applyAlignment="1">
      <alignment vertical="center" wrapText="1"/>
    </xf>
    <xf numFmtId="165" fontId="3" fillId="0" borderId="1" xfId="0" applyNumberFormat="1" applyFont="1" applyBorder="1" applyAlignment="1">
      <alignment vertical="center"/>
    </xf>
  </cellXfs>
  <cellStyles count="1">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1"/>
          <c:order val="0"/>
          <c:tx>
            <c:strRef>
              <c:f>Dashboard!$C$12</c:f>
              <c:strCache>
                <c:ptCount val="1"/>
                <c:pt idx="0">
                  <c:v>Saídas planejadas</c:v>
                </c:pt>
              </c:strCache>
            </c:strRef>
          </c:tx>
          <c:spPr>
            <a:solidFill>
              <a:srgbClr val="BDD7EE"/>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Dashboard!$C$13:$C$24</c:f>
              <c:numCache>
                <c:formatCode>General</c:formatCode>
                <c:ptCount val="12"/>
                <c:pt idx="0">
                  <c:v>0</c:v>
                </c:pt>
                <c:pt idx="1">
                  <c:v>0</c:v>
                </c:pt>
                <c:pt idx="2">
                  <c:v>60</c:v>
                </c:pt>
                <c:pt idx="3">
                  <c:v>24</c:v>
                </c:pt>
                <c:pt idx="4">
                  <c:v>0</c:v>
                </c:pt>
                <c:pt idx="5">
                  <c:v>0</c:v>
                </c:pt>
                <c:pt idx="6">
                  <c:v>0</c:v>
                </c:pt>
                <c:pt idx="7">
                  <c:v>0</c:v>
                </c:pt>
                <c:pt idx="8">
                  <c:v>10</c:v>
                </c:pt>
                <c:pt idx="9">
                  <c:v>12</c:v>
                </c:pt>
                <c:pt idx="10">
                  <c:v>0</c:v>
                </c:pt>
                <c:pt idx="11">
                  <c:v>2</c:v>
                </c:pt>
              </c:numCache>
            </c:numRef>
          </c:val>
          <c:extLst>
            <c:ext xmlns:c16="http://schemas.microsoft.com/office/drawing/2014/chart" uri="{C3380CC4-5D6E-409C-BE32-E72D297353CC}">
              <c16:uniqueId val="{00000001-4312-4738-9C0F-65CD5344B484}"/>
            </c:ext>
          </c:extLst>
        </c:ser>
        <c:ser>
          <c:idx val="2"/>
          <c:order val="1"/>
          <c:tx>
            <c:strRef>
              <c:f>Dashboard!$D$12</c:f>
              <c:strCache>
                <c:ptCount val="1"/>
                <c:pt idx="0">
                  <c:v>Saídas concluídas</c:v>
                </c:pt>
              </c:strCache>
            </c:strRef>
          </c:tx>
          <c:spPr>
            <a:solidFill>
              <a:srgbClr val="1F3864"/>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Dashboard!$D$13:$D$24</c:f>
              <c:numCache>
                <c:formatCode>General</c:formatCode>
                <c:ptCount val="12"/>
                <c:pt idx="0">
                  <c:v>0</c:v>
                </c:pt>
                <c:pt idx="1">
                  <c:v>0</c:v>
                </c:pt>
                <c:pt idx="2">
                  <c:v>19</c:v>
                </c:pt>
                <c:pt idx="3">
                  <c:v>9</c:v>
                </c:pt>
                <c:pt idx="4">
                  <c:v>0</c:v>
                </c:pt>
                <c:pt idx="5">
                  <c:v>0</c:v>
                </c:pt>
                <c:pt idx="6">
                  <c:v>0</c:v>
                </c:pt>
                <c:pt idx="7">
                  <c:v>0</c:v>
                </c:pt>
                <c:pt idx="8">
                  <c:v>1</c:v>
                </c:pt>
                <c:pt idx="9">
                  <c:v>0</c:v>
                </c:pt>
                <c:pt idx="10">
                  <c:v>0</c:v>
                </c:pt>
                <c:pt idx="11">
                  <c:v>0</c:v>
                </c:pt>
              </c:numCache>
            </c:numRef>
          </c:val>
          <c:extLst>
            <c:ext xmlns:c16="http://schemas.microsoft.com/office/drawing/2014/chart" uri="{C3380CC4-5D6E-409C-BE32-E72D297353CC}">
              <c16:uniqueId val="{00000002-4312-4738-9C0F-65CD5344B484}"/>
            </c:ext>
          </c:extLst>
        </c:ser>
        <c:dLbls>
          <c:showLegendKey val="0"/>
          <c:showVal val="0"/>
          <c:showCatName val="0"/>
          <c:showSerName val="0"/>
          <c:showPercent val="0"/>
          <c:showBubbleSize val="0"/>
        </c:dLbls>
        <c:gapWidth val="182"/>
        <c:axId val="1950324336"/>
        <c:axId val="1957093904"/>
      </c:barChart>
      <c:catAx>
        <c:axId val="1950324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3904"/>
        <c:crosses val="autoZero"/>
        <c:auto val="1"/>
        <c:lblAlgn val="ctr"/>
        <c:lblOffset val="100"/>
        <c:noMultiLvlLbl val="0"/>
      </c:catAx>
      <c:valAx>
        <c:axId val="19570939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0324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e links por canal</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Dashboard!$H$12</c:f>
              <c:strCache>
                <c:ptCount val="1"/>
                <c:pt idx="0">
                  <c:v>Saídas concluídas</c:v>
                </c:pt>
              </c:strCache>
            </c:strRef>
          </c:tx>
          <c:spPr>
            <a:solidFill>
              <a:srgbClr val="1F3864"/>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Dashboard!$H$13:$H$24</c:f>
              <c:numCache>
                <c:formatCode>General</c:formatCode>
                <c:ptCount val="12"/>
                <c:pt idx="0">
                  <c:v>7</c:v>
                </c:pt>
                <c:pt idx="1">
                  <c:v>7</c:v>
                </c:pt>
                <c:pt idx="2">
                  <c:v>7</c:v>
                </c:pt>
                <c:pt idx="3">
                  <c:v>0</c:v>
                </c:pt>
                <c:pt idx="4">
                  <c:v>2</c:v>
                </c:pt>
                <c:pt idx="5">
                  <c:v>0</c:v>
                </c:pt>
                <c:pt idx="6">
                  <c:v>0</c:v>
                </c:pt>
                <c:pt idx="7">
                  <c:v>0</c:v>
                </c:pt>
                <c:pt idx="8">
                  <c:v>6</c:v>
                </c:pt>
                <c:pt idx="9">
                  <c:v>0</c:v>
                </c:pt>
                <c:pt idx="10">
                  <c:v>0</c:v>
                </c:pt>
                <c:pt idx="11">
                  <c:v>0</c:v>
                </c:pt>
              </c:numCache>
            </c:numRef>
          </c:val>
          <c:extLst>
            <c:ext xmlns:c16="http://schemas.microsoft.com/office/drawing/2014/chart" uri="{C3380CC4-5D6E-409C-BE32-E72D297353CC}">
              <c16:uniqueId val="{00000000-3481-45C2-8F62-A57AFB248B46}"/>
            </c:ext>
          </c:extLst>
        </c:ser>
        <c:ser>
          <c:idx val="1"/>
          <c:order val="1"/>
          <c:tx>
            <c:strRef>
              <c:f>Dashboard!$I$12</c:f>
              <c:strCache>
                <c:ptCount val="1"/>
                <c:pt idx="0">
                  <c:v>Links</c:v>
                </c:pt>
              </c:strCache>
            </c:strRef>
          </c:tx>
          <c:spPr>
            <a:solidFill>
              <a:srgbClr val="F4B183"/>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Dashboard!$I$13:$I$24</c:f>
              <c:numCache>
                <c:formatCode>General</c:formatCode>
                <c:ptCount val="12"/>
                <c:pt idx="0">
                  <c:v>7</c:v>
                </c:pt>
                <c:pt idx="1">
                  <c:v>7</c:v>
                </c:pt>
                <c:pt idx="2">
                  <c:v>0</c:v>
                </c:pt>
                <c:pt idx="3">
                  <c:v>0</c:v>
                </c:pt>
                <c:pt idx="4">
                  <c:v>2</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481-45C2-8F62-A57AFB248B46}"/>
            </c:ext>
          </c:extLst>
        </c:ser>
        <c:dLbls>
          <c:showLegendKey val="0"/>
          <c:showVal val="0"/>
          <c:showCatName val="0"/>
          <c:showSerName val="0"/>
          <c:showPercent val="0"/>
          <c:showBubbleSize val="0"/>
        </c:dLbls>
        <c:gapWidth val="219"/>
        <c:overlap val="-27"/>
        <c:axId val="2052819487"/>
        <c:axId val="1957099664"/>
      </c:barChart>
      <c:catAx>
        <c:axId val="205281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9664"/>
        <c:crosses val="autoZero"/>
        <c:auto val="1"/>
        <c:lblAlgn val="ctr"/>
        <c:lblOffset val="100"/>
        <c:noMultiLvlLbl val="0"/>
      </c:catAx>
      <c:valAx>
        <c:axId val="1957099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5281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 últimos 12 meses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Dashboard!$H$27</c:f>
              <c:strCache>
                <c:ptCount val="1"/>
                <c:pt idx="0">
                  <c:v>Saídas concluídas</c:v>
                </c:pt>
              </c:strCache>
            </c:strRef>
          </c:tx>
          <c:spPr>
            <a:ln w="28575" cap="rnd">
              <a:solidFill>
                <a:srgbClr val="1F3864"/>
              </a:solidFill>
              <a:prstDash val="solid"/>
              <a:round/>
            </a:ln>
            <a:effectLst/>
          </c:spPr>
          <c:marker>
            <c:symbol val="none"/>
          </c:marker>
          <c:cat>
            <c:numRef>
              <c:f>Dashboard!$G$28:$G$39</c:f>
              <c:numCache>
                <c:formatCode>mmm\-yy</c:formatCode>
                <c:ptCount val="12"/>
                <c:pt idx="0">
                  <c:v>45901</c:v>
                </c:pt>
                <c:pt idx="1">
                  <c:v>45931</c:v>
                </c:pt>
                <c:pt idx="2">
                  <c:v>45962</c:v>
                </c:pt>
                <c:pt idx="3">
                  <c:v>45992</c:v>
                </c:pt>
                <c:pt idx="4">
                  <c:v>46023</c:v>
                </c:pt>
                <c:pt idx="5">
                  <c:v>46054</c:v>
                </c:pt>
                <c:pt idx="6">
                  <c:v>46082</c:v>
                </c:pt>
                <c:pt idx="7">
                  <c:v>46113</c:v>
                </c:pt>
                <c:pt idx="8">
                  <c:v>46143</c:v>
                </c:pt>
                <c:pt idx="9">
                  <c:v>46174</c:v>
                </c:pt>
                <c:pt idx="10">
                  <c:v>46204</c:v>
                </c:pt>
                <c:pt idx="11">
                  <c:v>46235</c:v>
                </c:pt>
              </c:numCache>
            </c:numRef>
          </c:cat>
          <c:val>
            <c:numRef>
              <c:f>Dashboard!$H$28:$H$39</c:f>
              <c:numCache>
                <c:formatCode>General</c:formatCode>
                <c:ptCount val="12"/>
                <c:pt idx="0">
                  <c:v>0</c:v>
                </c:pt>
                <c:pt idx="1">
                  <c:v>1</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DD88-4083-B0EB-36227084BA70}"/>
            </c:ext>
          </c:extLst>
        </c:ser>
        <c:dLbls>
          <c:showLegendKey val="0"/>
          <c:showVal val="0"/>
          <c:showCatName val="0"/>
          <c:showSerName val="0"/>
          <c:showPercent val="0"/>
          <c:showBubbleSize val="0"/>
        </c:dLbls>
        <c:smooth val="0"/>
        <c:axId val="1973808112"/>
        <c:axId val="1957126064"/>
      </c:lineChart>
      <c:dateAx>
        <c:axId val="1973808112"/>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26064"/>
        <c:crosses val="autoZero"/>
        <c:auto val="1"/>
        <c:lblOffset val="100"/>
        <c:baseTimeUnit val="months"/>
      </c:dateAx>
      <c:valAx>
        <c:axId val="1957126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08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Dashboard!$A$27</c:f>
              <c:strCache>
                <c:ptCount val="1"/>
                <c:pt idx="0">
                  <c:v>Ano</c:v>
                </c:pt>
              </c:strCache>
            </c:strRef>
          </c:tx>
          <c:spPr>
            <a:solidFill>
              <a:srgbClr val="2E5496"/>
            </a:solidFill>
            <a:ln>
              <a:noFill/>
            </a:ln>
            <a:effectLst/>
          </c:spPr>
          <c:invertIfNegative val="0"/>
          <c:val>
            <c:numRef>
              <c:f>Dashboard!$A$28:$A$33</c:f>
              <c:numCache>
                <c:formatCode>General</c:formatCode>
                <c:ptCount val="6"/>
                <c:pt idx="0">
                  <c:v>2021</c:v>
                </c:pt>
                <c:pt idx="1">
                  <c:v>2022</c:v>
                </c:pt>
                <c:pt idx="2">
                  <c:v>2023</c:v>
                </c:pt>
                <c:pt idx="3">
                  <c:v>2024</c:v>
                </c:pt>
                <c:pt idx="4">
                  <c:v>2025</c:v>
                </c:pt>
                <c:pt idx="5">
                  <c:v>2026</c:v>
                </c:pt>
              </c:numCache>
            </c:numRef>
          </c:val>
          <c:extLst>
            <c:ext xmlns:c16="http://schemas.microsoft.com/office/drawing/2014/chart" uri="{C3380CC4-5D6E-409C-BE32-E72D297353CC}">
              <c16:uniqueId val="{00000000-DE2F-496B-94E9-1F6AA7DF1B7D}"/>
            </c:ext>
          </c:extLst>
        </c:ser>
        <c:ser>
          <c:idx val="1"/>
          <c:order val="1"/>
          <c:tx>
            <c:strRef>
              <c:f>Dashboard!$B$27</c:f>
              <c:strCache>
                <c:ptCount val="1"/>
                <c:pt idx="0">
                  <c:v>Saídas concluídas</c:v>
                </c:pt>
              </c:strCache>
            </c:strRef>
          </c:tx>
          <c:spPr>
            <a:solidFill>
              <a:schemeClr val="accent2"/>
            </a:solidFill>
            <a:ln>
              <a:noFill/>
            </a:ln>
            <a:effectLst/>
          </c:spPr>
          <c:invertIfNegative val="0"/>
          <c:val>
            <c:numRef>
              <c:f>Dashboard!$B$28:$B$33</c:f>
              <c:numCache>
                <c:formatCode>General</c:formatCode>
                <c:ptCount val="6"/>
                <c:pt idx="0">
                  <c:v>4</c:v>
                </c:pt>
                <c:pt idx="1">
                  <c:v>0</c:v>
                </c:pt>
                <c:pt idx="2">
                  <c:v>1</c:v>
                </c:pt>
                <c:pt idx="3">
                  <c:v>0</c:v>
                </c:pt>
                <c:pt idx="4">
                  <c:v>2</c:v>
                </c:pt>
                <c:pt idx="5">
                  <c:v>0</c:v>
                </c:pt>
              </c:numCache>
            </c:numRef>
          </c:val>
          <c:extLst>
            <c:ext xmlns:c16="http://schemas.microsoft.com/office/drawing/2014/chart" uri="{C3380CC4-5D6E-409C-BE32-E72D297353CC}">
              <c16:uniqueId val="{00000001-DE2F-496B-94E9-1F6AA7DF1B7D}"/>
            </c:ext>
          </c:extLst>
        </c:ser>
        <c:dLbls>
          <c:showLegendKey val="0"/>
          <c:showVal val="0"/>
          <c:showCatName val="0"/>
          <c:showSerName val="0"/>
          <c:showPercent val="0"/>
          <c:showBubbleSize val="0"/>
        </c:dLbls>
        <c:gapWidth val="219"/>
        <c:overlap val="-27"/>
        <c:axId val="1973820640"/>
        <c:axId val="1957131344"/>
      </c:barChart>
      <c:catAx>
        <c:axId val="197382064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31344"/>
        <c:crosses val="autoZero"/>
        <c:auto val="1"/>
        <c:lblAlgn val="ctr"/>
        <c:lblOffset val="100"/>
        <c:noMultiLvlLbl val="0"/>
      </c:catAx>
      <c:valAx>
        <c:axId val="1957131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20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Cobertura global do plano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5E-4D86-91FF-68DA6E5AE0A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5E-4D86-91FF-68DA6E5AE0A0}"/>
              </c:ext>
            </c:extLst>
          </c:dPt>
          <c:cat>
            <c:strRef>
              <c:f>Dashboard!$G$56:$G$57</c:f>
              <c:strCache>
                <c:ptCount val="2"/>
                <c:pt idx="0">
                  <c:v>Concluídas</c:v>
                </c:pt>
                <c:pt idx="1">
                  <c:v>Pendentes</c:v>
                </c:pt>
              </c:strCache>
            </c:strRef>
          </c:cat>
          <c:val>
            <c:numRef>
              <c:f>Dashboard!$H$56:$H$57</c:f>
              <c:numCache>
                <c:formatCode>0</c:formatCode>
                <c:ptCount val="2"/>
                <c:pt idx="0" formatCode="General">
                  <c:v>29</c:v>
                </c:pt>
                <c:pt idx="1">
                  <c:v>79</c:v>
                </c:pt>
              </c:numCache>
            </c:numRef>
          </c:val>
          <c:extLst>
            <c:ext xmlns:c16="http://schemas.microsoft.com/office/drawing/2014/chart" uri="{C3380CC4-5D6E-409C-BE32-E72D297353CC}">
              <c16:uniqueId val="{00000000-A235-4943-8D52-97AB8A9454D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61</xdr:row>
      <xdr:rowOff>0</xdr:rowOff>
    </xdr:from>
    <xdr:to>
      <xdr:col>6</xdr:col>
      <xdr:colOff>0</xdr:colOff>
      <xdr:row>84</xdr:row>
      <xdr:rowOff>0</xdr:rowOff>
    </xdr:to>
    <xdr:graphicFrame macro="">
      <xdr:nvGraphicFramePr>
        <xdr:cNvPr id="4" name="temaChart">
          <a:extLst>
            <a:ext uri="{FF2B5EF4-FFF2-40B4-BE49-F238E27FC236}">
              <a16:creationId xmlns:a16="http://schemas.microsoft.com/office/drawing/2014/main" id="{8335AAE3-5A93-09C5-AC80-39E65F6ACC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61</xdr:row>
      <xdr:rowOff>0</xdr:rowOff>
    </xdr:from>
    <xdr:to>
      <xdr:col>13</xdr:col>
      <xdr:colOff>0</xdr:colOff>
      <xdr:row>84</xdr:row>
      <xdr:rowOff>0</xdr:rowOff>
    </xdr:to>
    <xdr:graphicFrame macro="">
      <xdr:nvGraphicFramePr>
        <xdr:cNvPr id="5" name="canalChart">
          <a:extLst>
            <a:ext uri="{FF2B5EF4-FFF2-40B4-BE49-F238E27FC236}">
              <a16:creationId xmlns:a16="http://schemas.microsoft.com/office/drawing/2014/main" id="{777FEFA6-0222-B941-2B30-F7DCB2B80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85</xdr:row>
      <xdr:rowOff>0</xdr:rowOff>
    </xdr:from>
    <xdr:to>
      <xdr:col>6</xdr:col>
      <xdr:colOff>0</xdr:colOff>
      <xdr:row>104</xdr:row>
      <xdr:rowOff>0</xdr:rowOff>
    </xdr:to>
    <xdr:graphicFrame macro="">
      <xdr:nvGraphicFramePr>
        <xdr:cNvPr id="6" name="mesChart">
          <a:extLst>
            <a:ext uri="{FF2B5EF4-FFF2-40B4-BE49-F238E27FC236}">
              <a16:creationId xmlns:a16="http://schemas.microsoft.com/office/drawing/2014/main" id="{929F8783-DB02-25D7-0EDB-8AB1CD5593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85</xdr:row>
      <xdr:rowOff>0</xdr:rowOff>
    </xdr:from>
    <xdr:to>
      <xdr:col>10</xdr:col>
      <xdr:colOff>0</xdr:colOff>
      <xdr:row>104</xdr:row>
      <xdr:rowOff>0</xdr:rowOff>
    </xdr:to>
    <xdr:graphicFrame macro="">
      <xdr:nvGraphicFramePr>
        <xdr:cNvPr id="7" name="anoChart">
          <a:extLst>
            <a:ext uri="{FF2B5EF4-FFF2-40B4-BE49-F238E27FC236}">
              <a16:creationId xmlns:a16="http://schemas.microsoft.com/office/drawing/2014/main" id="{F114DB7D-4A7F-8B3D-473E-8480363BD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xdr:colOff>
      <xdr:row>85</xdr:row>
      <xdr:rowOff>0</xdr:rowOff>
    </xdr:from>
    <xdr:to>
      <xdr:col>13</xdr:col>
      <xdr:colOff>2</xdr:colOff>
      <xdr:row>104</xdr:row>
      <xdr:rowOff>0</xdr:rowOff>
    </xdr:to>
    <xdr:graphicFrame macro="">
      <xdr:nvGraphicFramePr>
        <xdr:cNvPr id="8" name="globalChart">
          <a:extLst>
            <a:ext uri="{FF2B5EF4-FFF2-40B4-BE49-F238E27FC236}">
              <a16:creationId xmlns:a16="http://schemas.microsoft.com/office/drawing/2014/main" id="{4AA6AE9B-23E2-8922-9E66-F9362C791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14" zoomScaleNormal="100" workbookViewId="0">
      <selection activeCell="B43" sqref="B43"/>
    </sheetView>
  </sheetViews>
  <sheetFormatPr defaultRowHeight="13.5"/>
  <cols>
    <col min="1" max="1" width="33.3125" customWidth="1"/>
    <col min="2" max="6" width="14.6875" customWidth="1"/>
    <col min="7" max="7" width="25" customWidth="1"/>
    <col min="8" max="13" width="14.6875" customWidth="1"/>
  </cols>
  <sheetData>
    <row r="1" spans="1:13" ht="34.049999999999997" customHeight="1">
      <c r="A1" s="57" t="s">
        <v>1097</v>
      </c>
      <c r="B1" s="52"/>
      <c r="C1" s="52"/>
      <c r="D1" s="52"/>
      <c r="E1" s="52"/>
      <c r="F1" s="52"/>
      <c r="G1" s="52"/>
      <c r="H1" s="52"/>
      <c r="I1" s="52"/>
      <c r="J1" s="52"/>
      <c r="K1" s="52"/>
      <c r="L1" s="52"/>
      <c r="M1" s="52"/>
    </row>
    <row r="2" spans="1:13" ht="14.25">
      <c r="A2" s="58" t="s">
        <v>1098</v>
      </c>
      <c r="B2" s="52"/>
      <c r="C2" s="52"/>
      <c r="D2" s="52"/>
      <c r="E2" s="52"/>
      <c r="F2" s="52"/>
      <c r="G2" s="52"/>
      <c r="H2" s="52"/>
      <c r="I2" s="52"/>
      <c r="J2" s="52"/>
      <c r="K2" s="52"/>
      <c r="L2" s="52"/>
      <c r="M2" s="52"/>
    </row>
    <row r="3" spans="1:13" ht="14.25">
      <c r="A3" s="8"/>
      <c r="B3" s="8"/>
      <c r="C3" s="8"/>
      <c r="D3" s="8"/>
      <c r="E3" s="8"/>
      <c r="F3" s="8"/>
      <c r="G3" s="8"/>
      <c r="H3" s="8"/>
      <c r="I3" s="8"/>
      <c r="J3" s="8"/>
      <c r="K3" s="8"/>
      <c r="L3" s="8"/>
      <c r="M3" s="8"/>
    </row>
    <row r="4" spans="1:13" ht="14.25">
      <c r="A4" s="54" t="s">
        <v>1104</v>
      </c>
      <c r="B4" s="52"/>
      <c r="C4" s="54" t="s">
        <v>1103</v>
      </c>
      <c r="D4" s="52"/>
      <c r="E4" s="54" t="s">
        <v>1100</v>
      </c>
      <c r="F4" s="52"/>
      <c r="G4" s="54" t="s">
        <v>10</v>
      </c>
      <c r="H4" s="52"/>
      <c r="I4" s="54" t="s">
        <v>9</v>
      </c>
      <c r="J4" s="52"/>
      <c r="K4" s="54" t="s">
        <v>1105</v>
      </c>
      <c r="L4" s="52"/>
      <c r="M4" s="8"/>
    </row>
    <row r="5" spans="1:13" ht="28.05" customHeight="1">
      <c r="A5" s="55">
        <f>COUNTA(Produção!$A$2:$A$109)/12</f>
        <v>9</v>
      </c>
      <c r="B5" s="56"/>
      <c r="C5" s="55">
        <f>COUNTA(Produção!$A$2:$A$109)</f>
        <v>108</v>
      </c>
      <c r="D5" s="56"/>
      <c r="E5" s="55">
        <f>SUM(Produção!$G$2:$G$109)</f>
        <v>29</v>
      </c>
      <c r="F5" s="56"/>
      <c r="G5" s="59">
        <f>IFERROR($E$5/$C$5,0)</f>
        <v>0.26851851851851855</v>
      </c>
      <c r="H5" s="56"/>
      <c r="I5" s="55">
        <f>COUNTA(Produção!$I$2:$I$109)</f>
        <v>16</v>
      </c>
      <c r="J5" s="56"/>
      <c r="K5" s="60">
        <f>IFERROR($E$5/$A$5,0)</f>
        <v>3.2222222222222223</v>
      </c>
      <c r="L5" s="56"/>
      <c r="M5" s="8"/>
    </row>
    <row r="6" spans="1:13" ht="14.25">
      <c r="A6" s="8"/>
      <c r="B6" s="8"/>
      <c r="C6" s="8"/>
      <c r="D6" s="8"/>
      <c r="E6" s="8"/>
      <c r="F6" s="8"/>
      <c r="G6" s="8"/>
      <c r="H6" s="8"/>
      <c r="I6" s="8"/>
      <c r="J6" s="8"/>
      <c r="K6" s="8"/>
      <c r="L6" s="8"/>
      <c r="M6" s="8"/>
    </row>
    <row r="7" spans="1:13" ht="14.25">
      <c r="A7" s="54" t="s">
        <v>1106</v>
      </c>
      <c r="B7" s="52"/>
      <c r="C7" s="54" t="s">
        <v>1107</v>
      </c>
      <c r="D7" s="52"/>
      <c r="E7" s="54" t="s">
        <v>1108</v>
      </c>
      <c r="F7" s="52"/>
      <c r="G7" s="54" t="s">
        <v>1109</v>
      </c>
      <c r="H7" s="52"/>
      <c r="I7" s="54" t="s">
        <v>1110</v>
      </c>
      <c r="J7" s="52"/>
      <c r="K7" s="54" t="s">
        <v>1111</v>
      </c>
      <c r="L7" s="52"/>
      <c r="M7" s="8"/>
    </row>
    <row r="8" spans="1:13" ht="28.05" customHeight="1">
      <c r="A8" s="55">
        <f>COUNTIF(Matriz!$D$3:$D$90,"&gt;0")</f>
        <v>8</v>
      </c>
      <c r="B8" s="56"/>
      <c r="C8" s="55">
        <f>COUNTIF(Matriz!$D$3:$D$90,0)</f>
        <v>80</v>
      </c>
      <c r="D8" s="56"/>
      <c r="E8" s="55">
        <f>COUNTIF(Matriz!$D$3:$D$90,"&gt;=3")</f>
        <v>7</v>
      </c>
      <c r="F8" s="56"/>
      <c r="G8" s="55">
        <f>COUNTIF($D$13:$D$24,"&gt;0")</f>
        <v>3</v>
      </c>
      <c r="H8" s="56"/>
      <c r="I8" s="55">
        <f>COUNTIF($H$13:$H$24,"&gt;0")</f>
        <v>5</v>
      </c>
      <c r="J8" s="56"/>
      <c r="K8" s="55">
        <f>COUNTIF(Periódicos!$I$2:$I$168,"&gt;=4")</f>
        <v>113</v>
      </c>
      <c r="L8" s="56"/>
      <c r="M8" s="8"/>
    </row>
    <row r="9" spans="1:13" ht="14.25">
      <c r="A9" s="8"/>
      <c r="B9" s="8"/>
      <c r="C9" s="8"/>
      <c r="D9" s="8"/>
      <c r="E9" s="8"/>
      <c r="F9" s="8"/>
      <c r="G9" s="8"/>
      <c r="H9" s="8"/>
      <c r="I9" s="8"/>
      <c r="J9" s="8"/>
      <c r="K9" s="8"/>
      <c r="L9" s="8"/>
      <c r="M9" s="8"/>
    </row>
    <row r="10" spans="1:13" ht="14.25">
      <c r="A10" s="8"/>
      <c r="B10" s="8"/>
      <c r="C10" s="8"/>
      <c r="D10" s="8"/>
      <c r="E10" s="8"/>
      <c r="F10" s="8"/>
      <c r="G10" s="8"/>
      <c r="H10" s="8"/>
      <c r="I10" s="8"/>
      <c r="J10" s="8"/>
      <c r="K10" s="8"/>
      <c r="L10" s="8"/>
      <c r="M10" s="8"/>
    </row>
    <row r="11" spans="1:13" ht="14.25">
      <c r="A11" s="51" t="s">
        <v>1101</v>
      </c>
      <c r="B11" s="52"/>
      <c r="C11" s="52"/>
      <c r="D11" s="52"/>
      <c r="E11" s="52"/>
      <c r="F11" s="8"/>
      <c r="G11" s="51" t="s">
        <v>1102</v>
      </c>
      <c r="H11" s="52"/>
      <c r="I11" s="52"/>
      <c r="J11" s="52"/>
      <c r="K11" s="8"/>
      <c r="L11" s="8"/>
      <c r="M11" s="8"/>
    </row>
    <row r="12" spans="1:13" ht="14.25">
      <c r="A12" s="9" t="s">
        <v>1099</v>
      </c>
      <c r="B12" s="10" t="s">
        <v>3</v>
      </c>
      <c r="C12" s="10" t="s">
        <v>1103</v>
      </c>
      <c r="D12" s="10" t="s">
        <v>1100</v>
      </c>
      <c r="E12" s="11" t="s">
        <v>5</v>
      </c>
      <c r="F12" s="8"/>
      <c r="G12" s="9" t="s">
        <v>1086</v>
      </c>
      <c r="H12" s="10" t="s">
        <v>1100</v>
      </c>
      <c r="I12" s="10" t="s">
        <v>13</v>
      </c>
      <c r="J12" s="11" t="s">
        <v>5</v>
      </c>
      <c r="K12" s="8"/>
      <c r="L12" s="8"/>
      <c r="M12" s="8"/>
    </row>
    <row r="13" spans="1:13" ht="14.25">
      <c r="A13" s="25" t="s">
        <v>1087</v>
      </c>
      <c r="B13" s="13">
        <f>COUNTIF(Produção!$C$2:$C$109,$A13)/12</f>
        <v>0</v>
      </c>
      <c r="C13" s="13">
        <f>$B13*12</f>
        <v>0</v>
      </c>
      <c r="D13" s="13">
        <f>SUMIF(Produção!$C$2:$C$109,$A13,Produção!$G$2:$G$109)</f>
        <v>0</v>
      </c>
      <c r="E13" s="14">
        <f>IFERROR($D13/$C13,0)</f>
        <v>0</v>
      </c>
      <c r="F13" s="8"/>
      <c r="G13" s="12" t="s">
        <v>14</v>
      </c>
      <c r="H13" s="13">
        <f>SUMIF(Produção!$F$2:$F$109,$G13,Produção!$G$2:$G$109)</f>
        <v>7</v>
      </c>
      <c r="I13" s="13">
        <f>COUNTIFS(Produção!$F$2:$F$109,$G13,Produção!$I$2:$I$109,"&lt;&gt;")</f>
        <v>7</v>
      </c>
      <c r="J13" s="14">
        <f>IFERROR($H13/COUNTIF(Produção!$F$2:$F$109,$G13),0)</f>
        <v>0.77777777777777779</v>
      </c>
      <c r="K13" s="8"/>
      <c r="L13" s="8"/>
      <c r="M13" s="8"/>
    </row>
    <row r="14" spans="1:13" ht="14.25">
      <c r="A14" s="25" t="s">
        <v>11</v>
      </c>
      <c r="B14" s="13">
        <f>COUNTIF(Produção!$C$2:$C$109,$A14)/12</f>
        <v>0</v>
      </c>
      <c r="C14" s="13">
        <f t="shared" ref="C14:C24" si="0">$B14*12</f>
        <v>0</v>
      </c>
      <c r="D14" s="13">
        <f>SUMIF(Produção!$C$2:$C$109,$A14,Produção!$G$2:$G$109)</f>
        <v>0</v>
      </c>
      <c r="E14" s="14">
        <f t="shared" ref="E14:E24" si="1">IFERROR($D14/$C14,0)</f>
        <v>0</v>
      </c>
      <c r="F14" s="8"/>
      <c r="G14" s="12" t="s">
        <v>15</v>
      </c>
      <c r="H14" s="13">
        <f>SUMIF(Produção!$F$2:$F$109,$G14,Produção!$G$2:$G$109)</f>
        <v>7</v>
      </c>
      <c r="I14" s="13">
        <f>COUNTIFS(Produção!$F$2:$F$109,$G14,Produção!$I$2:$I$109,"&lt;&gt;")</f>
        <v>7</v>
      </c>
      <c r="J14" s="14">
        <f>IFERROR($H14/COUNTIF(Produção!$F$2:$F$109,$G14),0)</f>
        <v>0.77777777777777779</v>
      </c>
      <c r="K14" s="8"/>
      <c r="L14" s="8"/>
      <c r="M14" s="8"/>
    </row>
    <row r="15" spans="1:13" ht="14.25">
      <c r="A15" s="25" t="s">
        <v>1096</v>
      </c>
      <c r="B15" s="13">
        <f>COUNTIF(Produção!$C$2:$C$109,$A15)/12</f>
        <v>5</v>
      </c>
      <c r="C15" s="13">
        <f t="shared" si="0"/>
        <v>60</v>
      </c>
      <c r="D15" s="13">
        <f>SUMIF(Produção!$C$2:$C$109,$A15,Produção!$G$2:$G$109)</f>
        <v>19</v>
      </c>
      <c r="E15" s="14">
        <f t="shared" si="1"/>
        <v>0.31666666666666665</v>
      </c>
      <c r="F15" s="8"/>
      <c r="G15" s="12" t="s">
        <v>16</v>
      </c>
      <c r="H15" s="13">
        <f>SUMIF(Produção!$F$2:$F$109,$G15,Produção!$G$2:$G$109)</f>
        <v>7</v>
      </c>
      <c r="I15" s="13">
        <f>COUNTIFS(Produção!$F$2:$F$109,$G15,Produção!$I$2:$I$109,"&lt;&gt;")</f>
        <v>0</v>
      </c>
      <c r="J15" s="14">
        <f>IFERROR($H15/COUNTIF(Produção!$F$2:$F$109,$G15),0)</f>
        <v>0.77777777777777779</v>
      </c>
      <c r="K15" s="8"/>
      <c r="L15" s="8"/>
      <c r="M15" s="8"/>
    </row>
    <row r="16" spans="1:13" ht="14.25">
      <c r="A16" s="25" t="s">
        <v>1094</v>
      </c>
      <c r="B16" s="13">
        <f>COUNTIF(Produção!$C$2:$C$109,$A16)/12</f>
        <v>2</v>
      </c>
      <c r="C16" s="13">
        <f t="shared" si="0"/>
        <v>24</v>
      </c>
      <c r="D16" s="13">
        <f>SUMIF(Produção!$C$2:$C$109,$A16,Produção!$G$2:$G$109)</f>
        <v>9</v>
      </c>
      <c r="E16" s="14">
        <f t="shared" si="1"/>
        <v>0.375</v>
      </c>
      <c r="F16" s="8"/>
      <c r="G16" s="12" t="s">
        <v>17</v>
      </c>
      <c r="H16" s="13">
        <f>SUMIF(Produção!$F$2:$F$109,$G16,Produção!$G$2:$G$109)</f>
        <v>0</v>
      </c>
      <c r="I16" s="13">
        <f>COUNTIFS(Produção!$F$2:$F$109,$G16,Produção!$I$2:$I$109,"&lt;&gt;")</f>
        <v>0</v>
      </c>
      <c r="J16" s="14">
        <f>IFERROR($H16/COUNTIF(Produção!$F$2:$F$109,$G16),0)</f>
        <v>0</v>
      </c>
      <c r="K16" s="8"/>
      <c r="L16" s="8"/>
      <c r="M16" s="8"/>
    </row>
    <row r="17" spans="1:13" ht="14.25">
      <c r="A17" s="25" t="s">
        <v>1092</v>
      </c>
      <c r="B17" s="13">
        <f>COUNTIF(Produção!$C$2:$C$109,$A17)/12</f>
        <v>0</v>
      </c>
      <c r="C17" s="13">
        <f t="shared" si="0"/>
        <v>0</v>
      </c>
      <c r="D17" s="13">
        <f>SUMIF(Produção!$C$2:$C$109,$A17,Produção!$G$2:$G$109)</f>
        <v>0</v>
      </c>
      <c r="E17" s="14">
        <f t="shared" si="1"/>
        <v>0</v>
      </c>
      <c r="F17" s="8"/>
      <c r="G17" s="12" t="s">
        <v>18</v>
      </c>
      <c r="H17" s="13">
        <f>SUMIF(Produção!$F$2:$F$109,$G17,Produção!$G$2:$G$109)</f>
        <v>2</v>
      </c>
      <c r="I17" s="13">
        <f>COUNTIFS(Produção!$F$2:$F$109,$G17,Produção!$I$2:$I$109,"&lt;&gt;")</f>
        <v>2</v>
      </c>
      <c r="J17" s="14">
        <f>IFERROR($H17/COUNTIF(Produção!$F$2:$F$109,$G17),0)</f>
        <v>0.22222222222222221</v>
      </c>
      <c r="K17" s="8"/>
      <c r="L17" s="8"/>
      <c r="M17" s="8"/>
    </row>
    <row r="18" spans="1:13" ht="14.25">
      <c r="A18" s="25" t="s">
        <v>1091</v>
      </c>
      <c r="B18" s="13">
        <f>COUNTIF(Produção!$C$2:$C$109,$A18)/12</f>
        <v>0</v>
      </c>
      <c r="C18" s="13">
        <f t="shared" si="0"/>
        <v>0</v>
      </c>
      <c r="D18" s="13">
        <f>SUMIF(Produção!$C$2:$C$109,$A18,Produção!$G$2:$G$109)</f>
        <v>0</v>
      </c>
      <c r="E18" s="14">
        <f t="shared" si="1"/>
        <v>0</v>
      </c>
      <c r="F18" s="8"/>
      <c r="G18" s="12" t="s">
        <v>19</v>
      </c>
      <c r="H18" s="13">
        <f>SUMIF(Produção!$F$2:$F$109,$G18,Produção!$G$2:$G$109)</f>
        <v>0</v>
      </c>
      <c r="I18" s="13">
        <f>COUNTIFS(Produção!$F$2:$F$109,$G18,Produção!$I$2:$I$109,"&lt;&gt;")</f>
        <v>0</v>
      </c>
      <c r="J18" s="14">
        <f>IFERROR($H18/COUNTIF(Produção!$F$2:$F$109,$G18),0)</f>
        <v>0</v>
      </c>
      <c r="K18" s="8"/>
      <c r="L18" s="8"/>
      <c r="M18" s="8"/>
    </row>
    <row r="19" spans="1:13" ht="14.25">
      <c r="A19" s="25" t="s">
        <v>1088</v>
      </c>
      <c r="B19" s="13">
        <f>COUNTIF(Produção!$C$2:$C$109,$A19)/12</f>
        <v>0</v>
      </c>
      <c r="C19" s="13">
        <f t="shared" si="0"/>
        <v>0</v>
      </c>
      <c r="D19" s="13">
        <f>SUMIF(Produção!$C$2:$C$109,$A19,Produção!$G$2:$G$109)</f>
        <v>0</v>
      </c>
      <c r="E19" s="14">
        <f t="shared" si="1"/>
        <v>0</v>
      </c>
      <c r="F19" s="8"/>
      <c r="G19" s="12" t="s">
        <v>20</v>
      </c>
      <c r="H19" s="13">
        <f>SUMIF(Produção!$F$2:$F$109,$G19,Produção!$G$2:$G$109)</f>
        <v>0</v>
      </c>
      <c r="I19" s="13">
        <f>COUNTIFS(Produção!$F$2:$F$109,$G19,Produção!$I$2:$I$109,"&lt;&gt;")</f>
        <v>0</v>
      </c>
      <c r="J19" s="14">
        <f>IFERROR($H19/COUNTIF(Produção!$F$2:$F$109,$G19),0)</f>
        <v>0</v>
      </c>
      <c r="K19" s="8"/>
      <c r="L19" s="8"/>
      <c r="M19" s="8"/>
    </row>
    <row r="20" spans="1:13" ht="14.25">
      <c r="A20" s="25" t="s">
        <v>96</v>
      </c>
      <c r="B20" s="13">
        <f>COUNTIF(Produção!$C$2:$C$109,$A20)/12</f>
        <v>0</v>
      </c>
      <c r="C20" s="13">
        <f t="shared" si="0"/>
        <v>0</v>
      </c>
      <c r="D20" s="13">
        <f>SUMIF(Produção!$C$2:$C$109,$A20,Produção!$G$2:$G$109)</f>
        <v>0</v>
      </c>
      <c r="E20" s="14">
        <f t="shared" si="1"/>
        <v>0</v>
      </c>
      <c r="F20" s="8"/>
      <c r="G20" s="12" t="s">
        <v>21</v>
      </c>
      <c r="H20" s="13">
        <f>SUMIF(Produção!$F$2:$F$109,$G20,Produção!$G$2:$G$109)</f>
        <v>0</v>
      </c>
      <c r="I20" s="13">
        <f>COUNTIFS(Produção!$F$2:$F$109,$G20,Produção!$I$2:$I$109,"&lt;&gt;")</f>
        <v>0</v>
      </c>
      <c r="J20" s="14">
        <f>IFERROR($H20/COUNTIF(Produção!$F$2:$F$109,$G20),0)</f>
        <v>0</v>
      </c>
      <c r="K20" s="8"/>
      <c r="L20" s="8"/>
      <c r="M20" s="8"/>
    </row>
    <row r="21" spans="1:13" ht="14.25">
      <c r="A21" s="25" t="s">
        <v>1095</v>
      </c>
      <c r="B21" s="13">
        <f>COUNTIF(Produção!$C$2:$C$109,$A21)/12</f>
        <v>0.83333333333333337</v>
      </c>
      <c r="C21" s="13">
        <f t="shared" si="0"/>
        <v>10</v>
      </c>
      <c r="D21" s="13">
        <f>SUMIF(Produção!$C$2:$C$109,$A21,Produção!$G$2:$G$109)</f>
        <v>1</v>
      </c>
      <c r="E21" s="14">
        <f t="shared" si="1"/>
        <v>0.1</v>
      </c>
      <c r="F21" s="8"/>
      <c r="G21" s="12" t="s">
        <v>22</v>
      </c>
      <c r="H21" s="13">
        <f>SUMIF(Produção!$F$2:$F$109,$G21,Produção!$G$2:$G$109)</f>
        <v>6</v>
      </c>
      <c r="I21" s="13">
        <f>COUNTIFS(Produção!$F$2:$F$109,$G21,Produção!$I$2:$I$109,"&lt;&gt;")</f>
        <v>0</v>
      </c>
      <c r="J21" s="14">
        <f>IFERROR($H21/COUNTIF(Produção!$F$2:$F$109,$G21),0)</f>
        <v>0.66666666666666663</v>
      </c>
      <c r="K21" s="8"/>
      <c r="L21" s="8"/>
      <c r="M21" s="8"/>
    </row>
    <row r="22" spans="1:13" ht="14.25">
      <c r="A22" s="25" t="s">
        <v>1090</v>
      </c>
      <c r="B22" s="13">
        <f>COUNTIF(Produção!$C$2:$C$109,$A22)/12</f>
        <v>1</v>
      </c>
      <c r="C22" s="13">
        <f t="shared" si="0"/>
        <v>12</v>
      </c>
      <c r="D22" s="13">
        <f>SUMIF(Produção!$C$2:$C$109,$A22,Produção!$G$2:$G$109)</f>
        <v>0</v>
      </c>
      <c r="E22" s="14">
        <f t="shared" si="1"/>
        <v>0</v>
      </c>
      <c r="F22" s="8"/>
      <c r="G22" s="12" t="s">
        <v>23</v>
      </c>
      <c r="H22" s="13">
        <f>SUMIF(Produção!$F$2:$F$109,$G22,Produção!$G$2:$G$109)</f>
        <v>0</v>
      </c>
      <c r="I22" s="13">
        <f>COUNTIFS(Produção!$F$2:$F$109,$G22,Produção!$I$2:$I$109,"&lt;&gt;")</f>
        <v>0</v>
      </c>
      <c r="J22" s="14">
        <f>IFERROR($H22/COUNTIF(Produção!$F$2:$F$109,$G22),0)</f>
        <v>0</v>
      </c>
      <c r="K22" s="8"/>
      <c r="L22" s="8"/>
      <c r="M22" s="8"/>
    </row>
    <row r="23" spans="1:13" ht="14.25">
      <c r="A23" s="25" t="s">
        <v>1093</v>
      </c>
      <c r="B23" s="13">
        <f>COUNTIF(Produção!$C$2:$C$109,$A23)/12</f>
        <v>0</v>
      </c>
      <c r="C23" s="13">
        <f t="shared" si="0"/>
        <v>0</v>
      </c>
      <c r="D23" s="13">
        <f>SUMIF(Produção!$C$2:$C$109,$A23,Produção!$G$2:$G$109)</f>
        <v>0</v>
      </c>
      <c r="E23" s="14">
        <f t="shared" si="1"/>
        <v>0</v>
      </c>
      <c r="F23" s="8"/>
      <c r="G23" s="12" t="s">
        <v>24</v>
      </c>
      <c r="H23" s="13">
        <f>SUMIF(Produção!$F$2:$F$109,$G23,Produção!$G$2:$G$109)</f>
        <v>0</v>
      </c>
      <c r="I23" s="13">
        <f>COUNTIFS(Produção!$F$2:$F$109,$G23,Produção!$I$2:$I$109,"&lt;&gt;")</f>
        <v>0</v>
      </c>
      <c r="J23" s="14">
        <f>IFERROR($H23/COUNTIF(Produção!$F$2:$F$109,$G23),0)</f>
        <v>0</v>
      </c>
      <c r="K23" s="8"/>
      <c r="L23" s="8"/>
      <c r="M23" s="8"/>
    </row>
    <row r="24" spans="1:13" ht="14.25">
      <c r="A24" s="28" t="s">
        <v>1089</v>
      </c>
      <c r="B24" s="13">
        <f>COUNTIF(Produção!$C$2:$C$109,$A24)/12</f>
        <v>0.16666666666666666</v>
      </c>
      <c r="C24" s="16">
        <f t="shared" si="0"/>
        <v>2</v>
      </c>
      <c r="D24" s="16">
        <f>SUMIF(Produção!$C$2:$C$109,$A24,Produção!$G$2:$G$109)</f>
        <v>0</v>
      </c>
      <c r="E24" s="17">
        <f t="shared" si="1"/>
        <v>0</v>
      </c>
      <c r="F24" s="8"/>
      <c r="G24" s="15" t="s">
        <v>25</v>
      </c>
      <c r="H24" s="16">
        <f>SUMIF(Produção!$F$2:$F$109,$G24,Produção!$G$2:$G$109)</f>
        <v>0</v>
      </c>
      <c r="I24" s="16">
        <f>COUNTIFS(Produção!$F$2:$F$109,$G24,Produção!$I$2:$I$109,"&lt;&gt;")</f>
        <v>0</v>
      </c>
      <c r="J24" s="17">
        <f>IFERROR($H24/COUNTIF(Produção!$F$2:$F$109,$G24),0)</f>
        <v>0</v>
      </c>
      <c r="K24" s="8"/>
      <c r="L24" s="8"/>
      <c r="M24" s="8"/>
    </row>
    <row r="25" spans="1:13" ht="14.25">
      <c r="A25" s="8"/>
      <c r="B25" s="8"/>
      <c r="C25" s="8"/>
      <c r="D25" s="8"/>
      <c r="E25" s="8"/>
      <c r="F25" s="8"/>
      <c r="G25" s="8"/>
      <c r="H25" s="8"/>
      <c r="I25" s="8"/>
      <c r="J25" s="8"/>
      <c r="K25" s="8"/>
      <c r="L25" s="8"/>
      <c r="M25" s="8"/>
    </row>
    <row r="26" spans="1:13" ht="14.25">
      <c r="A26" s="51" t="s">
        <v>1113</v>
      </c>
      <c r="B26" s="52"/>
      <c r="C26" s="52"/>
      <c r="D26" s="52"/>
      <c r="E26" s="52"/>
      <c r="F26" s="8"/>
      <c r="G26" s="51" t="s">
        <v>1114</v>
      </c>
      <c r="H26" s="52"/>
      <c r="I26" s="52"/>
      <c r="J26" s="52"/>
      <c r="K26" s="8"/>
      <c r="L26" s="8"/>
      <c r="M26" s="8"/>
    </row>
    <row r="27" spans="1:13" ht="14.25">
      <c r="A27" s="18" t="s">
        <v>1115</v>
      </c>
      <c r="B27" s="19" t="s">
        <v>1100</v>
      </c>
      <c r="C27" s="20" t="s">
        <v>13</v>
      </c>
      <c r="D27" s="8"/>
      <c r="E27" s="8"/>
      <c r="F27" s="8"/>
      <c r="G27" s="18" t="s">
        <v>1116</v>
      </c>
      <c r="H27" s="20" t="s">
        <v>1100</v>
      </c>
      <c r="I27" s="8"/>
      <c r="J27" s="8"/>
      <c r="K27" s="8"/>
      <c r="L27" s="8"/>
      <c r="M27" s="8"/>
    </row>
    <row r="28" spans="1:13" ht="14.25">
      <c r="A28" s="12">
        <v>2021</v>
      </c>
      <c r="B28" s="13" cm="1">
        <f t="array" ref="B28">SUMPRODUCT((YEAR(Produção!$H$2:$H$109)=$A28)*Produção!$G$2:$G$109)</f>
        <v>4</v>
      </c>
      <c r="C28" s="21" cm="1">
        <f t="array" ref="C28">SUMPRODUCT((YEAR(Produção!$H$2:$H$109)=$A28)*(Produção!$I$2:$I$109&lt;&gt;""))</f>
        <v>4</v>
      </c>
      <c r="D28" s="8"/>
      <c r="E28" s="8"/>
      <c r="F28" s="8"/>
      <c r="G28" s="22">
        <f ca="1">EOMONTH(TODAY(),-12)+1</f>
        <v>45901</v>
      </c>
      <c r="H28" s="21" cm="1">
        <f t="array" aca="1" ref="H28" ca="1">SUMPRODUCT((Produção!$H$2:$H$109&gt;=$G28)*(Produção!$H$2:$H$109&lt;EDATE($G28,1))*Produção!$G$2:$G$109)</f>
        <v>0</v>
      </c>
      <c r="I28" s="8"/>
      <c r="J28" s="8"/>
      <c r="K28" s="8"/>
      <c r="L28" s="8"/>
      <c r="M28" s="8"/>
    </row>
    <row r="29" spans="1:13" ht="14.25">
      <c r="A29" s="12">
        <v>2022</v>
      </c>
      <c r="B29" s="13" cm="1">
        <f t="array" ref="B29">SUMPRODUCT((YEAR(Produção!$H$2:$H$109)=$A29)*Produção!$G$2:$G$109)</f>
        <v>0</v>
      </c>
      <c r="C29" s="21" cm="1">
        <f t="array" ref="C29">SUMPRODUCT((YEAR(Produção!$H$2:$H$109)=$A29)*(Produção!$I$2:$I$109&lt;&gt;""))</f>
        <v>0</v>
      </c>
      <c r="D29" s="8"/>
      <c r="E29" s="8"/>
      <c r="F29" s="8"/>
      <c r="G29" s="22">
        <f ca="1">EDATE($G28,1)</f>
        <v>45931</v>
      </c>
      <c r="H29" s="21" cm="1">
        <f t="array" aca="1" ref="H29" ca="1">SUMPRODUCT((Produção!$H$2:$H$109&gt;=$G29)*(Produção!$H$2:$H$109&lt;EDATE($G29,1))*Produção!$G$2:$G$109)</f>
        <v>1</v>
      </c>
      <c r="I29" s="8"/>
      <c r="J29" s="8"/>
      <c r="K29" s="8"/>
      <c r="L29" s="8"/>
      <c r="M29" s="8"/>
    </row>
    <row r="30" spans="1:13" ht="14.25">
      <c r="A30" s="12">
        <v>2023</v>
      </c>
      <c r="B30" s="13" cm="1">
        <f t="array" ref="B30">SUMPRODUCT((YEAR(Produção!$H$2:$H$109)=$A30)*Produção!$G$2:$G$109)</f>
        <v>1</v>
      </c>
      <c r="C30" s="21" cm="1">
        <f t="array" ref="C30">SUMPRODUCT((YEAR(Produção!$H$2:$H$109)=$A30)*(Produção!$I$2:$I$109&lt;&gt;""))</f>
        <v>1</v>
      </c>
      <c r="D30" s="8"/>
      <c r="E30" s="8"/>
      <c r="F30" s="8"/>
      <c r="G30" s="22">
        <f t="shared" ref="G30:G39" ca="1" si="2">EDATE($G29,1)</f>
        <v>45962</v>
      </c>
      <c r="H30" s="21" cm="1">
        <f t="array" aca="1" ref="H30" ca="1">SUMPRODUCT((Produção!$H$2:$H$109&gt;=$G30)*(Produção!$H$2:$H$109&lt;EDATE($G30,1))*Produção!$G$2:$G$109)</f>
        <v>0</v>
      </c>
      <c r="I30" s="8"/>
      <c r="J30" s="8"/>
      <c r="K30" s="8"/>
      <c r="L30" s="8"/>
      <c r="M30" s="8"/>
    </row>
    <row r="31" spans="1:13" ht="14.25">
      <c r="A31" s="12">
        <v>2024</v>
      </c>
      <c r="B31" s="13" cm="1">
        <f t="array" ref="B31">SUMPRODUCT((YEAR(Produção!$H$2:$H$109)=$A31)*Produção!$G$2:$G$109)</f>
        <v>0</v>
      </c>
      <c r="C31" s="21" cm="1">
        <f t="array" ref="C31">SUMPRODUCT((YEAR(Produção!$H$2:$H$109)=$A31)*(Produção!$I$2:$I$109&lt;&gt;""))</f>
        <v>0</v>
      </c>
      <c r="D31" s="8"/>
      <c r="E31" s="8"/>
      <c r="F31" s="8"/>
      <c r="G31" s="22">
        <f t="shared" ca="1" si="2"/>
        <v>45992</v>
      </c>
      <c r="H31" s="21" cm="1">
        <f t="array" aca="1" ref="H31" ca="1">SUMPRODUCT((Produção!$H$2:$H$109&gt;=$G31)*(Produção!$H$2:$H$109&lt;EDATE($G31,1))*Produção!$G$2:$G$109)</f>
        <v>0</v>
      </c>
      <c r="I31" s="8"/>
      <c r="J31" s="8"/>
      <c r="K31" s="8"/>
      <c r="L31" s="8"/>
      <c r="M31" s="8"/>
    </row>
    <row r="32" spans="1:13" ht="14.25">
      <c r="A32" s="12">
        <v>2025</v>
      </c>
      <c r="B32" s="13" cm="1">
        <f t="array" ref="B32">SUMPRODUCT((YEAR(Produção!$H$2:$H$109)=$A32)*Produção!$G$2:$G$109)</f>
        <v>2</v>
      </c>
      <c r="C32" s="21" cm="1">
        <f t="array" ref="C32">SUMPRODUCT((YEAR(Produção!$H$2:$H$109)=$A32)*(Produção!$I$2:$I$109&lt;&gt;""))</f>
        <v>2</v>
      </c>
      <c r="D32" s="8"/>
      <c r="E32" s="8"/>
      <c r="F32" s="8"/>
      <c r="G32" s="22">
        <f t="shared" ca="1" si="2"/>
        <v>46023</v>
      </c>
      <c r="H32" s="21" cm="1">
        <f t="array" aca="1" ref="H32" ca="1">SUMPRODUCT((Produção!$H$2:$H$109&gt;=$G32)*(Produção!$H$2:$H$109&lt;EDATE($G32,1))*Produção!$G$2:$G$109)</f>
        <v>0</v>
      </c>
      <c r="I32" s="8"/>
      <c r="J32" s="8"/>
      <c r="K32" s="8"/>
      <c r="L32" s="8"/>
      <c r="M32" s="8"/>
    </row>
    <row r="33" spans="1:13" ht="14.25">
      <c r="A33" s="15">
        <v>2026</v>
      </c>
      <c r="B33" s="16" cm="1">
        <f t="array" ref="B33">SUMPRODUCT((YEAR(Produção!$H$2:$H$109)=$A33)*Produção!$G$2:$G$109)</f>
        <v>0</v>
      </c>
      <c r="C33" s="23" cm="1">
        <f t="array" ref="C33">SUMPRODUCT((YEAR(Produção!$H$2:$H$109)=$A33)*(Produção!$I$2:$I$109&lt;&gt;""))</f>
        <v>0</v>
      </c>
      <c r="D33" s="8"/>
      <c r="E33" s="8"/>
      <c r="F33" s="8"/>
      <c r="G33" s="22">
        <f t="shared" ca="1" si="2"/>
        <v>46054</v>
      </c>
      <c r="H33" s="21" cm="1">
        <f t="array" aca="1" ref="H33" ca="1">SUMPRODUCT((Produção!$H$2:$H$109&gt;=$G33)*(Produção!$H$2:$H$109&lt;EDATE($G33,1))*Produção!$G$2:$G$109)</f>
        <v>0</v>
      </c>
      <c r="I33" s="8"/>
      <c r="J33" s="8"/>
      <c r="K33" s="8"/>
      <c r="L33" s="8"/>
      <c r="M33" s="8"/>
    </row>
    <row r="34" spans="1:13" ht="14.25">
      <c r="A34" s="8"/>
      <c r="B34" s="8"/>
      <c r="C34" s="8"/>
      <c r="D34" s="8"/>
      <c r="E34" s="8"/>
      <c r="F34" s="8"/>
      <c r="G34" s="22">
        <f t="shared" ca="1" si="2"/>
        <v>46082</v>
      </c>
      <c r="H34" s="21" cm="1">
        <f t="array" aca="1" ref="H34" ca="1">SUMPRODUCT((Produção!$H$2:$H$109&gt;=$G34)*(Produção!$H$2:$H$109&lt;EDATE($G34,1))*Produção!$G$2:$G$109)</f>
        <v>0</v>
      </c>
      <c r="I34" s="8"/>
      <c r="J34" s="8"/>
      <c r="K34" s="8"/>
      <c r="L34" s="8"/>
      <c r="M34" s="8"/>
    </row>
    <row r="35" spans="1:13" ht="14.25">
      <c r="A35" s="8"/>
      <c r="B35" s="8"/>
      <c r="C35" s="8"/>
      <c r="D35" s="8"/>
      <c r="E35" s="8"/>
      <c r="F35" s="8"/>
      <c r="G35" s="22">
        <f t="shared" ca="1" si="2"/>
        <v>46113</v>
      </c>
      <c r="H35" s="21" cm="1">
        <f t="array" aca="1" ref="H35" ca="1">SUMPRODUCT((Produção!$H$2:$H$109&gt;=$G35)*(Produção!$H$2:$H$109&lt;EDATE($G35,1))*Produção!$G$2:$G$109)</f>
        <v>0</v>
      </c>
      <c r="I35" s="8"/>
      <c r="J35" s="8"/>
      <c r="K35" s="8"/>
      <c r="L35" s="8"/>
      <c r="M35" s="8"/>
    </row>
    <row r="36" spans="1:13" ht="14.25">
      <c r="A36" s="8"/>
      <c r="B36" s="8"/>
      <c r="C36" s="8"/>
      <c r="D36" s="8"/>
      <c r="E36" s="8"/>
      <c r="F36" s="8"/>
      <c r="G36" s="22">
        <f t="shared" ca="1" si="2"/>
        <v>46143</v>
      </c>
      <c r="H36" s="21" cm="1">
        <f t="array" aca="1" ref="H36" ca="1">SUMPRODUCT((Produção!$H$2:$H$109&gt;=$G36)*(Produção!$H$2:$H$109&lt;EDATE($G36,1))*Produção!$G$2:$G$109)</f>
        <v>0</v>
      </c>
      <c r="I36" s="8"/>
      <c r="J36" s="8"/>
      <c r="K36" s="8"/>
      <c r="L36" s="8"/>
      <c r="M36" s="8"/>
    </row>
    <row r="37" spans="1:13" ht="14.25">
      <c r="A37" s="8"/>
      <c r="B37" s="8"/>
      <c r="C37" s="8"/>
      <c r="D37" s="8"/>
      <c r="E37" s="8"/>
      <c r="F37" s="8"/>
      <c r="G37" s="22">
        <f t="shared" ca="1" si="2"/>
        <v>46174</v>
      </c>
      <c r="H37" s="21" cm="1">
        <f t="array" aca="1" ref="H37" ca="1">SUMPRODUCT((Produção!$H$2:$H$109&gt;=$G37)*(Produção!$H$2:$H$109&lt;EDATE($G37,1))*Produção!$G$2:$G$109)</f>
        <v>0</v>
      </c>
      <c r="I37" s="8"/>
      <c r="J37" s="8"/>
      <c r="K37" s="8"/>
      <c r="L37" s="8"/>
      <c r="M37" s="8"/>
    </row>
    <row r="38" spans="1:13" ht="14.25">
      <c r="A38" s="8"/>
      <c r="B38" s="8"/>
      <c r="C38" s="8"/>
      <c r="D38" s="8"/>
      <c r="E38" s="8"/>
      <c r="F38" s="8"/>
      <c r="G38" s="22">
        <f t="shared" ca="1" si="2"/>
        <v>46204</v>
      </c>
      <c r="H38" s="21" cm="1">
        <f t="array" aca="1" ref="H38" ca="1">SUMPRODUCT((Produção!$H$2:$H$109&gt;=$G38)*(Produção!$H$2:$H$109&lt;EDATE($G38,1))*Produção!$G$2:$G$109)</f>
        <v>0</v>
      </c>
      <c r="I38" s="8"/>
      <c r="J38" s="8"/>
      <c r="K38" s="8"/>
      <c r="L38" s="8"/>
      <c r="M38" s="8"/>
    </row>
    <row r="39" spans="1:13" ht="14.25">
      <c r="A39" s="8"/>
      <c r="B39" s="8"/>
      <c r="C39" s="8"/>
      <c r="D39" s="8"/>
      <c r="E39" s="8"/>
      <c r="F39" s="8"/>
      <c r="G39" s="24">
        <f t="shared" ca="1" si="2"/>
        <v>46235</v>
      </c>
      <c r="H39" s="23" cm="1">
        <f t="array" aca="1" ref="H39" ca="1">SUMPRODUCT((Produção!$H$2:$H$109&gt;=$G39)*(Produção!$H$2:$H$109&lt;EDATE($G39,1))*Produção!$G$2:$G$109)</f>
        <v>0</v>
      </c>
      <c r="I39" s="8"/>
      <c r="J39" s="8"/>
      <c r="K39" s="8"/>
      <c r="L39" s="8"/>
      <c r="M39" s="8"/>
    </row>
    <row r="40" spans="1:13" ht="14.25">
      <c r="A40" s="8"/>
      <c r="B40" s="8"/>
      <c r="C40" s="8"/>
      <c r="D40" s="8"/>
      <c r="E40" s="8"/>
      <c r="F40" s="8"/>
      <c r="G40" s="8"/>
      <c r="H40" s="8"/>
      <c r="I40" s="8"/>
      <c r="J40" s="8"/>
      <c r="K40" s="8"/>
      <c r="L40" s="8"/>
      <c r="M40" s="8"/>
    </row>
    <row r="41" spans="1:13" ht="14.25">
      <c r="A41" s="51" t="s">
        <v>1117</v>
      </c>
      <c r="B41" s="52"/>
      <c r="C41" s="52"/>
      <c r="D41" s="52"/>
      <c r="E41" s="52"/>
      <c r="F41" s="8"/>
      <c r="G41" s="51" t="s">
        <v>1118</v>
      </c>
      <c r="H41" s="52"/>
      <c r="I41" s="52"/>
      <c r="J41" s="52"/>
      <c r="K41" s="8"/>
      <c r="L41" s="8"/>
      <c r="M41" s="8"/>
    </row>
    <row r="42" spans="1:13" ht="14.25">
      <c r="A42" s="18" t="s">
        <v>28</v>
      </c>
      <c r="B42" s="19" t="s">
        <v>1099</v>
      </c>
      <c r="C42" s="19" t="s">
        <v>4</v>
      </c>
      <c r="D42" s="19" t="s">
        <v>13</v>
      </c>
      <c r="E42" s="20" t="s">
        <v>5</v>
      </c>
      <c r="F42" s="8"/>
      <c r="G42" s="18" t="s">
        <v>0</v>
      </c>
      <c r="H42" s="20" t="s">
        <v>1</v>
      </c>
      <c r="I42" s="8"/>
      <c r="J42" s="8"/>
      <c r="K42" s="8"/>
      <c r="L42" s="8"/>
      <c r="M42" s="8"/>
    </row>
    <row r="43" spans="1:13" ht="14.25">
      <c r="A43" s="12" t="str">
        <f>IFERROR(INDEX(Matriz!$C$3:$C$90,MATCH(ROW()-42,Matriz!$AE$3:$AE$90,0)),"")</f>
        <v>O problema do SAT que todos erraram: paradoxo das moedas e roda de Aristóteles</v>
      </c>
      <c r="B43" s="13" t="str">
        <f>IFERROR(INDEX(Matriz!$B$3:$B$90,MATCH(ROW()-42,Matriz!$AE$3:$AE$90,0)),"")</f>
        <v>Física Clássica</v>
      </c>
      <c r="C43" s="13">
        <f>IFERROR(INDEX(Matriz!$D$3:$D$90,MATCH(ROW()-42,Matriz!$AE$3:$AE$90,0)),"")</f>
        <v>5</v>
      </c>
      <c r="D43" s="13">
        <f>IFERROR(INDEX(Matriz!$AD$3:$AD$90,MATCH(ROW()-42,Matriz!$AE$3:$AE$90,0)),"")</f>
        <v>3</v>
      </c>
      <c r="E43" s="14">
        <f>IFERROR($C43/12,0)</f>
        <v>0.41666666666666669</v>
      </c>
      <c r="F43" s="8"/>
      <c r="G43" s="12" t="s">
        <v>1119</v>
      </c>
      <c r="H43" s="26">
        <f>COUNTA(Periódicos!$A$2:$A$168)</f>
        <v>167</v>
      </c>
      <c r="I43" s="8"/>
      <c r="J43" s="8"/>
      <c r="K43" s="8"/>
      <c r="L43" s="8"/>
      <c r="M43" s="8"/>
    </row>
    <row r="44" spans="1:13" ht="14.25">
      <c r="A44" s="12" t="str">
        <f>IFERROR(INDEX(Matriz!$C$3:$C$90,MATCH(ROW()-42,Matriz!$AE$3:$AE$90,0)),"")</f>
        <v>Experimento de medição da densidade da água</v>
      </c>
      <c r="B44" s="13" t="str">
        <f>IFERROR(INDEX(Matriz!$B$3:$B$90,MATCH(ROW()-42,Matriz!$AE$3:$AE$90,0)),"")</f>
        <v>Física Clássica</v>
      </c>
      <c r="C44" s="13">
        <f>IFERROR(INDEX(Matriz!$D$3:$D$90,MATCH(ROW()-42,Matriz!$AE$3:$AE$90,0)),"")</f>
        <v>4</v>
      </c>
      <c r="D44" s="13">
        <f>IFERROR(INDEX(Matriz!$AD$3:$AD$90,MATCH(ROW()-42,Matriz!$AE$3:$AE$90,0)),"")</f>
        <v>2</v>
      </c>
      <c r="E44" s="14">
        <f t="shared" ref="E44:E52" si="3">IFERROR($C44/12,0)</f>
        <v>0.33333333333333331</v>
      </c>
      <c r="F44" s="8"/>
      <c r="G44" s="12" t="s">
        <v>1120</v>
      </c>
      <c r="H44" s="26">
        <f>COUNTIF(Periódicos!$I$2:$I$168,5)</f>
        <v>27</v>
      </c>
      <c r="I44" s="8"/>
      <c r="J44" s="8"/>
      <c r="K44" s="8"/>
      <c r="L44" s="8"/>
      <c r="M44" s="8"/>
    </row>
    <row r="45" spans="1:13" ht="14.25">
      <c r="A45" s="12" t="str">
        <f>IFERROR(INDEX(Matriz!$C$3:$C$90,MATCH(ROW()-42,Matriz!$AE$3:$AE$90,0)),"")</f>
        <v>Fluid dynamics in the warp drive spacetime geometry</v>
      </c>
      <c r="B45" s="13" t="str">
        <f>IFERROR(INDEX(Matriz!$B$3:$B$90,MATCH(ROW()-42,Matriz!$AE$3:$AE$90,0)),"")</f>
        <v>Relatividade e Warp Drive</v>
      </c>
      <c r="C45" s="13">
        <f>IFERROR(INDEX(Matriz!$D$3:$D$90,MATCH(ROW()-42,Matriz!$AE$3:$AE$90,0)),"")</f>
        <v>4</v>
      </c>
      <c r="D45" s="13">
        <f>IFERROR(INDEX(Matriz!$AD$3:$AD$90,MATCH(ROW()-42,Matriz!$AE$3:$AE$90,0)),"")</f>
        <v>2</v>
      </c>
      <c r="E45" s="14">
        <f t="shared" si="3"/>
        <v>0.33333333333333331</v>
      </c>
      <c r="F45" s="8"/>
      <c r="G45" s="12" t="s">
        <v>1121</v>
      </c>
      <c r="H45" s="26">
        <f>COUNTIF(Periódicos!$I$2:$I$168,"&gt;=4")</f>
        <v>113</v>
      </c>
      <c r="I45" s="8"/>
      <c r="J45" s="8"/>
      <c r="K45" s="8"/>
      <c r="L45" s="8"/>
      <c r="M45" s="8"/>
    </row>
    <row r="46" spans="1:13" ht="14.25">
      <c r="A46" s="12" t="str">
        <f>IFERROR(INDEX(Matriz!$C$3:$C$90,MATCH(ROW()-42,Matriz!$AE$3:$AE$90,0)),"")</f>
        <v>Charged dust solutions for the warp drive spacetime</v>
      </c>
      <c r="B46" s="13" t="str">
        <f>IFERROR(INDEX(Matriz!$B$3:$B$90,MATCH(ROW()-42,Matriz!$AE$3:$AE$90,0)),"")</f>
        <v>Relatividade e Warp Drive</v>
      </c>
      <c r="C46" s="13">
        <f>IFERROR(INDEX(Matriz!$D$3:$D$90,MATCH(ROW()-42,Matriz!$AE$3:$AE$90,0)),"")</f>
        <v>4</v>
      </c>
      <c r="D46" s="13">
        <f>IFERROR(INDEX(Matriz!$AD$3:$AD$90,MATCH(ROW()-42,Matriz!$AE$3:$AE$90,0)),"")</f>
        <v>2</v>
      </c>
      <c r="E46" s="14">
        <f t="shared" si="3"/>
        <v>0.33333333333333331</v>
      </c>
      <c r="F46" s="8"/>
      <c r="G46" s="12" t="s">
        <v>1122</v>
      </c>
      <c r="H46" s="27">
        <f>IFERROR(AVERAGE(Periódicos!$D$2:$D$168),0)</f>
        <v>6.8288611111111113</v>
      </c>
      <c r="I46" s="8"/>
      <c r="J46" s="8"/>
      <c r="K46" s="8"/>
      <c r="L46" s="8"/>
      <c r="M46" s="8"/>
    </row>
    <row r="47" spans="1:13" ht="14.25">
      <c r="A47" s="12" t="str">
        <f>IFERROR(INDEX(Matriz!$C$3:$C$90,MATCH(ROW()-42,Matriz!$AE$3:$AE$90,0)),"")</f>
        <v>Perfect fluid warp drive solutions with the cosmological constant</v>
      </c>
      <c r="B47" s="13" t="str">
        <f>IFERROR(INDEX(Matriz!$B$3:$B$90,MATCH(ROW()-42,Matriz!$AE$3:$AE$90,0)),"")</f>
        <v>Relatividade e Warp Drive</v>
      </c>
      <c r="C47" s="13">
        <f>IFERROR(INDEX(Matriz!$D$3:$D$90,MATCH(ROW()-42,Matriz!$AE$3:$AE$90,0)),"")</f>
        <v>4</v>
      </c>
      <c r="D47" s="13">
        <f>IFERROR(INDEX(Matriz!$AD$3:$AD$90,MATCH(ROW()-42,Matriz!$AE$3:$AE$90,0)),"")</f>
        <v>2</v>
      </c>
      <c r="E47" s="14">
        <f t="shared" si="3"/>
        <v>0.33333333333333331</v>
      </c>
      <c r="F47" s="8"/>
      <c r="G47" s="12" t="s">
        <v>7</v>
      </c>
      <c r="H47" s="26">
        <f>COUNTIF(Periódicos!$E$2:$E$168,"matemática")</f>
        <v>140</v>
      </c>
      <c r="I47" s="8"/>
      <c r="J47" s="8"/>
      <c r="K47" s="8"/>
      <c r="L47" s="8"/>
      <c r="M47" s="8"/>
    </row>
    <row r="48" spans="1:13" ht="14.25">
      <c r="A48" s="12" t="str">
        <f>IFERROR(INDEX(Matriz!$C$3:$C$90,MATCH(ROW()-42,Matriz!$AE$3:$AE$90,0)),"")</f>
        <v>Warp drive dynamic solutions considering different fluid sources</v>
      </c>
      <c r="B48" s="13" t="str">
        <f>IFERROR(INDEX(Matriz!$B$3:$B$90,MATCH(ROW()-42,Matriz!$AE$3:$AE$90,0)),"")</f>
        <v>Relatividade e Warp Drive</v>
      </c>
      <c r="C48" s="13">
        <f>IFERROR(INDEX(Matriz!$D$3:$D$90,MATCH(ROW()-42,Matriz!$AE$3:$AE$90,0)),"")</f>
        <v>4</v>
      </c>
      <c r="D48" s="13">
        <f>IFERROR(INDEX(Matriz!$AD$3:$AD$90,MATCH(ROW()-42,Matriz!$AE$3:$AE$90,0)),"")</f>
        <v>2</v>
      </c>
      <c r="E48" s="14">
        <f t="shared" si="3"/>
        <v>0.33333333333333331</v>
      </c>
      <c r="F48" s="8"/>
      <c r="G48" s="12" t="s">
        <v>6</v>
      </c>
      <c r="H48" s="26">
        <f>COUNTIF(Periódicos!$E$2:$E$168,"física")</f>
        <v>26</v>
      </c>
      <c r="I48" s="8"/>
      <c r="J48" s="8"/>
      <c r="K48" s="8"/>
      <c r="L48" s="8"/>
      <c r="M48" s="8"/>
    </row>
    <row r="49" spans="1:13" ht="14.25">
      <c r="A49" s="12" t="str">
        <f>IFERROR(INDEX(Matriz!$C$3:$C$90,MATCH(ROW()-42,Matriz!$AE$3:$AE$90,0)),"")</f>
        <v>Dust content content solutions for the Alcubierre warp drive spacetime.</v>
      </c>
      <c r="B49" s="13" t="str">
        <f>IFERROR(INDEX(Matriz!$B$3:$B$90,MATCH(ROW()-42,Matriz!$AE$3:$AE$90,0)),"")</f>
        <v>Relatividade e Warp Drive</v>
      </c>
      <c r="C49" s="13">
        <f>IFERROR(INDEX(Matriz!$D$3:$D$90,MATCH(ROW()-42,Matriz!$AE$3:$AE$90,0)),"")</f>
        <v>3</v>
      </c>
      <c r="D49" s="13">
        <f>IFERROR(INDEX(Matriz!$AD$3:$AD$90,MATCH(ROW()-42,Matriz!$AE$3:$AE$90,0)),"")</f>
        <v>2</v>
      </c>
      <c r="E49" s="14">
        <f t="shared" si="3"/>
        <v>0.25</v>
      </c>
      <c r="F49" s="8"/>
      <c r="G49" s="12" t="s">
        <v>8</v>
      </c>
      <c r="H49" s="26">
        <f>COUNTIF(Periódicos!$E$2:$E$168,"data science")</f>
        <v>1</v>
      </c>
      <c r="I49" s="8"/>
      <c r="J49" s="8"/>
      <c r="K49" s="8"/>
      <c r="L49" s="8"/>
      <c r="M49" s="8"/>
    </row>
    <row r="50" spans="1:13" ht="14.25">
      <c r="A50" s="12" t="str">
        <f>IFERROR(INDEX(Matriz!$C$3:$C$90,MATCH(ROW()-42,Matriz!$AE$3:$AE$90,0)),"")</f>
        <v>Vídeo falando sobre a questão #160 do Enem 2025 e a resolução</v>
      </c>
      <c r="B50" s="13" t="str">
        <f>IFERROR(INDEX(Matriz!$B$3:$B$90,MATCH(ROW()-42,Matriz!$AE$3:$AE$90,0)),"")</f>
        <v>Geometria</v>
      </c>
      <c r="C50" s="13">
        <f>IFERROR(INDEX(Matriz!$D$3:$D$90,MATCH(ROW()-42,Matriz!$AE$3:$AE$90,0)),"")</f>
        <v>1</v>
      </c>
      <c r="D50" s="13">
        <f>IFERROR(INDEX(Matriz!$AD$3:$AD$90,MATCH(ROW()-42,Matriz!$AE$3:$AE$90,0)),"")</f>
        <v>1</v>
      </c>
      <c r="E50" s="14">
        <f t="shared" si="3"/>
        <v>8.3333333333333329E-2</v>
      </c>
      <c r="F50" s="8"/>
      <c r="G50" s="12" t="s">
        <v>1123</v>
      </c>
      <c r="H50" s="26">
        <f>COUNTIF(Periódicos!$K$2:$K$168,"Open Access*")</f>
        <v>40</v>
      </c>
      <c r="I50" s="8"/>
      <c r="J50" s="8"/>
      <c r="K50" s="8"/>
      <c r="L50" s="8"/>
      <c r="M50" s="8"/>
    </row>
    <row r="51" spans="1:13" ht="14.25">
      <c r="A51" s="12" t="str">
        <f>IFERROR(INDEX(Matriz!$C$3:$C$90,MATCH(ROW()-42,Matriz!$AE$3:$AE$90,0)),"")</f>
        <v>Teste de Wilcoxon: quando usar estatística não paramétrica</v>
      </c>
      <c r="B51" s="13" t="str">
        <f>IFERROR(INDEX(Matriz!$B$3:$B$90,MATCH(ROW()-42,Matriz!$AE$3:$AE$90,0)),"")</f>
        <v>Estatística e Probabilidade</v>
      </c>
      <c r="C51" s="13">
        <f>IFERROR(INDEX(Matriz!$D$3:$D$90,MATCH(ROW()-42,Matriz!$AE$3:$AE$90,0)),"")</f>
        <v>0</v>
      </c>
      <c r="D51" s="13">
        <f>IFERROR(INDEX(Matriz!$AD$3:$AD$90,MATCH(ROW()-42,Matriz!$AE$3:$AE$90,0)),"")</f>
        <v>0</v>
      </c>
      <c r="E51" s="14">
        <f t="shared" si="3"/>
        <v>0</v>
      </c>
      <c r="F51" s="8"/>
      <c r="G51" s="12" t="s">
        <v>1124</v>
      </c>
      <c r="H51" s="26">
        <f>COUNTIF(Produção!$F$2:$F$109,"Journal")</f>
        <v>9</v>
      </c>
      <c r="I51" s="8"/>
      <c r="J51" s="8"/>
      <c r="K51" s="8"/>
      <c r="L51" s="8"/>
      <c r="M51" s="8"/>
    </row>
    <row r="52" spans="1:13" ht="14.25">
      <c r="A52" s="12" t="str">
        <f>IFERROR(INDEX(Matriz!$C$3:$C$90,MATCH(ROW()-42,Matriz!$AE$3:$AE$90,0)),"")</f>
        <v/>
      </c>
      <c r="B52" s="13" t="str">
        <f>IFERROR(INDEX(Matriz!$B$3:$B$90,MATCH(ROW()-42,Matriz!$AE$3:$AE$90,0)),"")</f>
        <v/>
      </c>
      <c r="C52" s="13">
        <f>IFERROR(INDEX(Matriz!$D$3:$D$90,MATCH(ROW()-42,Matriz!$AE$3:$AE$90,0)),"")</f>
        <v>0</v>
      </c>
      <c r="D52" s="13" t="str">
        <f>IFERROR(INDEX(Matriz!$AD$3:$AD$90,MATCH(ROW()-42,Matriz!$AE$3:$AE$90,0)),"")</f>
        <v/>
      </c>
      <c r="E52" s="14">
        <f t="shared" si="3"/>
        <v>0</v>
      </c>
      <c r="F52" s="8"/>
      <c r="G52" s="15" t="s">
        <v>1125</v>
      </c>
      <c r="H52" s="29">
        <f>$H$14</f>
        <v>7</v>
      </c>
      <c r="I52" s="8"/>
      <c r="J52" s="8"/>
      <c r="K52" s="8"/>
      <c r="L52" s="8"/>
      <c r="M52" s="8"/>
    </row>
    <row r="53" spans="1:13" ht="14.25">
      <c r="A53" s="8"/>
      <c r="B53" s="8"/>
      <c r="C53" s="8"/>
      <c r="D53" s="8"/>
      <c r="E53" s="8"/>
      <c r="F53" s="8"/>
      <c r="G53" s="8"/>
      <c r="H53" s="8"/>
      <c r="I53" s="8"/>
      <c r="J53" s="8"/>
      <c r="K53" s="8"/>
      <c r="L53" s="8"/>
      <c r="M53" s="8"/>
    </row>
    <row r="54" spans="1:13" ht="14.25">
      <c r="A54" s="53" t="s">
        <v>1126</v>
      </c>
      <c r="B54" s="52"/>
      <c r="C54" s="52"/>
      <c r="D54" s="52"/>
      <c r="E54" s="52"/>
      <c r="F54" s="8"/>
      <c r="G54" s="8"/>
      <c r="H54" s="8"/>
      <c r="I54" s="8"/>
      <c r="J54" s="8"/>
      <c r="K54" s="8"/>
      <c r="L54" s="8"/>
      <c r="M54" s="8"/>
    </row>
    <row r="55" spans="1:13" ht="14.25">
      <c r="A55" s="30" t="s">
        <v>1127</v>
      </c>
      <c r="B55" s="31" t="s">
        <v>1128</v>
      </c>
      <c r="C55" s="8"/>
      <c r="D55" s="8"/>
      <c r="E55" s="8"/>
      <c r="F55" s="8"/>
      <c r="G55" s="32" t="s">
        <v>1134</v>
      </c>
      <c r="H55" s="8"/>
      <c r="I55" s="8"/>
      <c r="J55" s="8"/>
      <c r="K55" s="8"/>
      <c r="L55" s="8"/>
      <c r="M55" s="8"/>
    </row>
    <row r="56" spans="1:13" ht="14.25">
      <c r="A56" s="12" t="s">
        <v>1129</v>
      </c>
      <c r="B56" s="21">
        <f>COUNTIFS(Produção!$G$2:$G$109,1,Produção!$I$2:$I$109,"")</f>
        <v>13</v>
      </c>
      <c r="C56" s="8"/>
      <c r="D56" s="8"/>
      <c r="E56" s="8"/>
      <c r="F56" s="8"/>
      <c r="G56" s="8" t="s">
        <v>1135</v>
      </c>
      <c r="H56" s="8">
        <f>$E$5</f>
        <v>29</v>
      </c>
      <c r="I56" s="8"/>
      <c r="J56" s="8"/>
      <c r="K56" s="8"/>
      <c r="L56" s="8"/>
      <c r="M56" s="8"/>
    </row>
    <row r="57" spans="1:13" ht="14.25">
      <c r="A57" s="12" t="s">
        <v>1130</v>
      </c>
      <c r="B57" s="21">
        <f>COUNTIFS(Produção!$I$2:$I$109,"&lt;&gt;",Produção!$G$2:$G$109,0)</f>
        <v>0</v>
      </c>
      <c r="C57" s="8"/>
      <c r="D57" s="8"/>
      <c r="E57" s="8"/>
      <c r="F57" s="8"/>
      <c r="G57" s="8" t="s">
        <v>1136</v>
      </c>
      <c r="H57" s="33">
        <f>$C$5-$E$5</f>
        <v>79</v>
      </c>
      <c r="I57" s="8"/>
      <c r="J57" s="8"/>
      <c r="K57" s="8"/>
      <c r="L57" s="8"/>
      <c r="M57" s="8"/>
    </row>
    <row r="58" spans="1:13" ht="14.25">
      <c r="A58" s="12" t="s">
        <v>1131</v>
      </c>
      <c r="B58" s="21">
        <f>COUNTIFS(Produção!$G$2:$G$109,1,Produção!$H$2:$H$109,"")</f>
        <v>22</v>
      </c>
      <c r="C58" s="8"/>
      <c r="D58" s="8"/>
      <c r="E58" s="8"/>
      <c r="F58" s="8"/>
      <c r="G58" s="8"/>
      <c r="H58" s="8"/>
      <c r="I58" s="8"/>
      <c r="J58" s="8"/>
      <c r="K58" s="8"/>
      <c r="L58" s="8"/>
      <c r="M58" s="8"/>
    </row>
    <row r="59" spans="1:13" ht="14.25">
      <c r="A59" s="12" t="s">
        <v>1132</v>
      </c>
      <c r="B59" s="21">
        <f>COUNTBLANK(Matriz!$B$3:$B$90)</f>
        <v>0</v>
      </c>
      <c r="C59" s="8"/>
      <c r="D59" s="8"/>
      <c r="E59" s="8"/>
      <c r="F59" s="8"/>
      <c r="G59" s="8"/>
      <c r="H59" s="8"/>
      <c r="I59" s="8"/>
      <c r="J59" s="8"/>
      <c r="K59" s="8"/>
      <c r="L59" s="8"/>
      <c r="M59" s="8"/>
    </row>
    <row r="60" spans="1:13" ht="14.25">
      <c r="A60" s="15" t="s">
        <v>1133</v>
      </c>
      <c r="B60" s="23">
        <f>COUNTBLANK(Periódicos!$D$2:$D$168)</f>
        <v>0</v>
      </c>
      <c r="C60" s="8"/>
      <c r="D60" s="8"/>
      <c r="E60" s="8"/>
      <c r="F60" s="8"/>
      <c r="G60" s="8"/>
      <c r="H60" s="8"/>
      <c r="I60" s="8"/>
      <c r="J60" s="8"/>
      <c r="K60" s="8"/>
      <c r="L60" s="8"/>
      <c r="M60" s="8"/>
    </row>
  </sheetData>
  <mergeCells count="33">
    <mergeCell ref="A1:M1"/>
    <mergeCell ref="A2:M2"/>
    <mergeCell ref="A11:E11"/>
    <mergeCell ref="G11:J11"/>
    <mergeCell ref="A4:B4"/>
    <mergeCell ref="A5:B5"/>
    <mergeCell ref="C4:D4"/>
    <mergeCell ref="C5:D5"/>
    <mergeCell ref="E4:F4"/>
    <mergeCell ref="E5:F5"/>
    <mergeCell ref="G4:H4"/>
    <mergeCell ref="G5:H5"/>
    <mergeCell ref="I4:J4"/>
    <mergeCell ref="I5:J5"/>
    <mergeCell ref="K4:L4"/>
    <mergeCell ref="K5:L5"/>
    <mergeCell ref="A7:B7"/>
    <mergeCell ref="A8:B8"/>
    <mergeCell ref="C7:D7"/>
    <mergeCell ref="C8:D8"/>
    <mergeCell ref="E7:F7"/>
    <mergeCell ref="E8:F8"/>
    <mergeCell ref="G7:H7"/>
    <mergeCell ref="G8:H8"/>
    <mergeCell ref="I7:J7"/>
    <mergeCell ref="I8:J8"/>
    <mergeCell ref="K7:L7"/>
    <mergeCell ref="K8:L8"/>
    <mergeCell ref="A26:E26"/>
    <mergeCell ref="G26:J26"/>
    <mergeCell ref="A41:E41"/>
    <mergeCell ref="G41:J41"/>
    <mergeCell ref="A54:E5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89"/>
  <sheetViews>
    <sheetView tabSelected="1" workbookViewId="0">
      <selection activeCell="A93" sqref="A93"/>
    </sheetView>
  </sheetViews>
  <sheetFormatPr defaultRowHeight="13.5"/>
  <cols>
    <col min="1" max="1" width="8" customWidth="1"/>
    <col min="2" max="2" width="7" customWidth="1"/>
    <col min="3" max="3" width="31.5" customWidth="1"/>
    <col min="4" max="4" width="90.125" bestFit="1" customWidth="1"/>
    <col min="5" max="5" width="46.1875" customWidth="1"/>
    <col min="6" max="6" width="22" customWidth="1"/>
    <col min="7" max="7" width="11" customWidth="1"/>
    <col min="8" max="8" width="12" customWidth="1"/>
    <col min="9" max="9" width="117.5" bestFit="1" customWidth="1"/>
    <col min="10" max="10" width="26.4375" bestFit="1" customWidth="1"/>
  </cols>
  <sheetData>
    <row r="1" spans="1:9" ht="15.75">
      <c r="A1" s="1" t="s">
        <v>26</v>
      </c>
      <c r="B1" s="2" t="s">
        <v>27</v>
      </c>
      <c r="C1" s="2" t="s">
        <v>2</v>
      </c>
      <c r="D1" s="2" t="s">
        <v>28</v>
      </c>
      <c r="E1" s="2" t="s">
        <v>29</v>
      </c>
      <c r="F1" s="2" t="s">
        <v>12</v>
      </c>
      <c r="G1" s="2" t="s">
        <v>30</v>
      </c>
      <c r="H1" s="2" t="s">
        <v>31</v>
      </c>
      <c r="I1" s="3" t="s">
        <v>32</v>
      </c>
    </row>
    <row r="2" spans="1:9" ht="15.75">
      <c r="A2" s="4">
        <v>1</v>
      </c>
      <c r="B2" s="4">
        <f>ROUNDUP(A2/12,0)</f>
        <v>1</v>
      </c>
      <c r="C2" s="49" t="s">
        <v>1090</v>
      </c>
      <c r="D2" s="49" t="s">
        <v>1057</v>
      </c>
      <c r="E2" s="49" t="s">
        <v>1057</v>
      </c>
      <c r="F2" s="49" t="s">
        <v>14</v>
      </c>
      <c r="G2" s="48">
        <v>0</v>
      </c>
      <c r="H2" s="70"/>
      <c r="I2" s="49"/>
    </row>
    <row r="3" spans="1:9" ht="15.75">
      <c r="A3" s="4">
        <v>2</v>
      </c>
      <c r="B3" s="4">
        <f>ROUNDUP(A3/12,0)</f>
        <v>1</v>
      </c>
      <c r="C3" s="49" t="s">
        <v>1090</v>
      </c>
      <c r="D3" s="49" t="s">
        <v>1057</v>
      </c>
      <c r="E3" s="49" t="s">
        <v>1057</v>
      </c>
      <c r="F3" s="49" t="s">
        <v>15</v>
      </c>
      <c r="G3" s="48">
        <v>0</v>
      </c>
      <c r="H3" s="70"/>
      <c r="I3" s="49"/>
    </row>
    <row r="4" spans="1:9" ht="15.75">
      <c r="A4" s="4">
        <v>3</v>
      </c>
      <c r="B4" s="4">
        <f>ROUNDUP(A4/12,0)</f>
        <v>1</v>
      </c>
      <c r="C4" s="49" t="s">
        <v>1090</v>
      </c>
      <c r="D4" s="49" t="s">
        <v>1057</v>
      </c>
      <c r="E4" s="49" t="s">
        <v>1057</v>
      </c>
      <c r="F4" s="49" t="s">
        <v>16</v>
      </c>
      <c r="G4" s="48">
        <v>0</v>
      </c>
      <c r="H4" s="70"/>
      <c r="I4" s="49"/>
    </row>
    <row r="5" spans="1:9" ht="15.75">
      <c r="A5" s="4">
        <v>4</v>
      </c>
      <c r="B5" s="4">
        <f>ROUNDUP(A5/12,0)</f>
        <v>1</v>
      </c>
      <c r="C5" s="49" t="s">
        <v>1090</v>
      </c>
      <c r="D5" s="49" t="s">
        <v>1057</v>
      </c>
      <c r="E5" s="49" t="s">
        <v>37</v>
      </c>
      <c r="F5" s="49" t="s">
        <v>17</v>
      </c>
      <c r="G5" s="48">
        <v>0</v>
      </c>
      <c r="H5" s="70"/>
      <c r="I5" s="49"/>
    </row>
    <row r="6" spans="1:9" ht="15.75">
      <c r="A6" s="4">
        <v>5</v>
      </c>
      <c r="B6" s="4">
        <f>ROUNDUP(A6/12,0)</f>
        <v>1</v>
      </c>
      <c r="C6" s="49" t="s">
        <v>1090</v>
      </c>
      <c r="D6" s="49" t="s">
        <v>1057</v>
      </c>
      <c r="E6" s="49" t="s">
        <v>38</v>
      </c>
      <c r="F6" s="49" t="s">
        <v>18</v>
      </c>
      <c r="G6" s="48">
        <v>0</v>
      </c>
      <c r="H6" s="70"/>
      <c r="I6" s="49"/>
    </row>
    <row r="7" spans="1:9" ht="15.75">
      <c r="A7" s="4">
        <v>6</v>
      </c>
      <c r="B7" s="4">
        <f>ROUNDUP(A7/12,0)</f>
        <v>1</v>
      </c>
      <c r="C7" s="49" t="s">
        <v>1090</v>
      </c>
      <c r="D7" s="49" t="s">
        <v>1057</v>
      </c>
      <c r="E7" s="49" t="s">
        <v>1057</v>
      </c>
      <c r="F7" s="49" t="s">
        <v>19</v>
      </c>
      <c r="G7" s="48">
        <v>0</v>
      </c>
      <c r="H7" s="70"/>
      <c r="I7" s="49"/>
    </row>
    <row r="8" spans="1:9" ht="15.75">
      <c r="A8" s="4">
        <v>7</v>
      </c>
      <c r="B8" s="4">
        <f>ROUNDUP(A8/12,0)</f>
        <v>1</v>
      </c>
      <c r="C8" s="49" t="s">
        <v>1090</v>
      </c>
      <c r="D8" s="49" t="s">
        <v>1057</v>
      </c>
      <c r="E8" s="49" t="s">
        <v>1057</v>
      </c>
      <c r="F8" s="49" t="s">
        <v>20</v>
      </c>
      <c r="G8" s="48">
        <v>0</v>
      </c>
      <c r="H8" s="70"/>
      <c r="I8" s="49"/>
    </row>
    <row r="9" spans="1:9" ht="15.75">
      <c r="A9" s="4">
        <v>8</v>
      </c>
      <c r="B9" s="4">
        <f>ROUNDUP(A9/12,0)</f>
        <v>1</v>
      </c>
      <c r="C9" s="49" t="s">
        <v>1090</v>
      </c>
      <c r="D9" s="49" t="s">
        <v>1057</v>
      </c>
      <c r="E9" s="49" t="s">
        <v>1057</v>
      </c>
      <c r="F9" s="49" t="s">
        <v>21</v>
      </c>
      <c r="G9" s="48">
        <v>0</v>
      </c>
      <c r="H9" s="70"/>
      <c r="I9" s="49"/>
    </row>
    <row r="10" spans="1:9" ht="15.75">
      <c r="A10" s="4">
        <v>9</v>
      </c>
      <c r="B10" s="4">
        <f>ROUNDUP(A10/12,0)</f>
        <v>1</v>
      </c>
      <c r="C10" s="49" t="s">
        <v>1090</v>
      </c>
      <c r="D10" s="49" t="s">
        <v>1057</v>
      </c>
      <c r="E10" s="49" t="s">
        <v>1057</v>
      </c>
      <c r="F10" s="49" t="s">
        <v>22</v>
      </c>
      <c r="G10" s="48">
        <v>0</v>
      </c>
      <c r="H10" s="70"/>
      <c r="I10" s="49"/>
    </row>
    <row r="11" spans="1:9" ht="15.75">
      <c r="A11" s="4">
        <v>10</v>
      </c>
      <c r="B11" s="4">
        <f>ROUNDUP(A11/12,0)</f>
        <v>1</v>
      </c>
      <c r="C11" s="49" t="s">
        <v>1090</v>
      </c>
      <c r="D11" s="49" t="s">
        <v>1057</v>
      </c>
      <c r="E11" s="49" t="s">
        <v>1057</v>
      </c>
      <c r="F11" s="49" t="s">
        <v>23</v>
      </c>
      <c r="G11" s="48">
        <v>0</v>
      </c>
      <c r="H11" s="70"/>
      <c r="I11" s="49"/>
    </row>
    <row r="12" spans="1:9" ht="15.75">
      <c r="A12" s="4">
        <v>11</v>
      </c>
      <c r="B12" s="4">
        <f>ROUNDUP(A12/12,0)</f>
        <v>1</v>
      </c>
      <c r="C12" s="49" t="s">
        <v>1090</v>
      </c>
      <c r="D12" s="49" t="s">
        <v>1057</v>
      </c>
      <c r="E12" s="49" t="s">
        <v>1057</v>
      </c>
      <c r="F12" s="49" t="s">
        <v>24</v>
      </c>
      <c r="G12" s="48">
        <v>0</v>
      </c>
      <c r="H12" s="70"/>
      <c r="I12" s="49"/>
    </row>
    <row r="13" spans="1:9" ht="15.75">
      <c r="A13" s="4">
        <v>12</v>
      </c>
      <c r="B13" s="4">
        <f>ROUNDUP(A13/12,0)</f>
        <v>1</v>
      </c>
      <c r="C13" s="49" t="s">
        <v>1090</v>
      </c>
      <c r="D13" s="49" t="s">
        <v>1057</v>
      </c>
      <c r="E13" s="49" t="s">
        <v>1057</v>
      </c>
      <c r="F13" s="49" t="s">
        <v>25</v>
      </c>
      <c r="G13" s="48">
        <v>0</v>
      </c>
      <c r="H13" s="70"/>
      <c r="I13" s="49"/>
    </row>
    <row r="14" spans="1:9" ht="15.75">
      <c r="A14" s="4">
        <v>13</v>
      </c>
      <c r="B14" s="4">
        <f>ROUNDUP(A14/12,0)</f>
        <v>2</v>
      </c>
      <c r="C14" s="49" t="s">
        <v>1094</v>
      </c>
      <c r="D14" s="49" t="s">
        <v>1032</v>
      </c>
      <c r="E14" s="49" t="s">
        <v>67</v>
      </c>
      <c r="F14" s="49" t="s">
        <v>14</v>
      </c>
      <c r="G14" s="48">
        <v>1</v>
      </c>
      <c r="H14" s="70">
        <v>45804</v>
      </c>
      <c r="I14" s="49" t="s">
        <v>68</v>
      </c>
    </row>
    <row r="15" spans="1:9" ht="15.75">
      <c r="A15" s="4">
        <v>14</v>
      </c>
      <c r="B15" s="4">
        <f>ROUNDUP(A15/12,0)</f>
        <v>2</v>
      </c>
      <c r="C15" s="49" t="s">
        <v>1094</v>
      </c>
      <c r="D15" s="49" t="s">
        <v>1032</v>
      </c>
      <c r="E15" s="49" t="s">
        <v>35</v>
      </c>
      <c r="F15" s="49" t="s">
        <v>15</v>
      </c>
      <c r="G15" s="48">
        <v>1</v>
      </c>
      <c r="H15" s="70"/>
      <c r="I15" s="49" t="s">
        <v>69</v>
      </c>
    </row>
    <row r="16" spans="1:9" ht="15.75">
      <c r="A16" s="4">
        <v>15</v>
      </c>
      <c r="B16" s="4">
        <f>ROUNDUP(A16/12,0)</f>
        <v>2</v>
      </c>
      <c r="C16" s="49" t="s">
        <v>1094</v>
      </c>
      <c r="D16" s="49" t="s">
        <v>1032</v>
      </c>
      <c r="E16" s="49" t="s">
        <v>36</v>
      </c>
      <c r="F16" s="49" t="s">
        <v>16</v>
      </c>
      <c r="G16" s="48">
        <v>1</v>
      </c>
      <c r="H16" s="70"/>
      <c r="I16" s="49"/>
    </row>
    <row r="17" spans="1:9" ht="15.75">
      <c r="A17" s="4">
        <v>16</v>
      </c>
      <c r="B17" s="4">
        <f>ROUNDUP(A17/12,0)</f>
        <v>2</v>
      </c>
      <c r="C17" s="49" t="s">
        <v>1094</v>
      </c>
      <c r="D17" s="49" t="s">
        <v>1032</v>
      </c>
      <c r="E17" s="49" t="s">
        <v>37</v>
      </c>
      <c r="F17" s="49" t="s">
        <v>17</v>
      </c>
      <c r="G17" s="48">
        <v>0</v>
      </c>
      <c r="H17" s="70"/>
      <c r="I17" s="49"/>
    </row>
    <row r="18" spans="1:9" ht="15.75">
      <c r="A18" s="4">
        <v>17</v>
      </c>
      <c r="B18" s="4">
        <f>ROUNDUP(A18/12,0)</f>
        <v>2</v>
      </c>
      <c r="C18" s="49" t="s">
        <v>1094</v>
      </c>
      <c r="D18" s="49" t="s">
        <v>1032</v>
      </c>
      <c r="E18" s="49" t="s">
        <v>38</v>
      </c>
      <c r="F18" s="49" t="s">
        <v>18</v>
      </c>
      <c r="G18" s="48">
        <v>1</v>
      </c>
      <c r="H18" s="70"/>
      <c r="I18" s="49" t="s">
        <v>71</v>
      </c>
    </row>
    <row r="19" spans="1:9" ht="15.75">
      <c r="A19" s="4">
        <v>18</v>
      </c>
      <c r="B19" s="4">
        <f>ROUNDUP(A19/12,0)</f>
        <v>2</v>
      </c>
      <c r="C19" s="49" t="s">
        <v>1094</v>
      </c>
      <c r="D19" s="49" t="s">
        <v>1032</v>
      </c>
      <c r="E19" s="49" t="s">
        <v>39</v>
      </c>
      <c r="F19" s="49" t="s">
        <v>19</v>
      </c>
      <c r="G19" s="48">
        <v>0</v>
      </c>
      <c r="H19" s="70"/>
      <c r="I19" s="49"/>
    </row>
    <row r="20" spans="1:9" ht="15.75">
      <c r="A20" s="4">
        <v>19</v>
      </c>
      <c r="B20" s="4">
        <f>ROUNDUP(A20/12,0)</f>
        <v>2</v>
      </c>
      <c r="C20" s="49" t="s">
        <v>1094</v>
      </c>
      <c r="D20" s="49" t="s">
        <v>1032</v>
      </c>
      <c r="E20" s="49" t="s">
        <v>40</v>
      </c>
      <c r="F20" s="49" t="s">
        <v>20</v>
      </c>
      <c r="G20" s="48">
        <v>0</v>
      </c>
      <c r="H20" s="70"/>
      <c r="I20" s="49"/>
    </row>
    <row r="21" spans="1:9" ht="15.75">
      <c r="A21" s="4">
        <v>20</v>
      </c>
      <c r="B21" s="4">
        <f>ROUNDUP(A21/12,0)</f>
        <v>2</v>
      </c>
      <c r="C21" s="49" t="s">
        <v>1094</v>
      </c>
      <c r="D21" s="49" t="s">
        <v>1032</v>
      </c>
      <c r="E21" s="49" t="s">
        <v>40</v>
      </c>
      <c r="F21" s="49" t="s">
        <v>21</v>
      </c>
      <c r="G21" s="48">
        <v>0</v>
      </c>
      <c r="H21" s="70"/>
      <c r="I21" s="49"/>
    </row>
    <row r="22" spans="1:9" ht="15.75">
      <c r="A22" s="4">
        <v>21</v>
      </c>
      <c r="B22" s="4">
        <f>ROUNDUP(A22/12,0)</f>
        <v>2</v>
      </c>
      <c r="C22" s="49" t="s">
        <v>1094</v>
      </c>
      <c r="D22" s="49" t="s">
        <v>1032</v>
      </c>
      <c r="E22" s="49" t="s">
        <v>41</v>
      </c>
      <c r="F22" s="49" t="s">
        <v>22</v>
      </c>
      <c r="G22" s="48">
        <v>1</v>
      </c>
      <c r="H22" s="70"/>
      <c r="I22" s="49"/>
    </row>
    <row r="23" spans="1:9" ht="15.75">
      <c r="A23" s="4">
        <v>22</v>
      </c>
      <c r="B23" s="4">
        <f>ROUNDUP(A23/12,0)</f>
        <v>2</v>
      </c>
      <c r="C23" s="49" t="s">
        <v>1094</v>
      </c>
      <c r="D23" s="49" t="s">
        <v>1032</v>
      </c>
      <c r="E23" s="49" t="s">
        <v>42</v>
      </c>
      <c r="F23" s="49" t="s">
        <v>23</v>
      </c>
      <c r="G23" s="48">
        <v>0</v>
      </c>
      <c r="H23" s="70"/>
      <c r="I23" s="49"/>
    </row>
    <row r="24" spans="1:9" ht="15.75">
      <c r="A24" s="4">
        <v>23</v>
      </c>
      <c r="B24" s="4">
        <f>ROUNDUP(A24/12,0)</f>
        <v>2</v>
      </c>
      <c r="C24" s="49" t="s">
        <v>1094</v>
      </c>
      <c r="D24" s="49" t="s">
        <v>1032</v>
      </c>
      <c r="E24" s="49" t="s">
        <v>43</v>
      </c>
      <c r="F24" s="49" t="s">
        <v>24</v>
      </c>
      <c r="G24" s="48">
        <v>0</v>
      </c>
      <c r="H24" s="70"/>
      <c r="I24" s="49"/>
    </row>
    <row r="25" spans="1:9" ht="15.75">
      <c r="A25" s="4">
        <v>24</v>
      </c>
      <c r="B25" s="4">
        <f>ROUNDUP(A25/12,0)</f>
        <v>2</v>
      </c>
      <c r="C25" s="49" t="s">
        <v>1094</v>
      </c>
      <c r="D25" s="49" t="s">
        <v>1032</v>
      </c>
      <c r="E25" s="49" t="s">
        <v>44</v>
      </c>
      <c r="F25" s="49" t="s">
        <v>25</v>
      </c>
      <c r="G25" s="48">
        <v>0</v>
      </c>
      <c r="H25" s="70"/>
      <c r="I25" s="49"/>
    </row>
    <row r="26" spans="1:9" ht="15.75">
      <c r="A26" s="4">
        <v>25</v>
      </c>
      <c r="B26" s="4">
        <f>ROUNDUP(A26/12,0)</f>
        <v>3</v>
      </c>
      <c r="C26" s="49" t="s">
        <v>1094</v>
      </c>
      <c r="D26" s="49" t="s">
        <v>72</v>
      </c>
      <c r="E26" s="49" t="s">
        <v>73</v>
      </c>
      <c r="F26" s="49" t="s">
        <v>14</v>
      </c>
      <c r="G26" s="48">
        <v>1</v>
      </c>
      <c r="H26" s="70">
        <v>45960</v>
      </c>
      <c r="I26" s="49" t="s">
        <v>74</v>
      </c>
    </row>
    <row r="27" spans="1:9" ht="15.75">
      <c r="A27" s="4">
        <v>26</v>
      </c>
      <c r="B27" s="4">
        <f>ROUNDUP(A27/12,0)</f>
        <v>3</v>
      </c>
      <c r="C27" s="49" t="s">
        <v>1094</v>
      </c>
      <c r="D27" s="49" t="s">
        <v>72</v>
      </c>
      <c r="E27" s="49" t="s">
        <v>35</v>
      </c>
      <c r="F27" s="49" t="s">
        <v>15</v>
      </c>
      <c r="G27" s="48">
        <v>1</v>
      </c>
      <c r="H27" s="70"/>
      <c r="I27" s="49" t="s">
        <v>75</v>
      </c>
    </row>
    <row r="28" spans="1:9" ht="15.75">
      <c r="A28" s="4">
        <v>27</v>
      </c>
      <c r="B28" s="4">
        <f>ROUNDUP(A28/12,0)</f>
        <v>3</v>
      </c>
      <c r="C28" s="49" t="s">
        <v>1094</v>
      </c>
      <c r="D28" s="49" t="s">
        <v>72</v>
      </c>
      <c r="E28" s="49" t="s">
        <v>36</v>
      </c>
      <c r="F28" s="49" t="s">
        <v>16</v>
      </c>
      <c r="G28" s="48">
        <v>1</v>
      </c>
      <c r="H28" s="70"/>
      <c r="I28" s="49"/>
    </row>
    <row r="29" spans="1:9" ht="15.75">
      <c r="A29" s="4">
        <v>28</v>
      </c>
      <c r="B29" s="4">
        <f>ROUNDUP(A29/12,0)</f>
        <v>3</v>
      </c>
      <c r="C29" s="49" t="s">
        <v>1094</v>
      </c>
      <c r="D29" s="49" t="s">
        <v>72</v>
      </c>
      <c r="E29" s="49" t="s">
        <v>37</v>
      </c>
      <c r="F29" s="49" t="s">
        <v>17</v>
      </c>
      <c r="G29" s="48">
        <v>0</v>
      </c>
      <c r="H29" s="70"/>
      <c r="I29" s="49"/>
    </row>
    <row r="30" spans="1:9" ht="15.75">
      <c r="A30" s="4">
        <v>29</v>
      </c>
      <c r="B30" s="4">
        <f>ROUNDUP(A30/12,0)</f>
        <v>3</v>
      </c>
      <c r="C30" s="49" t="s">
        <v>1094</v>
      </c>
      <c r="D30" s="49" t="s">
        <v>72</v>
      </c>
      <c r="E30" s="49" t="s">
        <v>38</v>
      </c>
      <c r="F30" s="49" t="s">
        <v>18</v>
      </c>
      <c r="G30" s="48">
        <v>0</v>
      </c>
      <c r="H30" s="70"/>
      <c r="I30" s="49"/>
    </row>
    <row r="31" spans="1:9" ht="15.75">
      <c r="A31" s="4">
        <v>30</v>
      </c>
      <c r="B31" s="4">
        <f>ROUNDUP(A31/12,0)</f>
        <v>3</v>
      </c>
      <c r="C31" s="49" t="s">
        <v>1094</v>
      </c>
      <c r="D31" s="49" t="s">
        <v>72</v>
      </c>
      <c r="E31" s="49" t="s">
        <v>39</v>
      </c>
      <c r="F31" s="49" t="s">
        <v>19</v>
      </c>
      <c r="G31" s="48">
        <v>0</v>
      </c>
      <c r="H31" s="70"/>
      <c r="I31" s="49"/>
    </row>
    <row r="32" spans="1:9" ht="15.75">
      <c r="A32" s="4">
        <v>31</v>
      </c>
      <c r="B32" s="4">
        <f>ROUNDUP(A32/12,0)</f>
        <v>3</v>
      </c>
      <c r="C32" s="49" t="s">
        <v>1094</v>
      </c>
      <c r="D32" s="49" t="s">
        <v>72</v>
      </c>
      <c r="E32" s="49" t="s">
        <v>40</v>
      </c>
      <c r="F32" s="49" t="s">
        <v>20</v>
      </c>
      <c r="G32" s="48">
        <v>0</v>
      </c>
      <c r="H32" s="70"/>
      <c r="I32" s="49"/>
    </row>
    <row r="33" spans="1:9" ht="15.75">
      <c r="A33" s="4">
        <v>32</v>
      </c>
      <c r="B33" s="4">
        <f>ROUNDUP(A33/12,0)</f>
        <v>3</v>
      </c>
      <c r="C33" s="49" t="s">
        <v>1094</v>
      </c>
      <c r="D33" s="49" t="s">
        <v>72</v>
      </c>
      <c r="E33" s="49" t="s">
        <v>40</v>
      </c>
      <c r="F33" s="49" t="s">
        <v>21</v>
      </c>
      <c r="G33" s="48">
        <v>0</v>
      </c>
      <c r="H33" s="70"/>
      <c r="I33" s="49"/>
    </row>
    <row r="34" spans="1:9" ht="15.75">
      <c r="A34" s="4">
        <v>33</v>
      </c>
      <c r="B34" s="4">
        <f>ROUNDUP(A34/12,0)</f>
        <v>3</v>
      </c>
      <c r="C34" s="49" t="s">
        <v>1094</v>
      </c>
      <c r="D34" s="49" t="s">
        <v>72</v>
      </c>
      <c r="E34" s="49" t="s">
        <v>41</v>
      </c>
      <c r="F34" s="49" t="s">
        <v>22</v>
      </c>
      <c r="G34" s="48">
        <v>1</v>
      </c>
      <c r="H34" s="70"/>
      <c r="I34" s="49"/>
    </row>
    <row r="35" spans="1:9" ht="15.75">
      <c r="A35" s="4">
        <v>34</v>
      </c>
      <c r="B35" s="4">
        <f>ROUNDUP(A35/12,0)</f>
        <v>3</v>
      </c>
      <c r="C35" s="49" t="s">
        <v>1094</v>
      </c>
      <c r="D35" s="49" t="s">
        <v>72</v>
      </c>
      <c r="E35" s="49" t="s">
        <v>42</v>
      </c>
      <c r="F35" s="49" t="s">
        <v>23</v>
      </c>
      <c r="G35" s="48">
        <v>0</v>
      </c>
      <c r="H35" s="70"/>
      <c r="I35" s="49"/>
    </row>
    <row r="36" spans="1:9" ht="15.75">
      <c r="A36" s="4">
        <v>35</v>
      </c>
      <c r="B36" s="4">
        <f>ROUNDUP(A36/12,0)</f>
        <v>3</v>
      </c>
      <c r="C36" s="49" t="s">
        <v>1094</v>
      </c>
      <c r="D36" s="49" t="s">
        <v>72</v>
      </c>
      <c r="E36" s="49" t="s">
        <v>43</v>
      </c>
      <c r="F36" s="49" t="s">
        <v>24</v>
      </c>
      <c r="G36" s="48">
        <v>0</v>
      </c>
      <c r="H36" s="70"/>
      <c r="I36" s="49"/>
    </row>
    <row r="37" spans="1:9" ht="15.75">
      <c r="A37" s="4">
        <v>36</v>
      </c>
      <c r="B37" s="4">
        <f>ROUNDUP(A37/12,0)</f>
        <v>3</v>
      </c>
      <c r="C37" s="49" t="s">
        <v>1094</v>
      </c>
      <c r="D37" s="49" t="s">
        <v>72</v>
      </c>
      <c r="E37" s="49" t="s">
        <v>44</v>
      </c>
      <c r="F37" s="49" t="s">
        <v>25</v>
      </c>
      <c r="G37" s="48">
        <v>0</v>
      </c>
      <c r="H37" s="70"/>
      <c r="I37" s="49"/>
    </row>
    <row r="38" spans="1:9" ht="15.75">
      <c r="A38" s="4">
        <v>37</v>
      </c>
      <c r="B38" s="4">
        <f>ROUNDUP(A38/12,0)</f>
        <v>4</v>
      </c>
      <c r="C38" s="49" t="s">
        <v>1095</v>
      </c>
      <c r="D38" s="49" t="s">
        <v>84</v>
      </c>
      <c r="E38" s="49" t="s">
        <v>34</v>
      </c>
      <c r="F38" s="49" t="s">
        <v>14</v>
      </c>
      <c r="G38" s="48">
        <v>0</v>
      </c>
      <c r="H38" s="70"/>
      <c r="I38" s="49"/>
    </row>
    <row r="39" spans="1:9" ht="15.75">
      <c r="A39" s="4">
        <v>38</v>
      </c>
      <c r="B39" s="4">
        <f>ROUNDUP(A39/12,0)</f>
        <v>4</v>
      </c>
      <c r="C39" s="49" t="s">
        <v>1095</v>
      </c>
      <c r="D39" s="49" t="s">
        <v>84</v>
      </c>
      <c r="E39" s="49" t="s">
        <v>35</v>
      </c>
      <c r="F39" s="49" t="s">
        <v>15</v>
      </c>
      <c r="G39" s="48">
        <v>0</v>
      </c>
      <c r="H39" s="70"/>
      <c r="I39" s="49"/>
    </row>
    <row r="40" spans="1:9" ht="15.75">
      <c r="A40" s="4">
        <v>39</v>
      </c>
      <c r="B40" s="4">
        <f>ROUNDUP(A40/12,0)</f>
        <v>4</v>
      </c>
      <c r="C40" s="49" t="s">
        <v>1095</v>
      </c>
      <c r="D40" s="49" t="s">
        <v>84</v>
      </c>
      <c r="E40" s="49" t="s">
        <v>36</v>
      </c>
      <c r="F40" s="49" t="s">
        <v>16</v>
      </c>
      <c r="G40" s="48">
        <v>0</v>
      </c>
      <c r="H40" s="70"/>
      <c r="I40" s="49"/>
    </row>
    <row r="41" spans="1:9" ht="15.75">
      <c r="A41" s="4">
        <v>40</v>
      </c>
      <c r="B41" s="4">
        <f>ROUNDUP(A41/12,0)</f>
        <v>4</v>
      </c>
      <c r="C41" s="49" t="s">
        <v>1095</v>
      </c>
      <c r="D41" s="49" t="s">
        <v>84</v>
      </c>
      <c r="E41" s="49" t="s">
        <v>37</v>
      </c>
      <c r="F41" s="49" t="s">
        <v>17</v>
      </c>
      <c r="G41" s="48">
        <v>0</v>
      </c>
      <c r="H41" s="70"/>
      <c r="I41" s="49"/>
    </row>
    <row r="42" spans="1:9" ht="15.75">
      <c r="A42" s="4">
        <v>41</v>
      </c>
      <c r="B42" s="4">
        <f>ROUNDUP(A42/12,0)</f>
        <v>4</v>
      </c>
      <c r="C42" s="49" t="s">
        <v>1095</v>
      </c>
      <c r="D42" s="49" t="s">
        <v>84</v>
      </c>
      <c r="E42" s="49" t="s">
        <v>38</v>
      </c>
      <c r="F42" s="49" t="s">
        <v>18</v>
      </c>
      <c r="G42" s="48">
        <v>1</v>
      </c>
      <c r="H42" s="70"/>
      <c r="I42" s="49" t="s">
        <v>86</v>
      </c>
    </row>
    <row r="43" spans="1:9" ht="15.75">
      <c r="A43" s="4">
        <v>42</v>
      </c>
      <c r="B43" s="4">
        <f>ROUNDUP(A43/12,0)</f>
        <v>4</v>
      </c>
      <c r="C43" s="49" t="s">
        <v>1095</v>
      </c>
      <c r="D43" s="49" t="s">
        <v>84</v>
      </c>
      <c r="E43" s="49" t="s">
        <v>39</v>
      </c>
      <c r="F43" s="49" t="s">
        <v>19</v>
      </c>
      <c r="G43" s="48">
        <v>0</v>
      </c>
      <c r="H43" s="70"/>
      <c r="I43" s="49"/>
    </row>
    <row r="44" spans="1:9" ht="15.75">
      <c r="A44" s="4">
        <v>43</v>
      </c>
      <c r="B44" s="4">
        <f>ROUNDUP(A44/12,0)</f>
        <v>4</v>
      </c>
      <c r="C44" s="49" t="s">
        <v>1095</v>
      </c>
      <c r="D44" s="49" t="s">
        <v>84</v>
      </c>
      <c r="E44" s="49" t="s">
        <v>40</v>
      </c>
      <c r="F44" s="49" t="s">
        <v>20</v>
      </c>
      <c r="G44" s="48">
        <v>0</v>
      </c>
      <c r="H44" s="70"/>
      <c r="I44" s="49"/>
    </row>
    <row r="45" spans="1:9" ht="15.75">
      <c r="A45" s="4">
        <v>44</v>
      </c>
      <c r="B45" s="4">
        <f>ROUNDUP(A45/12,0)</f>
        <v>4</v>
      </c>
      <c r="C45" s="49" t="s">
        <v>1095</v>
      </c>
      <c r="D45" s="49" t="s">
        <v>84</v>
      </c>
      <c r="E45" s="49" t="s">
        <v>40</v>
      </c>
      <c r="F45" s="49" t="s">
        <v>21</v>
      </c>
      <c r="G45" s="48">
        <v>0</v>
      </c>
      <c r="H45" s="70"/>
      <c r="I45" s="49"/>
    </row>
    <row r="46" spans="1:9" ht="15.75">
      <c r="A46" s="4">
        <v>45</v>
      </c>
      <c r="B46" s="4">
        <f>ROUNDUP(A46/12,0)</f>
        <v>4</v>
      </c>
      <c r="C46" s="49" t="s">
        <v>1095</v>
      </c>
      <c r="D46" s="49" t="s">
        <v>84</v>
      </c>
      <c r="E46" s="49" t="s">
        <v>41</v>
      </c>
      <c r="F46" s="49" t="s">
        <v>22</v>
      </c>
      <c r="G46" s="48">
        <v>0</v>
      </c>
      <c r="H46" s="70"/>
      <c r="I46" s="49"/>
    </row>
    <row r="47" spans="1:9" ht="15.75">
      <c r="A47" s="4">
        <v>46</v>
      </c>
      <c r="B47" s="4">
        <f>ROUNDUP(A47/12,0)</f>
        <v>4</v>
      </c>
      <c r="C47" s="49" t="s">
        <v>1095</v>
      </c>
      <c r="D47" s="49" t="s">
        <v>84</v>
      </c>
      <c r="E47" s="49" t="s">
        <v>42</v>
      </c>
      <c r="F47" s="49" t="s">
        <v>23</v>
      </c>
      <c r="G47" s="48">
        <v>0</v>
      </c>
      <c r="H47" s="70"/>
      <c r="I47" s="49"/>
    </row>
    <row r="48" spans="1:9" ht="15.75">
      <c r="A48" s="4">
        <v>47</v>
      </c>
      <c r="B48" s="4">
        <f>ROUNDUP(A48/12,0)</f>
        <v>4</v>
      </c>
      <c r="C48" s="49" t="s">
        <v>1089</v>
      </c>
      <c r="D48" s="49" t="s">
        <v>1045</v>
      </c>
      <c r="E48" s="49" t="s">
        <v>1045</v>
      </c>
      <c r="F48" s="49" t="s">
        <v>24</v>
      </c>
      <c r="G48" s="48">
        <v>0</v>
      </c>
      <c r="H48" s="70"/>
      <c r="I48" s="49"/>
    </row>
    <row r="49" spans="1:9" ht="15.75">
      <c r="A49" s="4">
        <v>48</v>
      </c>
      <c r="B49" s="4">
        <f>ROUNDUP(A49/12,0)</f>
        <v>4</v>
      </c>
      <c r="C49" s="49" t="s">
        <v>1089</v>
      </c>
      <c r="D49" s="49" t="s">
        <v>1045</v>
      </c>
      <c r="E49" s="49" t="s">
        <v>1045</v>
      </c>
      <c r="F49" s="49" t="s">
        <v>25</v>
      </c>
      <c r="G49" s="48">
        <v>0</v>
      </c>
      <c r="H49" s="70"/>
      <c r="I49" s="49"/>
    </row>
    <row r="50" spans="1:9" ht="15.75">
      <c r="A50" s="4">
        <v>49</v>
      </c>
      <c r="B50" s="4">
        <f>ROUNDUP(A50/12,0)</f>
        <v>5</v>
      </c>
      <c r="C50" s="49" t="s">
        <v>1096</v>
      </c>
      <c r="D50" s="49" t="s">
        <v>99</v>
      </c>
      <c r="E50" s="49" t="s">
        <v>100</v>
      </c>
      <c r="F50" s="49" t="s">
        <v>14</v>
      </c>
      <c r="G50" s="48">
        <v>1</v>
      </c>
      <c r="H50" s="70">
        <v>44249</v>
      </c>
      <c r="I50" s="49" t="s">
        <v>101</v>
      </c>
    </row>
    <row r="51" spans="1:9" ht="15.75">
      <c r="A51" s="4">
        <v>50</v>
      </c>
      <c r="B51" s="4">
        <f>ROUNDUP(A51/12,0)</f>
        <v>5</v>
      </c>
      <c r="C51" s="49" t="s">
        <v>1096</v>
      </c>
      <c r="D51" s="49" t="s">
        <v>99</v>
      </c>
      <c r="E51" s="49" t="s">
        <v>102</v>
      </c>
      <c r="F51" s="49" t="s">
        <v>15</v>
      </c>
      <c r="G51" s="48">
        <v>1</v>
      </c>
      <c r="H51" s="70"/>
      <c r="I51" s="49" t="s">
        <v>103</v>
      </c>
    </row>
    <row r="52" spans="1:9" ht="15.75">
      <c r="A52" s="4">
        <v>51</v>
      </c>
      <c r="B52" s="4">
        <f>ROUNDUP(A52/12,0)</f>
        <v>5</v>
      </c>
      <c r="C52" s="49" t="s">
        <v>1096</v>
      </c>
      <c r="D52" s="49" t="s">
        <v>99</v>
      </c>
      <c r="E52" s="49" t="s">
        <v>104</v>
      </c>
      <c r="F52" s="49" t="s">
        <v>16</v>
      </c>
      <c r="G52" s="48">
        <v>1</v>
      </c>
      <c r="H52" s="70"/>
      <c r="I52" s="49"/>
    </row>
    <row r="53" spans="1:9" ht="15.75">
      <c r="A53" s="4">
        <v>52</v>
      </c>
      <c r="B53" s="4">
        <f>ROUNDUP(A53/12,0)</f>
        <v>5</v>
      </c>
      <c r="C53" s="49" t="s">
        <v>1096</v>
      </c>
      <c r="D53" s="49" t="s">
        <v>99</v>
      </c>
      <c r="E53" s="49" t="s">
        <v>105</v>
      </c>
      <c r="F53" s="49" t="s">
        <v>17</v>
      </c>
      <c r="G53" s="48">
        <v>0</v>
      </c>
      <c r="H53" s="70"/>
      <c r="I53" s="49"/>
    </row>
    <row r="54" spans="1:9" ht="15.75">
      <c r="A54" s="4">
        <v>53</v>
      </c>
      <c r="B54" s="4">
        <f>ROUNDUP(A54/12,0)</f>
        <v>5</v>
      </c>
      <c r="C54" s="49" t="s">
        <v>1096</v>
      </c>
      <c r="D54" s="49" t="s">
        <v>99</v>
      </c>
      <c r="E54" s="49" t="s">
        <v>38</v>
      </c>
      <c r="F54" s="49" t="s">
        <v>18</v>
      </c>
      <c r="G54" s="48">
        <v>0</v>
      </c>
      <c r="H54" s="70"/>
      <c r="I54" s="49"/>
    </row>
    <row r="55" spans="1:9" ht="15.75">
      <c r="A55" s="4">
        <v>54</v>
      </c>
      <c r="B55" s="4">
        <f>ROUNDUP(A55/12,0)</f>
        <v>5</v>
      </c>
      <c r="C55" s="49" t="s">
        <v>1096</v>
      </c>
      <c r="D55" s="49" t="s">
        <v>99</v>
      </c>
      <c r="E55" s="49" t="s">
        <v>106</v>
      </c>
      <c r="F55" s="49" t="s">
        <v>19</v>
      </c>
      <c r="G55" s="48">
        <v>0</v>
      </c>
      <c r="H55" s="70"/>
      <c r="I55" s="49"/>
    </row>
    <row r="56" spans="1:9" ht="15.75">
      <c r="A56" s="4">
        <v>55</v>
      </c>
      <c r="B56" s="4">
        <f>ROUNDUP(A56/12,0)</f>
        <v>5</v>
      </c>
      <c r="C56" s="49" t="s">
        <v>1096</v>
      </c>
      <c r="D56" s="49" t="s">
        <v>99</v>
      </c>
      <c r="E56" s="49" t="s">
        <v>107</v>
      </c>
      <c r="F56" s="49" t="s">
        <v>20</v>
      </c>
      <c r="G56" s="48">
        <v>0</v>
      </c>
      <c r="H56" s="70"/>
      <c r="I56" s="49"/>
    </row>
    <row r="57" spans="1:9" ht="15.75">
      <c r="A57" s="4">
        <v>56</v>
      </c>
      <c r="B57" s="4">
        <f>ROUNDUP(A57/12,0)</f>
        <v>5</v>
      </c>
      <c r="C57" s="49" t="s">
        <v>1096</v>
      </c>
      <c r="D57" s="49" t="s">
        <v>99</v>
      </c>
      <c r="E57" s="49" t="s">
        <v>107</v>
      </c>
      <c r="F57" s="49" t="s">
        <v>21</v>
      </c>
      <c r="G57" s="48">
        <v>0</v>
      </c>
      <c r="H57" s="70"/>
      <c r="I57" s="49"/>
    </row>
    <row r="58" spans="1:9" ht="15.75">
      <c r="A58" s="4">
        <v>57</v>
      </c>
      <c r="B58" s="4">
        <f>ROUNDUP(A58/12,0)</f>
        <v>5</v>
      </c>
      <c r="C58" s="49" t="s">
        <v>1096</v>
      </c>
      <c r="D58" s="49" t="s">
        <v>99</v>
      </c>
      <c r="E58" s="49" t="s">
        <v>108</v>
      </c>
      <c r="F58" s="49" t="s">
        <v>22</v>
      </c>
      <c r="G58" s="48">
        <v>0</v>
      </c>
      <c r="H58" s="70"/>
      <c r="I58" s="49"/>
    </row>
    <row r="59" spans="1:9" ht="15.75">
      <c r="A59" s="4">
        <v>58</v>
      </c>
      <c r="B59" s="4">
        <f>ROUNDUP(A59/12,0)</f>
        <v>5</v>
      </c>
      <c r="C59" s="49" t="s">
        <v>1096</v>
      </c>
      <c r="D59" s="49" t="s">
        <v>99</v>
      </c>
      <c r="E59" s="49" t="s">
        <v>109</v>
      </c>
      <c r="F59" s="49" t="s">
        <v>23</v>
      </c>
      <c r="G59" s="48">
        <v>0</v>
      </c>
      <c r="H59" s="70"/>
      <c r="I59" s="49"/>
    </row>
    <row r="60" spans="1:9" ht="15.75">
      <c r="A60" s="4">
        <v>59</v>
      </c>
      <c r="B60" s="4">
        <f>ROUNDUP(A60/12,0)</f>
        <v>5</v>
      </c>
      <c r="C60" s="49" t="s">
        <v>1096</v>
      </c>
      <c r="D60" s="49" t="s">
        <v>99</v>
      </c>
      <c r="E60" s="49" t="s">
        <v>110</v>
      </c>
      <c r="F60" s="49" t="s">
        <v>24</v>
      </c>
      <c r="G60" s="48">
        <v>0</v>
      </c>
      <c r="H60" s="70"/>
      <c r="I60" s="49"/>
    </row>
    <row r="61" spans="1:9" ht="15.75">
      <c r="A61" s="4">
        <v>60</v>
      </c>
      <c r="B61" s="4">
        <f>ROUNDUP(A61/12,0)</f>
        <v>5</v>
      </c>
      <c r="C61" s="49" t="s">
        <v>1096</v>
      </c>
      <c r="D61" s="49" t="s">
        <v>99</v>
      </c>
      <c r="E61" s="49" t="s">
        <v>111</v>
      </c>
      <c r="F61" s="49" t="s">
        <v>25</v>
      </c>
      <c r="G61" s="48">
        <v>0</v>
      </c>
      <c r="H61" s="70"/>
      <c r="I61" s="49"/>
    </row>
    <row r="62" spans="1:9" ht="15.75">
      <c r="A62" s="4">
        <v>61</v>
      </c>
      <c r="B62" s="4">
        <f>ROUNDUP(A62/12,0)</f>
        <v>6</v>
      </c>
      <c r="C62" s="49" t="s">
        <v>1096</v>
      </c>
      <c r="D62" s="49" t="s">
        <v>112</v>
      </c>
      <c r="E62" s="49" t="s">
        <v>100</v>
      </c>
      <c r="F62" s="49" t="s">
        <v>14</v>
      </c>
      <c r="G62" s="48">
        <v>1</v>
      </c>
      <c r="H62" s="70">
        <v>44233</v>
      </c>
      <c r="I62" s="49" t="s">
        <v>113</v>
      </c>
    </row>
    <row r="63" spans="1:9" ht="15.75">
      <c r="A63" s="4">
        <v>62</v>
      </c>
      <c r="B63" s="4">
        <f>ROUNDUP(A63/12,0)</f>
        <v>6</v>
      </c>
      <c r="C63" s="49" t="s">
        <v>1096</v>
      </c>
      <c r="D63" s="49" t="s">
        <v>112</v>
      </c>
      <c r="E63" s="49" t="s">
        <v>35</v>
      </c>
      <c r="F63" s="49" t="s">
        <v>15</v>
      </c>
      <c r="G63" s="48">
        <v>1</v>
      </c>
      <c r="H63" s="70"/>
      <c r="I63" s="49" t="s">
        <v>114</v>
      </c>
    </row>
    <row r="64" spans="1:9" ht="15.75">
      <c r="A64" s="4">
        <v>63</v>
      </c>
      <c r="B64" s="4">
        <f>ROUNDUP(A64/12,0)</f>
        <v>6</v>
      </c>
      <c r="C64" s="49" t="s">
        <v>1096</v>
      </c>
      <c r="D64" s="49" t="s">
        <v>112</v>
      </c>
      <c r="E64" s="49" t="s">
        <v>36</v>
      </c>
      <c r="F64" s="49" t="s">
        <v>16</v>
      </c>
      <c r="G64" s="48">
        <v>1</v>
      </c>
      <c r="H64" s="70"/>
      <c r="I64" s="49"/>
    </row>
    <row r="65" spans="1:9" ht="15.75">
      <c r="A65" s="4">
        <v>64</v>
      </c>
      <c r="B65" s="4">
        <f>ROUNDUP(A65/12,0)</f>
        <v>6</v>
      </c>
      <c r="C65" s="49" t="s">
        <v>1096</v>
      </c>
      <c r="D65" s="49" t="s">
        <v>112</v>
      </c>
      <c r="E65" s="49" t="s">
        <v>37</v>
      </c>
      <c r="F65" s="49" t="s">
        <v>17</v>
      </c>
      <c r="G65" s="48">
        <v>0</v>
      </c>
      <c r="H65" s="70"/>
      <c r="I65" s="49"/>
    </row>
    <row r="66" spans="1:9" ht="15.75">
      <c r="A66" s="4">
        <v>65</v>
      </c>
      <c r="B66" s="4">
        <f>ROUNDUP(A66/12,0)</f>
        <v>6</v>
      </c>
      <c r="C66" s="49" t="s">
        <v>1096</v>
      </c>
      <c r="D66" s="49" t="s">
        <v>112</v>
      </c>
      <c r="E66" s="49" t="s">
        <v>38</v>
      </c>
      <c r="F66" s="49" t="s">
        <v>18</v>
      </c>
      <c r="G66" s="48">
        <v>0</v>
      </c>
      <c r="H66" s="70"/>
      <c r="I66" s="49"/>
    </row>
    <row r="67" spans="1:9" ht="15.75">
      <c r="A67" s="4">
        <v>66</v>
      </c>
      <c r="B67" s="4">
        <f>ROUNDUP(A67/12,0)</f>
        <v>6</v>
      </c>
      <c r="C67" s="49" t="s">
        <v>1096</v>
      </c>
      <c r="D67" s="49" t="s">
        <v>112</v>
      </c>
      <c r="E67" s="49" t="s">
        <v>39</v>
      </c>
      <c r="F67" s="49" t="s">
        <v>19</v>
      </c>
      <c r="G67" s="48">
        <v>0</v>
      </c>
      <c r="H67" s="70"/>
      <c r="I67" s="49"/>
    </row>
    <row r="68" spans="1:9" ht="15.75">
      <c r="A68" s="4">
        <v>67</v>
      </c>
      <c r="B68" s="4">
        <f>ROUNDUP(A68/12,0)</f>
        <v>6</v>
      </c>
      <c r="C68" s="49" t="s">
        <v>1096</v>
      </c>
      <c r="D68" s="49" t="s">
        <v>112</v>
      </c>
      <c r="E68" s="49" t="s">
        <v>40</v>
      </c>
      <c r="F68" s="49" t="s">
        <v>20</v>
      </c>
      <c r="G68" s="48">
        <v>0</v>
      </c>
      <c r="H68" s="70"/>
      <c r="I68" s="49"/>
    </row>
    <row r="69" spans="1:9" ht="15.75">
      <c r="A69" s="4">
        <v>68</v>
      </c>
      <c r="B69" s="4">
        <f>ROUNDUP(A69/12,0)</f>
        <v>6</v>
      </c>
      <c r="C69" s="49" t="s">
        <v>1096</v>
      </c>
      <c r="D69" s="49" t="s">
        <v>112</v>
      </c>
      <c r="E69" s="49" t="s">
        <v>40</v>
      </c>
      <c r="F69" s="49" t="s">
        <v>21</v>
      </c>
      <c r="G69" s="48">
        <v>0</v>
      </c>
      <c r="H69" s="70"/>
      <c r="I69" s="49"/>
    </row>
    <row r="70" spans="1:9" ht="15.75">
      <c r="A70" s="4">
        <v>69</v>
      </c>
      <c r="B70" s="4">
        <f>ROUNDUP(A70/12,0)</f>
        <v>6</v>
      </c>
      <c r="C70" s="49" t="s">
        <v>1096</v>
      </c>
      <c r="D70" s="49" t="s">
        <v>112</v>
      </c>
      <c r="E70" s="49" t="s">
        <v>41</v>
      </c>
      <c r="F70" s="49" t="s">
        <v>22</v>
      </c>
      <c r="G70" s="48">
        <v>1</v>
      </c>
      <c r="H70" s="70"/>
      <c r="I70" s="49"/>
    </row>
    <row r="71" spans="1:9" ht="15.75">
      <c r="A71" s="4">
        <v>70</v>
      </c>
      <c r="B71" s="4">
        <f>ROUNDUP(A71/12,0)</f>
        <v>6</v>
      </c>
      <c r="C71" s="49" t="s">
        <v>1096</v>
      </c>
      <c r="D71" s="49" t="s">
        <v>112</v>
      </c>
      <c r="E71" s="49" t="s">
        <v>42</v>
      </c>
      <c r="F71" s="49" t="s">
        <v>23</v>
      </c>
      <c r="G71" s="48">
        <v>0</v>
      </c>
      <c r="H71" s="70"/>
      <c r="I71" s="49"/>
    </row>
    <row r="72" spans="1:9" ht="15.75">
      <c r="A72" s="4">
        <v>71</v>
      </c>
      <c r="B72" s="4">
        <f>ROUNDUP(A72/12,0)</f>
        <v>6</v>
      </c>
      <c r="C72" s="49" t="s">
        <v>1096</v>
      </c>
      <c r="D72" s="49" t="s">
        <v>112</v>
      </c>
      <c r="E72" s="49" t="s">
        <v>43</v>
      </c>
      <c r="F72" s="49" t="s">
        <v>24</v>
      </c>
      <c r="G72" s="48">
        <v>0</v>
      </c>
      <c r="H72" s="70"/>
      <c r="I72" s="49"/>
    </row>
    <row r="73" spans="1:9" ht="15.75">
      <c r="A73" s="4">
        <v>72</v>
      </c>
      <c r="B73" s="4">
        <f>ROUNDUP(A73/12,0)</f>
        <v>6</v>
      </c>
      <c r="C73" s="49" t="s">
        <v>1096</v>
      </c>
      <c r="D73" s="49" t="s">
        <v>112</v>
      </c>
      <c r="E73" s="49" t="s">
        <v>44</v>
      </c>
      <c r="F73" s="49" t="s">
        <v>25</v>
      </c>
      <c r="G73" s="48">
        <v>0</v>
      </c>
      <c r="H73" s="70"/>
      <c r="I73" s="49"/>
    </row>
    <row r="74" spans="1:9" ht="15.75">
      <c r="A74" s="4">
        <v>73</v>
      </c>
      <c r="B74" s="4">
        <f>ROUNDUP(A74/12,0)</f>
        <v>7</v>
      </c>
      <c r="C74" s="49" t="s">
        <v>1096</v>
      </c>
      <c r="D74" s="49" t="s">
        <v>115</v>
      </c>
      <c r="E74" s="49" t="s">
        <v>100</v>
      </c>
      <c r="F74" s="49" t="s">
        <v>14</v>
      </c>
      <c r="G74" s="48">
        <v>1</v>
      </c>
      <c r="H74" s="70">
        <v>44249</v>
      </c>
      <c r="I74" s="49" t="s">
        <v>116</v>
      </c>
    </row>
    <row r="75" spans="1:9" ht="15.75">
      <c r="A75" s="4">
        <v>74</v>
      </c>
      <c r="B75" s="4">
        <f>ROUNDUP(A75/12,0)</f>
        <v>7</v>
      </c>
      <c r="C75" s="49" t="s">
        <v>1096</v>
      </c>
      <c r="D75" s="49" t="s">
        <v>115</v>
      </c>
      <c r="E75" s="49" t="s">
        <v>35</v>
      </c>
      <c r="F75" s="49" t="s">
        <v>15</v>
      </c>
      <c r="G75" s="48">
        <v>1</v>
      </c>
      <c r="H75" s="70"/>
      <c r="I75" s="49" t="s">
        <v>117</v>
      </c>
    </row>
    <row r="76" spans="1:9" ht="15.75">
      <c r="A76" s="4">
        <v>75</v>
      </c>
      <c r="B76" s="4">
        <f>ROUNDUP(A76/12,0)</f>
        <v>7</v>
      </c>
      <c r="C76" s="49" t="s">
        <v>1096</v>
      </c>
      <c r="D76" s="49" t="s">
        <v>115</v>
      </c>
      <c r="E76" s="49" t="s">
        <v>36</v>
      </c>
      <c r="F76" s="49" t="s">
        <v>16</v>
      </c>
      <c r="G76" s="48">
        <v>1</v>
      </c>
      <c r="H76" s="70"/>
      <c r="I76" s="49"/>
    </row>
    <row r="77" spans="1:9" ht="15.75">
      <c r="A77" s="4">
        <v>76</v>
      </c>
      <c r="B77" s="4">
        <f>ROUNDUP(A77/12,0)</f>
        <v>7</v>
      </c>
      <c r="C77" s="49" t="s">
        <v>1096</v>
      </c>
      <c r="D77" s="49" t="s">
        <v>115</v>
      </c>
      <c r="E77" s="49" t="s">
        <v>37</v>
      </c>
      <c r="F77" s="49" t="s">
        <v>17</v>
      </c>
      <c r="G77" s="48">
        <v>0</v>
      </c>
      <c r="H77" s="70"/>
      <c r="I77" s="49"/>
    </row>
    <row r="78" spans="1:9" ht="15.75">
      <c r="A78" s="4">
        <v>77</v>
      </c>
      <c r="B78" s="4">
        <f>ROUNDUP(A78/12,0)</f>
        <v>7</v>
      </c>
      <c r="C78" s="49" t="s">
        <v>1096</v>
      </c>
      <c r="D78" s="49" t="s">
        <v>115</v>
      </c>
      <c r="E78" s="49" t="s">
        <v>38</v>
      </c>
      <c r="F78" s="49" t="s">
        <v>18</v>
      </c>
      <c r="G78" s="48">
        <v>0</v>
      </c>
      <c r="H78" s="70"/>
      <c r="I78" s="49"/>
    </row>
    <row r="79" spans="1:9" ht="15.75">
      <c r="A79" s="4">
        <v>78</v>
      </c>
      <c r="B79" s="4">
        <f>ROUNDUP(A79/12,0)</f>
        <v>7</v>
      </c>
      <c r="C79" s="49" t="s">
        <v>1096</v>
      </c>
      <c r="D79" s="49" t="s">
        <v>115</v>
      </c>
      <c r="E79" s="49" t="s">
        <v>39</v>
      </c>
      <c r="F79" s="49" t="s">
        <v>19</v>
      </c>
      <c r="G79" s="48">
        <v>0</v>
      </c>
      <c r="H79" s="70"/>
      <c r="I79" s="49"/>
    </row>
    <row r="80" spans="1:9" ht="15.75">
      <c r="A80" s="4">
        <v>79</v>
      </c>
      <c r="B80" s="4">
        <f>ROUNDUP(A80/12,0)</f>
        <v>7</v>
      </c>
      <c r="C80" s="49" t="s">
        <v>1096</v>
      </c>
      <c r="D80" s="49" t="s">
        <v>115</v>
      </c>
      <c r="E80" s="49" t="s">
        <v>40</v>
      </c>
      <c r="F80" s="49" t="s">
        <v>20</v>
      </c>
      <c r="G80" s="48">
        <v>0</v>
      </c>
      <c r="H80" s="70"/>
      <c r="I80" s="49"/>
    </row>
    <row r="81" spans="1:9" ht="15.75">
      <c r="A81" s="4">
        <v>80</v>
      </c>
      <c r="B81" s="4">
        <f>ROUNDUP(A81/12,0)</f>
        <v>7</v>
      </c>
      <c r="C81" s="49" t="s">
        <v>1096</v>
      </c>
      <c r="D81" s="49" t="s">
        <v>115</v>
      </c>
      <c r="E81" s="49" t="s">
        <v>40</v>
      </c>
      <c r="F81" s="49" t="s">
        <v>21</v>
      </c>
      <c r="G81" s="48">
        <v>0</v>
      </c>
      <c r="H81" s="70"/>
      <c r="I81" s="49"/>
    </row>
    <row r="82" spans="1:9" ht="15.75">
      <c r="A82" s="4">
        <v>81</v>
      </c>
      <c r="B82" s="4">
        <f>ROUNDUP(A82/12,0)</f>
        <v>7</v>
      </c>
      <c r="C82" s="49" t="s">
        <v>1096</v>
      </c>
      <c r="D82" s="49" t="s">
        <v>115</v>
      </c>
      <c r="E82" s="49" t="s">
        <v>41</v>
      </c>
      <c r="F82" s="49" t="s">
        <v>22</v>
      </c>
      <c r="G82" s="48">
        <v>1</v>
      </c>
      <c r="H82" s="70"/>
      <c r="I82" s="49"/>
    </row>
    <row r="83" spans="1:9" ht="15.75">
      <c r="A83" s="4">
        <v>82</v>
      </c>
      <c r="B83" s="4">
        <f>ROUNDUP(A83/12,0)</f>
        <v>7</v>
      </c>
      <c r="C83" s="49" t="s">
        <v>1096</v>
      </c>
      <c r="D83" s="49" t="s">
        <v>115</v>
      </c>
      <c r="E83" s="49" t="s">
        <v>42</v>
      </c>
      <c r="F83" s="49" t="s">
        <v>23</v>
      </c>
      <c r="G83" s="48">
        <v>0</v>
      </c>
      <c r="H83" s="70"/>
      <c r="I83" s="49"/>
    </row>
    <row r="84" spans="1:9" ht="15.75">
      <c r="A84" s="4">
        <v>83</v>
      </c>
      <c r="B84" s="4">
        <f>ROUNDUP(A84/12,0)</f>
        <v>7</v>
      </c>
      <c r="C84" s="49" t="s">
        <v>1096</v>
      </c>
      <c r="D84" s="49" t="s">
        <v>115</v>
      </c>
      <c r="E84" s="49" t="s">
        <v>43</v>
      </c>
      <c r="F84" s="49" t="s">
        <v>24</v>
      </c>
      <c r="G84" s="48">
        <v>0</v>
      </c>
      <c r="H84" s="70"/>
      <c r="I84" s="49"/>
    </row>
    <row r="85" spans="1:9" ht="15.75">
      <c r="A85" s="4">
        <v>84</v>
      </c>
      <c r="B85" s="4">
        <f>ROUNDUP(A85/12,0)</f>
        <v>7</v>
      </c>
      <c r="C85" s="49" t="s">
        <v>1096</v>
      </c>
      <c r="D85" s="49" t="s">
        <v>115</v>
      </c>
      <c r="E85" s="49" t="s">
        <v>44</v>
      </c>
      <c r="F85" s="49" t="s">
        <v>25</v>
      </c>
      <c r="G85" s="48">
        <v>0</v>
      </c>
      <c r="H85" s="70"/>
      <c r="I85" s="49"/>
    </row>
    <row r="86" spans="1:9" ht="15.75">
      <c r="A86" s="4">
        <v>85</v>
      </c>
      <c r="B86" s="4">
        <f>ROUNDUP(A86/12,0)</f>
        <v>8</v>
      </c>
      <c r="C86" s="49" t="s">
        <v>1096</v>
      </c>
      <c r="D86" s="49" t="s">
        <v>118</v>
      </c>
      <c r="E86" s="49" t="s">
        <v>100</v>
      </c>
      <c r="F86" s="49" t="s">
        <v>14</v>
      </c>
      <c r="G86" s="48">
        <v>1</v>
      </c>
      <c r="H86" s="70">
        <v>44441</v>
      </c>
      <c r="I86" s="49" t="s">
        <v>119</v>
      </c>
    </row>
    <row r="87" spans="1:9" ht="15.75">
      <c r="A87" s="4">
        <v>86</v>
      </c>
      <c r="B87" s="4">
        <f>ROUNDUP(A87/12,0)</f>
        <v>8</v>
      </c>
      <c r="C87" s="49" t="s">
        <v>1096</v>
      </c>
      <c r="D87" s="49" t="s">
        <v>118</v>
      </c>
      <c r="E87" s="49" t="s">
        <v>35</v>
      </c>
      <c r="F87" s="49" t="s">
        <v>15</v>
      </c>
      <c r="G87" s="48">
        <v>1</v>
      </c>
      <c r="H87" s="70"/>
      <c r="I87" s="49" t="s">
        <v>120</v>
      </c>
    </row>
    <row r="88" spans="1:9" ht="15.75">
      <c r="A88" s="4">
        <v>87</v>
      </c>
      <c r="B88" s="4">
        <f>ROUNDUP(A88/12,0)</f>
        <v>8</v>
      </c>
      <c r="C88" s="49" t="s">
        <v>1096</v>
      </c>
      <c r="D88" s="49" t="s">
        <v>118</v>
      </c>
      <c r="E88" s="49" t="s">
        <v>36</v>
      </c>
      <c r="F88" s="49" t="s">
        <v>16</v>
      </c>
      <c r="G88" s="48">
        <v>1</v>
      </c>
      <c r="H88" s="70"/>
      <c r="I88" s="49"/>
    </row>
    <row r="89" spans="1:9" ht="15.75">
      <c r="A89" s="4">
        <v>88</v>
      </c>
      <c r="B89" s="4">
        <f>ROUNDUP(A89/12,0)</f>
        <v>8</v>
      </c>
      <c r="C89" s="49" t="s">
        <v>1096</v>
      </c>
      <c r="D89" s="49" t="s">
        <v>118</v>
      </c>
      <c r="E89" s="49" t="s">
        <v>37</v>
      </c>
      <c r="F89" s="49" t="s">
        <v>17</v>
      </c>
      <c r="G89" s="48">
        <v>0</v>
      </c>
      <c r="H89" s="70"/>
      <c r="I89" s="49"/>
    </row>
    <row r="90" spans="1:9" ht="15.75">
      <c r="A90" s="4">
        <v>89</v>
      </c>
      <c r="B90" s="4">
        <f>ROUNDUP(A90/12,0)</f>
        <v>8</v>
      </c>
      <c r="C90" s="49" t="s">
        <v>1096</v>
      </c>
      <c r="D90" s="49" t="s">
        <v>118</v>
      </c>
      <c r="E90" s="49" t="s">
        <v>38</v>
      </c>
      <c r="F90" s="49" t="s">
        <v>18</v>
      </c>
      <c r="G90" s="48">
        <v>0</v>
      </c>
      <c r="H90" s="70"/>
      <c r="I90" s="49"/>
    </row>
    <row r="91" spans="1:9" ht="15.75">
      <c r="A91" s="4">
        <v>90</v>
      </c>
      <c r="B91" s="4">
        <f>ROUNDUP(A91/12,0)</f>
        <v>8</v>
      </c>
      <c r="C91" s="49" t="s">
        <v>1096</v>
      </c>
      <c r="D91" s="49" t="s">
        <v>118</v>
      </c>
      <c r="E91" s="49" t="s">
        <v>39</v>
      </c>
      <c r="F91" s="49" t="s">
        <v>19</v>
      </c>
      <c r="G91" s="48">
        <v>0</v>
      </c>
      <c r="H91" s="70"/>
      <c r="I91" s="49"/>
    </row>
    <row r="92" spans="1:9" ht="15.75">
      <c r="A92" s="4">
        <v>91</v>
      </c>
      <c r="B92" s="4">
        <f>ROUNDUP(A92/12,0)</f>
        <v>8</v>
      </c>
      <c r="C92" s="49" t="s">
        <v>1096</v>
      </c>
      <c r="D92" s="49" t="s">
        <v>118</v>
      </c>
      <c r="E92" s="49" t="s">
        <v>40</v>
      </c>
      <c r="F92" s="49" t="s">
        <v>20</v>
      </c>
      <c r="G92" s="48">
        <v>0</v>
      </c>
      <c r="H92" s="70"/>
      <c r="I92" s="49"/>
    </row>
    <row r="93" spans="1:9" ht="15.75">
      <c r="A93" s="4">
        <v>92</v>
      </c>
      <c r="B93" s="4">
        <f>ROUNDUP(A93/12,0)</f>
        <v>8</v>
      </c>
      <c r="C93" s="49" t="s">
        <v>1096</v>
      </c>
      <c r="D93" s="49" t="s">
        <v>118</v>
      </c>
      <c r="E93" s="49" t="s">
        <v>40</v>
      </c>
      <c r="F93" s="49" t="s">
        <v>21</v>
      </c>
      <c r="G93" s="48">
        <v>0</v>
      </c>
      <c r="H93" s="70"/>
      <c r="I93" s="49"/>
    </row>
    <row r="94" spans="1:9" ht="15.75">
      <c r="A94" s="4">
        <v>93</v>
      </c>
      <c r="B94" s="4">
        <f>ROUNDUP(A94/12,0)</f>
        <v>8</v>
      </c>
      <c r="C94" s="49" t="s">
        <v>1096</v>
      </c>
      <c r="D94" s="49" t="s">
        <v>118</v>
      </c>
      <c r="E94" s="49" t="s">
        <v>41</v>
      </c>
      <c r="F94" s="49" t="s">
        <v>22</v>
      </c>
      <c r="G94" s="48">
        <v>1</v>
      </c>
      <c r="H94" s="70"/>
      <c r="I94" s="49"/>
    </row>
    <row r="95" spans="1:9" ht="15.75">
      <c r="A95" s="4">
        <v>94</v>
      </c>
      <c r="B95" s="4">
        <f>ROUNDUP(A95/12,0)</f>
        <v>8</v>
      </c>
      <c r="C95" s="49" t="s">
        <v>1096</v>
      </c>
      <c r="D95" s="49" t="s">
        <v>118</v>
      </c>
      <c r="E95" s="49" t="s">
        <v>42</v>
      </c>
      <c r="F95" s="49" t="s">
        <v>23</v>
      </c>
      <c r="G95" s="48">
        <v>0</v>
      </c>
      <c r="H95" s="70"/>
      <c r="I95" s="49"/>
    </row>
    <row r="96" spans="1:9" ht="15.75">
      <c r="A96" s="4">
        <v>95</v>
      </c>
      <c r="B96" s="4">
        <f>ROUNDUP(A96/12,0)</f>
        <v>8</v>
      </c>
      <c r="C96" s="49" t="s">
        <v>1096</v>
      </c>
      <c r="D96" s="49" t="s">
        <v>118</v>
      </c>
      <c r="E96" s="49" t="s">
        <v>43</v>
      </c>
      <c r="F96" s="49" t="s">
        <v>24</v>
      </c>
      <c r="G96" s="48">
        <v>0</v>
      </c>
      <c r="H96" s="70"/>
      <c r="I96" s="49"/>
    </row>
    <row r="97" spans="1:9" ht="15.75">
      <c r="A97" s="4">
        <v>96</v>
      </c>
      <c r="B97" s="4">
        <f>ROUNDUP(A97/12,0)</f>
        <v>8</v>
      </c>
      <c r="C97" s="49" t="s">
        <v>1096</v>
      </c>
      <c r="D97" s="49" t="s">
        <v>118</v>
      </c>
      <c r="E97" s="49" t="s">
        <v>44</v>
      </c>
      <c r="F97" s="49" t="s">
        <v>25</v>
      </c>
      <c r="G97" s="48">
        <v>0</v>
      </c>
      <c r="H97" s="70"/>
      <c r="I97" s="49"/>
    </row>
    <row r="98" spans="1:9" ht="15.75">
      <c r="A98" s="4">
        <v>97</v>
      </c>
      <c r="B98" s="4">
        <f>ROUNDUP(A98/12,0)</f>
        <v>9</v>
      </c>
      <c r="C98" s="49" t="s">
        <v>1096</v>
      </c>
      <c r="D98" s="49" t="s">
        <v>121</v>
      </c>
      <c r="E98" s="49" t="s">
        <v>100</v>
      </c>
      <c r="F98" s="49" t="s">
        <v>14</v>
      </c>
      <c r="G98" s="48">
        <v>1</v>
      </c>
      <c r="H98" s="70">
        <v>44986</v>
      </c>
      <c r="I98" s="49" t="s">
        <v>119</v>
      </c>
    </row>
    <row r="99" spans="1:9" ht="15.75">
      <c r="A99" s="4">
        <v>98</v>
      </c>
      <c r="B99" s="4">
        <f>ROUNDUP(A99/12,0)</f>
        <v>9</v>
      </c>
      <c r="C99" s="49" t="s">
        <v>1096</v>
      </c>
      <c r="D99" s="49" t="s">
        <v>121</v>
      </c>
      <c r="E99" s="49" t="s">
        <v>35</v>
      </c>
      <c r="F99" s="49" t="s">
        <v>15</v>
      </c>
      <c r="G99" s="48">
        <v>1</v>
      </c>
      <c r="H99" s="70"/>
      <c r="I99" s="49" t="s">
        <v>122</v>
      </c>
    </row>
    <row r="100" spans="1:9" ht="15.75">
      <c r="A100" s="4">
        <v>99</v>
      </c>
      <c r="B100" s="4">
        <f>ROUNDUP(A100/12,0)</f>
        <v>9</v>
      </c>
      <c r="C100" s="49" t="s">
        <v>1096</v>
      </c>
      <c r="D100" s="49" t="s">
        <v>121</v>
      </c>
      <c r="E100" s="49" t="s">
        <v>36</v>
      </c>
      <c r="F100" s="49" t="s">
        <v>16</v>
      </c>
      <c r="G100" s="48">
        <v>1</v>
      </c>
      <c r="H100" s="70"/>
      <c r="I100" s="49"/>
    </row>
    <row r="101" spans="1:9" ht="15.75">
      <c r="A101" s="4">
        <v>100</v>
      </c>
      <c r="B101" s="4">
        <f>ROUNDUP(A101/12,0)</f>
        <v>9</v>
      </c>
      <c r="C101" s="49" t="s">
        <v>1096</v>
      </c>
      <c r="D101" s="49" t="s">
        <v>121</v>
      </c>
      <c r="E101" s="49" t="s">
        <v>37</v>
      </c>
      <c r="F101" s="49" t="s">
        <v>17</v>
      </c>
      <c r="G101" s="48">
        <v>0</v>
      </c>
      <c r="H101" s="70"/>
      <c r="I101" s="49"/>
    </row>
    <row r="102" spans="1:9" ht="15.75">
      <c r="A102" s="4">
        <v>101</v>
      </c>
      <c r="B102" s="4">
        <f>ROUNDUP(A102/12,0)</f>
        <v>9</v>
      </c>
      <c r="C102" s="49" t="s">
        <v>1096</v>
      </c>
      <c r="D102" s="49" t="s">
        <v>121</v>
      </c>
      <c r="E102" s="49" t="s">
        <v>38</v>
      </c>
      <c r="F102" s="49" t="s">
        <v>18</v>
      </c>
      <c r="G102" s="48">
        <v>0</v>
      </c>
      <c r="H102" s="70"/>
      <c r="I102" s="49"/>
    </row>
    <row r="103" spans="1:9" ht="15.75">
      <c r="A103" s="4">
        <v>102</v>
      </c>
      <c r="B103" s="4">
        <f>ROUNDUP(A103/12,0)</f>
        <v>9</v>
      </c>
      <c r="C103" s="49" t="s">
        <v>1096</v>
      </c>
      <c r="D103" s="49" t="s">
        <v>121</v>
      </c>
      <c r="E103" s="49" t="s">
        <v>39</v>
      </c>
      <c r="F103" s="49" t="s">
        <v>19</v>
      </c>
      <c r="G103" s="48">
        <v>0</v>
      </c>
      <c r="H103" s="70"/>
      <c r="I103" s="49"/>
    </row>
    <row r="104" spans="1:9" ht="15.75">
      <c r="A104" s="4">
        <v>103</v>
      </c>
      <c r="B104" s="4">
        <f>ROUNDUP(A104/12,0)</f>
        <v>9</v>
      </c>
      <c r="C104" s="49" t="s">
        <v>1096</v>
      </c>
      <c r="D104" s="49" t="s">
        <v>121</v>
      </c>
      <c r="E104" s="49" t="s">
        <v>40</v>
      </c>
      <c r="F104" s="49" t="s">
        <v>20</v>
      </c>
      <c r="G104" s="48">
        <v>0</v>
      </c>
      <c r="H104" s="70"/>
      <c r="I104" s="49"/>
    </row>
    <row r="105" spans="1:9" ht="15.75">
      <c r="A105" s="4">
        <v>104</v>
      </c>
      <c r="B105" s="4">
        <f>ROUNDUP(A105/12,0)</f>
        <v>9</v>
      </c>
      <c r="C105" s="49" t="s">
        <v>1096</v>
      </c>
      <c r="D105" s="49" t="s">
        <v>121</v>
      </c>
      <c r="E105" s="49" t="s">
        <v>40</v>
      </c>
      <c r="F105" s="49" t="s">
        <v>21</v>
      </c>
      <c r="G105" s="48">
        <v>0</v>
      </c>
      <c r="H105" s="70"/>
      <c r="I105" s="49"/>
    </row>
    <row r="106" spans="1:9" ht="15.75">
      <c r="A106" s="4">
        <v>105</v>
      </c>
      <c r="B106" s="4">
        <f>ROUNDUP(A106/12,0)</f>
        <v>9</v>
      </c>
      <c r="C106" s="49" t="s">
        <v>1096</v>
      </c>
      <c r="D106" s="49" t="s">
        <v>121</v>
      </c>
      <c r="E106" s="49" t="s">
        <v>41</v>
      </c>
      <c r="F106" s="49" t="s">
        <v>22</v>
      </c>
      <c r="G106" s="48">
        <v>1</v>
      </c>
      <c r="H106" s="70"/>
      <c r="I106" s="49"/>
    </row>
    <row r="107" spans="1:9" ht="15.75">
      <c r="A107" s="4">
        <v>106</v>
      </c>
      <c r="B107" s="4">
        <f>ROUNDUP(A107/12,0)</f>
        <v>9</v>
      </c>
      <c r="C107" s="49" t="s">
        <v>1096</v>
      </c>
      <c r="D107" s="49" t="s">
        <v>121</v>
      </c>
      <c r="E107" s="49" t="s">
        <v>42</v>
      </c>
      <c r="F107" s="49" t="s">
        <v>23</v>
      </c>
      <c r="G107" s="48">
        <v>0</v>
      </c>
      <c r="H107" s="70"/>
      <c r="I107" s="49"/>
    </row>
    <row r="108" spans="1:9" ht="15.75">
      <c r="A108" s="4">
        <v>107</v>
      </c>
      <c r="B108" s="4">
        <f>ROUNDUP(A108/12,0)</f>
        <v>9</v>
      </c>
      <c r="C108" s="49" t="s">
        <v>1096</v>
      </c>
      <c r="D108" s="49" t="s">
        <v>121</v>
      </c>
      <c r="E108" s="49" t="s">
        <v>43</v>
      </c>
      <c r="F108" s="49" t="s">
        <v>24</v>
      </c>
      <c r="G108" s="48">
        <v>0</v>
      </c>
      <c r="H108" s="70"/>
      <c r="I108" s="49"/>
    </row>
    <row r="109" spans="1:9" ht="15.75">
      <c r="A109" s="4">
        <v>108</v>
      </c>
      <c r="B109" s="4">
        <f>ROUNDUP(A109/12,0)</f>
        <v>9</v>
      </c>
      <c r="C109" s="49" t="s">
        <v>1096</v>
      </c>
      <c r="D109" s="49" t="s">
        <v>121</v>
      </c>
      <c r="E109" s="49" t="s">
        <v>44</v>
      </c>
      <c r="F109" s="49" t="s">
        <v>25</v>
      </c>
      <c r="G109" s="48">
        <v>0</v>
      </c>
      <c r="H109" s="70"/>
      <c r="I109" s="49"/>
    </row>
    <row r="110" spans="1:9" ht="15.75">
      <c r="A110" s="4">
        <v>109</v>
      </c>
      <c r="B110" s="4">
        <f>ROUNDUP(A110/12,0)</f>
        <v>10</v>
      </c>
      <c r="C110" s="49" t="s">
        <v>1096</v>
      </c>
      <c r="D110" s="49" t="s">
        <v>123</v>
      </c>
      <c r="E110" s="49" t="s">
        <v>100</v>
      </c>
      <c r="F110" s="49" t="s">
        <v>14</v>
      </c>
      <c r="G110" s="48">
        <v>1</v>
      </c>
      <c r="H110" s="70">
        <v>46042</v>
      </c>
      <c r="I110" s="49" t="s">
        <v>124</v>
      </c>
    </row>
    <row r="111" spans="1:9" ht="15.75">
      <c r="A111" s="4">
        <v>110</v>
      </c>
      <c r="B111" s="4">
        <f>ROUNDUP(A111/12,0)</f>
        <v>10</v>
      </c>
      <c r="C111" s="49" t="s">
        <v>1096</v>
      </c>
      <c r="D111" s="49" t="s">
        <v>123</v>
      </c>
      <c r="E111" s="49" t="s">
        <v>35</v>
      </c>
      <c r="F111" s="49" t="s">
        <v>15</v>
      </c>
      <c r="G111" s="48">
        <v>1</v>
      </c>
      <c r="H111" s="70"/>
      <c r="I111" s="49" t="s">
        <v>125</v>
      </c>
    </row>
    <row r="112" spans="1:9" ht="15.75">
      <c r="A112" s="4">
        <v>111</v>
      </c>
      <c r="B112" s="4">
        <f>ROUNDUP(A112/12,0)</f>
        <v>10</v>
      </c>
      <c r="C112" s="49" t="s">
        <v>1096</v>
      </c>
      <c r="D112" s="49" t="s">
        <v>123</v>
      </c>
      <c r="E112" s="49" t="s">
        <v>36</v>
      </c>
      <c r="F112" s="49" t="s">
        <v>16</v>
      </c>
      <c r="G112" s="48">
        <v>1</v>
      </c>
      <c r="H112" s="70"/>
      <c r="I112" s="49"/>
    </row>
    <row r="113" spans="1:9" ht="15.75">
      <c r="A113" s="4">
        <v>112</v>
      </c>
      <c r="B113" s="4">
        <f>ROUNDUP(A113/12,0)</f>
        <v>10</v>
      </c>
      <c r="C113" s="49" t="s">
        <v>1096</v>
      </c>
      <c r="D113" s="49" t="s">
        <v>123</v>
      </c>
      <c r="E113" s="49" t="s">
        <v>37</v>
      </c>
      <c r="F113" s="49" t="s">
        <v>17</v>
      </c>
      <c r="G113" s="48">
        <v>0</v>
      </c>
      <c r="H113" s="70"/>
      <c r="I113" s="49"/>
    </row>
    <row r="114" spans="1:9" ht="15.75">
      <c r="A114" s="4">
        <v>113</v>
      </c>
      <c r="B114" s="4">
        <f>ROUNDUP(A114/12,0)</f>
        <v>10</v>
      </c>
      <c r="C114" s="49" t="s">
        <v>1096</v>
      </c>
      <c r="D114" s="49" t="s">
        <v>123</v>
      </c>
      <c r="E114" s="49" t="s">
        <v>38</v>
      </c>
      <c r="F114" s="49" t="s">
        <v>18</v>
      </c>
      <c r="G114" s="48">
        <v>0</v>
      </c>
      <c r="H114" s="70"/>
      <c r="I114" s="49"/>
    </row>
    <row r="115" spans="1:9" ht="15.75">
      <c r="A115" s="4">
        <v>114</v>
      </c>
      <c r="B115" s="4">
        <f>ROUNDUP(A115/12,0)</f>
        <v>10</v>
      </c>
      <c r="C115" s="49" t="s">
        <v>1096</v>
      </c>
      <c r="D115" s="49" t="s">
        <v>123</v>
      </c>
      <c r="E115" s="49" t="s">
        <v>39</v>
      </c>
      <c r="F115" s="49" t="s">
        <v>19</v>
      </c>
      <c r="G115" s="48">
        <v>0</v>
      </c>
      <c r="H115" s="70"/>
      <c r="I115" s="49"/>
    </row>
    <row r="116" spans="1:9" ht="15.75">
      <c r="A116" s="4">
        <v>115</v>
      </c>
      <c r="B116" s="4">
        <f>ROUNDUP(A116/12,0)</f>
        <v>10</v>
      </c>
      <c r="C116" s="49" t="s">
        <v>1096</v>
      </c>
      <c r="D116" s="49" t="s">
        <v>123</v>
      </c>
      <c r="E116" s="49" t="s">
        <v>40</v>
      </c>
      <c r="F116" s="49" t="s">
        <v>20</v>
      </c>
      <c r="G116" s="48">
        <v>0</v>
      </c>
      <c r="H116" s="70"/>
      <c r="I116" s="49"/>
    </row>
    <row r="117" spans="1:9" ht="15.75">
      <c r="A117" s="4">
        <v>116</v>
      </c>
      <c r="B117" s="4">
        <f>ROUNDUP(A117/12,0)</f>
        <v>10</v>
      </c>
      <c r="C117" s="49" t="s">
        <v>1096</v>
      </c>
      <c r="D117" s="49" t="s">
        <v>123</v>
      </c>
      <c r="E117" s="49" t="s">
        <v>40</v>
      </c>
      <c r="F117" s="49" t="s">
        <v>21</v>
      </c>
      <c r="G117" s="48">
        <v>0</v>
      </c>
      <c r="H117" s="70"/>
      <c r="I117" s="49"/>
    </row>
    <row r="118" spans="1:9" ht="15.75">
      <c r="A118" s="4">
        <v>117</v>
      </c>
      <c r="B118" s="4">
        <f>ROUNDUP(A118/12,0)</f>
        <v>10</v>
      </c>
      <c r="C118" s="49" t="s">
        <v>1096</v>
      </c>
      <c r="D118" s="49" t="s">
        <v>123</v>
      </c>
      <c r="E118" s="49" t="s">
        <v>41</v>
      </c>
      <c r="F118" s="49" t="s">
        <v>22</v>
      </c>
      <c r="G118" s="48">
        <v>1</v>
      </c>
      <c r="H118" s="70"/>
      <c r="I118" s="49"/>
    </row>
    <row r="119" spans="1:9" ht="15.75">
      <c r="A119" s="4">
        <v>118</v>
      </c>
      <c r="B119" s="4">
        <f>ROUNDUP(A119/12,0)</f>
        <v>10</v>
      </c>
      <c r="C119" s="49" t="s">
        <v>1096</v>
      </c>
      <c r="D119" s="49" t="s">
        <v>123</v>
      </c>
      <c r="E119" s="49" t="s">
        <v>42</v>
      </c>
      <c r="F119" s="49" t="s">
        <v>23</v>
      </c>
      <c r="G119" s="48">
        <v>0</v>
      </c>
      <c r="H119" s="70"/>
      <c r="I119" s="49"/>
    </row>
    <row r="120" spans="1:9" ht="15.75">
      <c r="A120" s="4">
        <v>119</v>
      </c>
      <c r="B120" s="4">
        <f>ROUNDUP(A120/12,0)</f>
        <v>10</v>
      </c>
      <c r="C120" s="49" t="s">
        <v>1096</v>
      </c>
      <c r="D120" s="49" t="s">
        <v>123</v>
      </c>
      <c r="E120" s="49" t="s">
        <v>43</v>
      </c>
      <c r="F120" s="49" t="s">
        <v>24</v>
      </c>
      <c r="G120" s="48">
        <v>0</v>
      </c>
      <c r="H120" s="70"/>
      <c r="I120" s="49"/>
    </row>
    <row r="121" spans="1:9" ht="15.75">
      <c r="A121" s="4">
        <v>120</v>
      </c>
      <c r="B121" s="4">
        <f>ROUNDUP(A121/12,0)</f>
        <v>10</v>
      </c>
      <c r="C121" s="49" t="s">
        <v>1096</v>
      </c>
      <c r="D121" s="49" t="s">
        <v>123</v>
      </c>
      <c r="E121" s="49" t="s">
        <v>44</v>
      </c>
      <c r="F121" s="49" t="s">
        <v>25</v>
      </c>
      <c r="G121" s="48">
        <v>0</v>
      </c>
      <c r="H121" s="70"/>
      <c r="I121" s="49"/>
    </row>
    <row r="122" spans="1:9" ht="409.5">
      <c r="A122" s="4">
        <v>121</v>
      </c>
      <c r="B122" s="4">
        <f>ROUNDUP(A122/12,0)</f>
        <v>11</v>
      </c>
      <c r="C122" s="49" t="s">
        <v>1010</v>
      </c>
      <c r="D122" s="69" t="s">
        <v>1154</v>
      </c>
      <c r="E122" s="49" t="s">
        <v>34</v>
      </c>
      <c r="F122" s="49" t="s">
        <v>14</v>
      </c>
      <c r="G122" s="48">
        <v>0</v>
      </c>
      <c r="H122" s="70"/>
      <c r="I122" s="49"/>
    </row>
    <row r="123" spans="1:9" ht="409.5">
      <c r="A123" s="4">
        <v>122</v>
      </c>
      <c r="B123" s="4">
        <f>ROUNDUP(A123/12,0)</f>
        <v>11</v>
      </c>
      <c r="C123" s="49" t="s">
        <v>1010</v>
      </c>
      <c r="D123" s="69" t="s">
        <v>1154</v>
      </c>
      <c r="E123" s="49" t="s">
        <v>35</v>
      </c>
      <c r="F123" s="49" t="s">
        <v>15</v>
      </c>
      <c r="G123" s="48">
        <v>0</v>
      </c>
      <c r="H123" s="70"/>
      <c r="I123" s="49"/>
    </row>
    <row r="124" spans="1:9" ht="409.5">
      <c r="A124" s="4">
        <v>123</v>
      </c>
      <c r="B124" s="4">
        <f>ROUNDUP(A124/12,0)</f>
        <v>11</v>
      </c>
      <c r="C124" s="49" t="s">
        <v>1010</v>
      </c>
      <c r="D124" s="69" t="s">
        <v>1154</v>
      </c>
      <c r="E124" s="49" t="s">
        <v>36</v>
      </c>
      <c r="F124" s="49" t="s">
        <v>16</v>
      </c>
      <c r="G124" s="48">
        <v>0</v>
      </c>
      <c r="H124" s="70"/>
      <c r="I124" s="49"/>
    </row>
    <row r="125" spans="1:9" ht="409.5">
      <c r="A125" s="4">
        <v>124</v>
      </c>
      <c r="B125" s="4">
        <f>ROUNDUP(A125/12,0)</f>
        <v>11</v>
      </c>
      <c r="C125" s="49" t="s">
        <v>1010</v>
      </c>
      <c r="D125" s="69" t="s">
        <v>1154</v>
      </c>
      <c r="E125" s="49" t="s">
        <v>37</v>
      </c>
      <c r="F125" s="49" t="s">
        <v>17</v>
      </c>
      <c r="G125" s="48">
        <v>1</v>
      </c>
      <c r="H125" s="70">
        <v>46238</v>
      </c>
      <c r="I125" s="49" t="s">
        <v>1011</v>
      </c>
    </row>
    <row r="126" spans="1:9" ht="409.5">
      <c r="A126" s="4">
        <v>125</v>
      </c>
      <c r="B126" s="4">
        <f>ROUNDUP(A126/12,0)</f>
        <v>11</v>
      </c>
      <c r="C126" s="49" t="s">
        <v>1010</v>
      </c>
      <c r="D126" s="69" t="s">
        <v>1154</v>
      </c>
      <c r="E126" s="49" t="s">
        <v>38</v>
      </c>
      <c r="F126" s="49" t="s">
        <v>18</v>
      </c>
      <c r="G126" s="48">
        <v>0</v>
      </c>
      <c r="H126" s="70"/>
      <c r="I126" s="49"/>
    </row>
    <row r="127" spans="1:9" ht="409.5">
      <c r="A127" s="4">
        <v>126</v>
      </c>
      <c r="B127" s="4">
        <f>ROUNDUP(A127/12,0)</f>
        <v>11</v>
      </c>
      <c r="C127" s="49" t="s">
        <v>1010</v>
      </c>
      <c r="D127" s="69" t="s">
        <v>1154</v>
      </c>
      <c r="E127" s="49" t="s">
        <v>39</v>
      </c>
      <c r="F127" s="49" t="s">
        <v>19</v>
      </c>
      <c r="G127" s="48">
        <v>0</v>
      </c>
      <c r="H127" s="70"/>
      <c r="I127" s="49"/>
    </row>
    <row r="128" spans="1:9" ht="409.5">
      <c r="A128" s="4">
        <v>127</v>
      </c>
      <c r="B128" s="4">
        <f>ROUNDUP(A128/12,0)</f>
        <v>11</v>
      </c>
      <c r="C128" s="49" t="s">
        <v>1010</v>
      </c>
      <c r="D128" s="69" t="s">
        <v>1154</v>
      </c>
      <c r="E128" s="49" t="s">
        <v>40</v>
      </c>
      <c r="F128" s="49" t="s">
        <v>20</v>
      </c>
      <c r="G128" s="48">
        <v>0</v>
      </c>
      <c r="H128" s="70"/>
      <c r="I128" s="49"/>
    </row>
    <row r="129" spans="1:9" ht="409.5">
      <c r="A129" s="4">
        <v>128</v>
      </c>
      <c r="B129" s="4">
        <f>ROUNDUP(A129/12,0)</f>
        <v>11</v>
      </c>
      <c r="C129" s="49" t="s">
        <v>1010</v>
      </c>
      <c r="D129" s="69" t="s">
        <v>1154</v>
      </c>
      <c r="E129" s="49" t="s">
        <v>40</v>
      </c>
      <c r="F129" s="49" t="s">
        <v>21</v>
      </c>
      <c r="G129" s="48">
        <v>0</v>
      </c>
      <c r="H129" s="70"/>
      <c r="I129" s="49"/>
    </row>
    <row r="130" spans="1:9" ht="409.5">
      <c r="A130" s="4">
        <v>129</v>
      </c>
      <c r="B130" s="4">
        <f>ROUNDUP(A130/12,0)</f>
        <v>11</v>
      </c>
      <c r="C130" s="49" t="s">
        <v>1010</v>
      </c>
      <c r="D130" s="69" t="s">
        <v>1154</v>
      </c>
      <c r="E130" s="49" t="s">
        <v>41</v>
      </c>
      <c r="F130" s="49" t="s">
        <v>22</v>
      </c>
      <c r="G130" s="48">
        <v>0</v>
      </c>
      <c r="H130" s="70"/>
      <c r="I130" s="49"/>
    </row>
    <row r="131" spans="1:9" ht="409.5">
      <c r="A131" s="4">
        <v>130</v>
      </c>
      <c r="B131" s="4">
        <f>ROUNDUP(A131/12,0)</f>
        <v>11</v>
      </c>
      <c r="C131" s="49" t="s">
        <v>1010</v>
      </c>
      <c r="D131" s="69" t="s">
        <v>1154</v>
      </c>
      <c r="E131" s="49" t="s">
        <v>42</v>
      </c>
      <c r="F131" s="49" t="s">
        <v>23</v>
      </c>
      <c r="G131" s="48">
        <v>0</v>
      </c>
      <c r="H131" s="70"/>
      <c r="I131" s="49"/>
    </row>
    <row r="132" spans="1:9" ht="409.5">
      <c r="A132" s="4">
        <v>131</v>
      </c>
      <c r="B132" s="4">
        <f>ROUNDUP(A132/12,0)</f>
        <v>11</v>
      </c>
      <c r="C132" s="49" t="s">
        <v>1010</v>
      </c>
      <c r="D132" s="69" t="s">
        <v>1154</v>
      </c>
      <c r="E132" s="49" t="s">
        <v>43</v>
      </c>
      <c r="F132" s="49" t="s">
        <v>24</v>
      </c>
      <c r="G132" s="48">
        <v>0</v>
      </c>
      <c r="H132" s="70"/>
      <c r="I132" s="49"/>
    </row>
    <row r="133" spans="1:9" ht="409.5">
      <c r="A133" s="4">
        <v>132</v>
      </c>
      <c r="B133" s="4">
        <f>ROUNDUP(A133/12,0)</f>
        <v>11</v>
      </c>
      <c r="C133" s="49" t="s">
        <v>1010</v>
      </c>
      <c r="D133" s="69" t="s">
        <v>1154</v>
      </c>
      <c r="E133" s="49" t="s">
        <v>44</v>
      </c>
      <c r="F133" s="49" t="s">
        <v>25</v>
      </c>
      <c r="G133" s="48">
        <v>0</v>
      </c>
      <c r="H133" s="70"/>
      <c r="I133" s="49"/>
    </row>
    <row r="134" spans="1:9" ht="220.5">
      <c r="A134" s="4">
        <v>133</v>
      </c>
      <c r="B134" s="4">
        <f>ROUNDUP(A134/12,0)</f>
        <v>12</v>
      </c>
      <c r="C134" s="49" t="s">
        <v>1064</v>
      </c>
      <c r="D134" s="69" t="s">
        <v>1182</v>
      </c>
      <c r="E134" s="49" t="s">
        <v>34</v>
      </c>
      <c r="F134" s="49" t="s">
        <v>14</v>
      </c>
      <c r="G134" s="48">
        <v>0</v>
      </c>
      <c r="H134" s="70"/>
      <c r="I134" s="49"/>
    </row>
    <row r="135" spans="1:9" ht="220.5">
      <c r="A135" s="4">
        <v>134</v>
      </c>
      <c r="B135" s="4">
        <f>ROUNDUP(A135/12,0)</f>
        <v>12</v>
      </c>
      <c r="C135" s="49" t="s">
        <v>1064</v>
      </c>
      <c r="D135" s="69" t="s">
        <v>1182</v>
      </c>
      <c r="E135" s="49" t="s">
        <v>35</v>
      </c>
      <c r="F135" s="49" t="s">
        <v>15</v>
      </c>
      <c r="G135" s="48">
        <v>0</v>
      </c>
      <c r="H135" s="70"/>
      <c r="I135" s="49"/>
    </row>
    <row r="136" spans="1:9" ht="220.5">
      <c r="A136" s="4">
        <v>135</v>
      </c>
      <c r="B136" s="4">
        <f>ROUNDUP(A136/12,0)</f>
        <v>12</v>
      </c>
      <c r="C136" s="49" t="s">
        <v>1064</v>
      </c>
      <c r="D136" s="69" t="s">
        <v>1182</v>
      </c>
      <c r="E136" s="49" t="s">
        <v>36</v>
      </c>
      <c r="F136" s="49" t="s">
        <v>16</v>
      </c>
      <c r="G136" s="48">
        <v>0</v>
      </c>
      <c r="H136" s="70"/>
      <c r="I136" s="49"/>
    </row>
    <row r="137" spans="1:9" ht="220.5">
      <c r="A137" s="4">
        <v>136</v>
      </c>
      <c r="B137" s="4">
        <f>ROUNDUP(A137/12,0)</f>
        <v>12</v>
      </c>
      <c r="C137" s="49" t="s">
        <v>1064</v>
      </c>
      <c r="D137" s="69" t="s">
        <v>1182</v>
      </c>
      <c r="E137" s="49" t="s">
        <v>37</v>
      </c>
      <c r="F137" s="49" t="s">
        <v>17</v>
      </c>
      <c r="G137" s="48">
        <v>1</v>
      </c>
      <c r="H137" s="70">
        <v>45934</v>
      </c>
      <c r="I137" s="49" t="s">
        <v>1065</v>
      </c>
    </row>
    <row r="138" spans="1:9" ht="220.5">
      <c r="A138" s="4">
        <v>137</v>
      </c>
      <c r="B138" s="4">
        <f>ROUNDUP(A138/12,0)</f>
        <v>12</v>
      </c>
      <c r="C138" s="49" t="s">
        <v>1064</v>
      </c>
      <c r="D138" s="69" t="s">
        <v>1182</v>
      </c>
      <c r="E138" s="49" t="s">
        <v>38</v>
      </c>
      <c r="F138" s="49" t="s">
        <v>18</v>
      </c>
      <c r="G138" s="48">
        <v>0</v>
      </c>
      <c r="H138" s="70"/>
      <c r="I138" s="49"/>
    </row>
    <row r="139" spans="1:9" ht="220.5">
      <c r="A139" s="4">
        <v>138</v>
      </c>
      <c r="B139" s="4">
        <f>ROUNDUP(A139/12,0)</f>
        <v>12</v>
      </c>
      <c r="C139" s="49" t="s">
        <v>1064</v>
      </c>
      <c r="D139" s="69" t="s">
        <v>1182</v>
      </c>
      <c r="E139" s="49" t="s">
        <v>39</v>
      </c>
      <c r="F139" s="49" t="s">
        <v>19</v>
      </c>
      <c r="G139" s="48">
        <v>0</v>
      </c>
      <c r="H139" s="70"/>
      <c r="I139" s="49"/>
    </row>
    <row r="140" spans="1:9" ht="220.5">
      <c r="A140" s="4">
        <v>139</v>
      </c>
      <c r="B140" s="4">
        <f>ROUNDUP(A140/12,0)</f>
        <v>12</v>
      </c>
      <c r="C140" s="49" t="s">
        <v>1064</v>
      </c>
      <c r="D140" s="69" t="s">
        <v>1182</v>
      </c>
      <c r="E140" s="49" t="s">
        <v>40</v>
      </c>
      <c r="F140" s="49" t="s">
        <v>20</v>
      </c>
      <c r="G140" s="48">
        <v>0</v>
      </c>
      <c r="H140" s="70"/>
      <c r="I140" s="49"/>
    </row>
    <row r="141" spans="1:9" ht="220.5">
      <c r="A141" s="4">
        <v>140</v>
      </c>
      <c r="B141" s="4">
        <f>ROUNDUP(A141/12,0)</f>
        <v>12</v>
      </c>
      <c r="C141" s="49" t="s">
        <v>1064</v>
      </c>
      <c r="D141" s="69" t="s">
        <v>1182</v>
      </c>
      <c r="E141" s="49" t="s">
        <v>40</v>
      </c>
      <c r="F141" s="49" t="s">
        <v>21</v>
      </c>
      <c r="G141" s="48">
        <v>0</v>
      </c>
      <c r="H141" s="70"/>
      <c r="I141" s="49"/>
    </row>
    <row r="142" spans="1:9" ht="220.5">
      <c r="A142" s="4">
        <v>141</v>
      </c>
      <c r="B142" s="4">
        <f>ROUNDUP(A142/12,0)</f>
        <v>12</v>
      </c>
      <c r="C142" s="49" t="s">
        <v>1064</v>
      </c>
      <c r="D142" s="69" t="s">
        <v>1182</v>
      </c>
      <c r="E142" s="49" t="s">
        <v>41</v>
      </c>
      <c r="F142" s="49" t="s">
        <v>22</v>
      </c>
      <c r="G142" s="48">
        <v>0</v>
      </c>
      <c r="H142" s="70"/>
      <c r="I142" s="49"/>
    </row>
    <row r="143" spans="1:9" ht="220.5">
      <c r="A143" s="4">
        <v>142</v>
      </c>
      <c r="B143" s="4">
        <f>ROUNDUP(A143/12,0)</f>
        <v>12</v>
      </c>
      <c r="C143" s="49" t="s">
        <v>1064</v>
      </c>
      <c r="D143" s="69" t="s">
        <v>1182</v>
      </c>
      <c r="E143" s="49" t="s">
        <v>42</v>
      </c>
      <c r="F143" s="49" t="s">
        <v>23</v>
      </c>
      <c r="G143" s="48">
        <v>0</v>
      </c>
      <c r="H143" s="70"/>
      <c r="I143" s="49"/>
    </row>
    <row r="144" spans="1:9" ht="220.5">
      <c r="A144" s="4">
        <v>143</v>
      </c>
      <c r="B144" s="4">
        <f>ROUNDUP(A144/12,0)</f>
        <v>12</v>
      </c>
      <c r="C144" s="49" t="s">
        <v>1064</v>
      </c>
      <c r="D144" s="69" t="s">
        <v>1182</v>
      </c>
      <c r="E144" s="49" t="s">
        <v>43</v>
      </c>
      <c r="F144" s="49" t="s">
        <v>24</v>
      </c>
      <c r="G144" s="48">
        <v>0</v>
      </c>
      <c r="H144" s="70"/>
      <c r="I144" s="49"/>
    </row>
    <row r="145" spans="1:9" ht="220.5">
      <c r="A145" s="4">
        <v>144</v>
      </c>
      <c r="B145" s="4">
        <f>ROUNDUP(A145/12,0)</f>
        <v>12</v>
      </c>
      <c r="C145" s="49" t="s">
        <v>1064</v>
      </c>
      <c r="D145" s="69" t="s">
        <v>1182</v>
      </c>
      <c r="E145" s="49" t="s">
        <v>44</v>
      </c>
      <c r="F145" s="49" t="s">
        <v>25</v>
      </c>
      <c r="G145" s="48">
        <v>0</v>
      </c>
      <c r="H145" s="70"/>
      <c r="I145" s="49"/>
    </row>
    <row r="146" spans="1:9" ht="409.5">
      <c r="A146" s="4">
        <v>145</v>
      </c>
      <c r="B146" s="4">
        <f>ROUNDUP(A146/12,0)</f>
        <v>13</v>
      </c>
      <c r="C146" s="49" t="s">
        <v>1076</v>
      </c>
      <c r="D146" s="69" t="s">
        <v>1188</v>
      </c>
      <c r="E146" s="49" t="s">
        <v>34</v>
      </c>
      <c r="F146" s="49" t="s">
        <v>14</v>
      </c>
      <c r="G146" s="48">
        <v>0</v>
      </c>
      <c r="H146" s="70"/>
      <c r="I146" s="49"/>
    </row>
    <row r="147" spans="1:9" ht="409.5">
      <c r="A147" s="4">
        <v>146</v>
      </c>
      <c r="B147" s="4">
        <f>ROUNDUP(A147/12,0)</f>
        <v>13</v>
      </c>
      <c r="C147" s="49" t="s">
        <v>1076</v>
      </c>
      <c r="D147" s="69" t="s">
        <v>1188</v>
      </c>
      <c r="E147" s="49" t="s">
        <v>35</v>
      </c>
      <c r="F147" s="49" t="s">
        <v>15</v>
      </c>
      <c r="G147" s="48">
        <v>0</v>
      </c>
      <c r="H147" s="70"/>
      <c r="I147" s="49"/>
    </row>
    <row r="148" spans="1:9" ht="409.5">
      <c r="A148" s="4">
        <v>147</v>
      </c>
      <c r="B148" s="4">
        <f>ROUNDUP(A148/12,0)</f>
        <v>13</v>
      </c>
      <c r="C148" s="49" t="s">
        <v>1076</v>
      </c>
      <c r="D148" s="69" t="s">
        <v>1188</v>
      </c>
      <c r="E148" s="49" t="s">
        <v>36</v>
      </c>
      <c r="F148" s="49" t="s">
        <v>16</v>
      </c>
      <c r="G148" s="48">
        <v>0</v>
      </c>
      <c r="H148" s="70"/>
      <c r="I148" s="49"/>
    </row>
    <row r="149" spans="1:9" ht="409.5">
      <c r="A149" s="4">
        <v>148</v>
      </c>
      <c r="B149" s="4">
        <f>ROUNDUP(A149/12,0)</f>
        <v>13</v>
      </c>
      <c r="C149" s="49" t="s">
        <v>1076</v>
      </c>
      <c r="D149" s="69" t="s">
        <v>1188</v>
      </c>
      <c r="E149" s="49" t="s">
        <v>37</v>
      </c>
      <c r="F149" s="49" t="s">
        <v>17</v>
      </c>
      <c r="G149" s="48">
        <v>1</v>
      </c>
      <c r="H149" s="70">
        <v>45865</v>
      </c>
      <c r="I149" s="49" t="s">
        <v>1077</v>
      </c>
    </row>
    <row r="150" spans="1:9" ht="409.5">
      <c r="A150" s="4">
        <v>149</v>
      </c>
      <c r="B150" s="4">
        <f>ROUNDUP(A150/12,0)</f>
        <v>13</v>
      </c>
      <c r="C150" s="49" t="s">
        <v>1076</v>
      </c>
      <c r="D150" s="69" t="s">
        <v>1188</v>
      </c>
      <c r="E150" s="49" t="s">
        <v>38</v>
      </c>
      <c r="F150" s="49" t="s">
        <v>18</v>
      </c>
      <c r="G150" s="48">
        <v>0</v>
      </c>
      <c r="H150" s="70"/>
      <c r="I150" s="49"/>
    </row>
    <row r="151" spans="1:9" ht="409.5">
      <c r="A151" s="4">
        <v>150</v>
      </c>
      <c r="B151" s="4">
        <f>ROUNDUP(A151/12,0)</f>
        <v>13</v>
      </c>
      <c r="C151" s="49" t="s">
        <v>1076</v>
      </c>
      <c r="D151" s="69" t="s">
        <v>1188</v>
      </c>
      <c r="E151" s="49" t="s">
        <v>39</v>
      </c>
      <c r="F151" s="49" t="s">
        <v>19</v>
      </c>
      <c r="G151" s="48">
        <v>0</v>
      </c>
      <c r="H151" s="70"/>
      <c r="I151" s="49"/>
    </row>
    <row r="152" spans="1:9" ht="409.5">
      <c r="A152" s="4">
        <v>151</v>
      </c>
      <c r="B152" s="4">
        <f>ROUNDUP(A152/12,0)</f>
        <v>13</v>
      </c>
      <c r="C152" s="49" t="s">
        <v>1076</v>
      </c>
      <c r="D152" s="69" t="s">
        <v>1188</v>
      </c>
      <c r="E152" s="49" t="s">
        <v>40</v>
      </c>
      <c r="F152" s="49" t="s">
        <v>20</v>
      </c>
      <c r="G152" s="48">
        <v>0</v>
      </c>
      <c r="H152" s="70"/>
      <c r="I152" s="49"/>
    </row>
    <row r="153" spans="1:9" ht="409.5">
      <c r="A153" s="4">
        <v>152</v>
      </c>
      <c r="B153" s="4">
        <f>ROUNDUP(A153/12,0)</f>
        <v>13</v>
      </c>
      <c r="C153" s="49" t="s">
        <v>1076</v>
      </c>
      <c r="D153" s="69" t="s">
        <v>1188</v>
      </c>
      <c r="E153" s="49" t="s">
        <v>40</v>
      </c>
      <c r="F153" s="49" t="s">
        <v>21</v>
      </c>
      <c r="G153" s="48">
        <v>0</v>
      </c>
      <c r="H153" s="70"/>
      <c r="I153" s="49"/>
    </row>
    <row r="154" spans="1:9" ht="409.5">
      <c r="A154" s="4">
        <v>153</v>
      </c>
      <c r="B154" s="4">
        <f>ROUNDUP(A154/12,0)</f>
        <v>13</v>
      </c>
      <c r="C154" s="49" t="s">
        <v>1076</v>
      </c>
      <c r="D154" s="69" t="s">
        <v>1188</v>
      </c>
      <c r="E154" s="49" t="s">
        <v>41</v>
      </c>
      <c r="F154" s="49" t="s">
        <v>22</v>
      </c>
      <c r="G154" s="48">
        <v>0</v>
      </c>
      <c r="H154" s="70"/>
      <c r="I154" s="49"/>
    </row>
    <row r="155" spans="1:9" ht="409.5">
      <c r="A155" s="4">
        <v>154</v>
      </c>
      <c r="B155" s="4">
        <f>ROUNDUP(A155/12,0)</f>
        <v>13</v>
      </c>
      <c r="C155" s="49" t="s">
        <v>1076</v>
      </c>
      <c r="D155" s="69" t="s">
        <v>1188</v>
      </c>
      <c r="E155" s="49" t="s">
        <v>42</v>
      </c>
      <c r="F155" s="49" t="s">
        <v>23</v>
      </c>
      <c r="G155" s="48">
        <v>0</v>
      </c>
      <c r="H155" s="70"/>
      <c r="I155" s="49"/>
    </row>
    <row r="156" spans="1:9" ht="409.5">
      <c r="A156" s="4">
        <v>155</v>
      </c>
      <c r="B156" s="4">
        <f>ROUNDUP(A156/12,0)</f>
        <v>13</v>
      </c>
      <c r="C156" s="49" t="s">
        <v>1076</v>
      </c>
      <c r="D156" s="69" t="s">
        <v>1188</v>
      </c>
      <c r="E156" s="49" t="s">
        <v>43</v>
      </c>
      <c r="F156" s="49" t="s">
        <v>24</v>
      </c>
      <c r="G156" s="48">
        <v>0</v>
      </c>
      <c r="H156" s="70"/>
      <c r="I156" s="49"/>
    </row>
    <row r="157" spans="1:9" ht="409.5">
      <c r="A157" s="4">
        <v>156</v>
      </c>
      <c r="B157" s="4">
        <f>ROUNDUP(A157/12,0)</f>
        <v>13</v>
      </c>
      <c r="C157" s="49" t="s">
        <v>1076</v>
      </c>
      <c r="D157" s="69" t="s">
        <v>1188</v>
      </c>
      <c r="E157" s="49" t="s">
        <v>44</v>
      </c>
      <c r="F157" s="49" t="s">
        <v>25</v>
      </c>
      <c r="G157" s="48">
        <v>0</v>
      </c>
      <c r="H157" s="70"/>
      <c r="I157" s="49"/>
    </row>
    <row r="158" spans="1:9" ht="409.5">
      <c r="A158" s="4">
        <v>157</v>
      </c>
      <c r="B158" s="4">
        <f>ROUNDUP(A158/12,0)</f>
        <v>14</v>
      </c>
      <c r="C158" s="49" t="s">
        <v>1012</v>
      </c>
      <c r="D158" s="69" t="s">
        <v>1155</v>
      </c>
      <c r="E158" s="49" t="s">
        <v>34</v>
      </c>
      <c r="F158" s="49" t="s">
        <v>14</v>
      </c>
      <c r="G158" s="48">
        <v>0</v>
      </c>
      <c r="H158" s="70"/>
      <c r="I158" s="49"/>
    </row>
    <row r="159" spans="1:9" ht="409.5">
      <c r="A159" s="4">
        <v>158</v>
      </c>
      <c r="B159" s="4">
        <f>ROUNDUP(A159/12,0)</f>
        <v>14</v>
      </c>
      <c r="C159" s="49" t="s">
        <v>1012</v>
      </c>
      <c r="D159" s="69" t="s">
        <v>1155</v>
      </c>
      <c r="E159" s="49" t="s">
        <v>35</v>
      </c>
      <c r="F159" s="49" t="s">
        <v>15</v>
      </c>
      <c r="G159" s="48">
        <v>0</v>
      </c>
      <c r="H159" s="70"/>
      <c r="I159" s="49"/>
    </row>
    <row r="160" spans="1:9" ht="409.5">
      <c r="A160" s="4">
        <v>159</v>
      </c>
      <c r="B160" s="4">
        <f>ROUNDUP(A160/12,0)</f>
        <v>14</v>
      </c>
      <c r="C160" s="49" t="s">
        <v>1012</v>
      </c>
      <c r="D160" s="69" t="s">
        <v>1155</v>
      </c>
      <c r="E160" s="49" t="s">
        <v>36</v>
      </c>
      <c r="F160" s="49" t="s">
        <v>16</v>
      </c>
      <c r="G160" s="48">
        <v>0</v>
      </c>
      <c r="H160" s="70"/>
      <c r="I160" s="49"/>
    </row>
    <row r="161" spans="1:9" ht="409.5">
      <c r="A161" s="4">
        <v>160</v>
      </c>
      <c r="B161" s="4">
        <f>ROUNDUP(A161/12,0)</f>
        <v>14</v>
      </c>
      <c r="C161" s="49" t="s">
        <v>1012</v>
      </c>
      <c r="D161" s="69" t="s">
        <v>1155</v>
      </c>
      <c r="E161" s="49" t="s">
        <v>37</v>
      </c>
      <c r="F161" s="49" t="s">
        <v>17</v>
      </c>
      <c r="G161" s="48">
        <v>1</v>
      </c>
      <c r="H161" s="70">
        <v>46236</v>
      </c>
      <c r="I161" s="49" t="s">
        <v>1013</v>
      </c>
    </row>
    <row r="162" spans="1:9" ht="409.5">
      <c r="A162" s="4">
        <v>161</v>
      </c>
      <c r="B162" s="4">
        <f>ROUNDUP(A162/12,0)</f>
        <v>14</v>
      </c>
      <c r="C162" s="49" t="s">
        <v>1012</v>
      </c>
      <c r="D162" s="69" t="s">
        <v>1155</v>
      </c>
      <c r="E162" s="49" t="s">
        <v>38</v>
      </c>
      <c r="F162" s="49" t="s">
        <v>18</v>
      </c>
      <c r="G162" s="48">
        <v>0</v>
      </c>
      <c r="H162" s="70"/>
      <c r="I162" s="49"/>
    </row>
    <row r="163" spans="1:9" ht="409.5">
      <c r="A163" s="4">
        <v>162</v>
      </c>
      <c r="B163" s="4">
        <f>ROUNDUP(A163/12,0)</f>
        <v>14</v>
      </c>
      <c r="C163" s="49" t="s">
        <v>1012</v>
      </c>
      <c r="D163" s="69" t="s">
        <v>1155</v>
      </c>
      <c r="E163" s="49" t="s">
        <v>39</v>
      </c>
      <c r="F163" s="49" t="s">
        <v>19</v>
      </c>
      <c r="G163" s="48">
        <v>0</v>
      </c>
      <c r="H163" s="70"/>
      <c r="I163" s="49"/>
    </row>
    <row r="164" spans="1:9" ht="409.5">
      <c r="A164" s="4">
        <v>163</v>
      </c>
      <c r="B164" s="4">
        <f>ROUNDUP(A164/12,0)</f>
        <v>14</v>
      </c>
      <c r="C164" s="49" t="s">
        <v>1012</v>
      </c>
      <c r="D164" s="69" t="s">
        <v>1155</v>
      </c>
      <c r="E164" s="49" t="s">
        <v>40</v>
      </c>
      <c r="F164" s="49" t="s">
        <v>20</v>
      </c>
      <c r="G164" s="48">
        <v>0</v>
      </c>
      <c r="H164" s="70"/>
      <c r="I164" s="49"/>
    </row>
    <row r="165" spans="1:9" ht="409.5">
      <c r="A165" s="4">
        <v>164</v>
      </c>
      <c r="B165" s="4">
        <f>ROUNDUP(A165/12,0)</f>
        <v>14</v>
      </c>
      <c r="C165" s="49" t="s">
        <v>1012</v>
      </c>
      <c r="D165" s="69" t="s">
        <v>1155</v>
      </c>
      <c r="E165" s="49" t="s">
        <v>40</v>
      </c>
      <c r="F165" s="49" t="s">
        <v>21</v>
      </c>
      <c r="G165" s="48">
        <v>0</v>
      </c>
      <c r="H165" s="70"/>
      <c r="I165" s="49"/>
    </row>
    <row r="166" spans="1:9" ht="409.5">
      <c r="A166" s="4">
        <v>165</v>
      </c>
      <c r="B166" s="4">
        <f>ROUNDUP(A166/12,0)</f>
        <v>14</v>
      </c>
      <c r="C166" s="49" t="s">
        <v>1012</v>
      </c>
      <c r="D166" s="69" t="s">
        <v>1155</v>
      </c>
      <c r="E166" s="49" t="s">
        <v>41</v>
      </c>
      <c r="F166" s="49" t="s">
        <v>22</v>
      </c>
      <c r="G166" s="48">
        <v>0</v>
      </c>
      <c r="H166" s="70"/>
      <c r="I166" s="49"/>
    </row>
    <row r="167" spans="1:9" ht="409.5">
      <c r="A167" s="4">
        <v>166</v>
      </c>
      <c r="B167" s="4">
        <f>ROUNDUP(A167/12,0)</f>
        <v>14</v>
      </c>
      <c r="C167" s="49" t="s">
        <v>1012</v>
      </c>
      <c r="D167" s="69" t="s">
        <v>1155</v>
      </c>
      <c r="E167" s="49" t="s">
        <v>42</v>
      </c>
      <c r="F167" s="49" t="s">
        <v>23</v>
      </c>
      <c r="G167" s="48">
        <v>0</v>
      </c>
      <c r="H167" s="70"/>
      <c r="I167" s="49"/>
    </row>
    <row r="168" spans="1:9" ht="409.5">
      <c r="A168" s="4">
        <v>167</v>
      </c>
      <c r="B168" s="4">
        <f>ROUNDUP(A168/12,0)</f>
        <v>14</v>
      </c>
      <c r="C168" s="49" t="s">
        <v>1012</v>
      </c>
      <c r="D168" s="69" t="s">
        <v>1155</v>
      </c>
      <c r="E168" s="49" t="s">
        <v>43</v>
      </c>
      <c r="F168" s="49" t="s">
        <v>24</v>
      </c>
      <c r="G168" s="48">
        <v>0</v>
      </c>
      <c r="H168" s="70"/>
      <c r="I168" s="49"/>
    </row>
    <row r="169" spans="1:9" ht="409.5">
      <c r="A169" s="4">
        <v>168</v>
      </c>
      <c r="B169" s="4">
        <f>ROUNDUP(A169/12,0)</f>
        <v>14</v>
      </c>
      <c r="C169" s="49" t="s">
        <v>1012</v>
      </c>
      <c r="D169" s="69" t="s">
        <v>1155</v>
      </c>
      <c r="E169" s="49" t="s">
        <v>44</v>
      </c>
      <c r="F169" s="49" t="s">
        <v>25</v>
      </c>
      <c r="G169" s="48">
        <v>0</v>
      </c>
      <c r="H169" s="70"/>
      <c r="I169" s="49"/>
    </row>
    <row r="170" spans="1:9" ht="409.5">
      <c r="A170" s="4">
        <v>169</v>
      </c>
      <c r="B170" s="4">
        <f>ROUNDUP(A170/12,0)</f>
        <v>15</v>
      </c>
      <c r="C170" s="49" t="s">
        <v>1078</v>
      </c>
      <c r="D170" s="69" t="s">
        <v>1189</v>
      </c>
      <c r="E170" s="49" t="s">
        <v>34</v>
      </c>
      <c r="F170" s="49" t="s">
        <v>14</v>
      </c>
      <c r="G170" s="48">
        <v>0</v>
      </c>
      <c r="H170" s="70"/>
      <c r="I170" s="49"/>
    </row>
    <row r="171" spans="1:9" ht="409.5">
      <c r="A171" s="4">
        <v>170</v>
      </c>
      <c r="B171" s="4">
        <f>ROUNDUP(A171/12,0)</f>
        <v>15</v>
      </c>
      <c r="C171" s="49" t="s">
        <v>1078</v>
      </c>
      <c r="D171" s="69" t="s">
        <v>1189</v>
      </c>
      <c r="E171" s="49" t="s">
        <v>35</v>
      </c>
      <c r="F171" s="49" t="s">
        <v>15</v>
      </c>
      <c r="G171" s="48">
        <v>0</v>
      </c>
      <c r="H171" s="70"/>
      <c r="I171" s="49"/>
    </row>
    <row r="172" spans="1:9" ht="409.5">
      <c r="A172" s="4">
        <v>171</v>
      </c>
      <c r="B172" s="4">
        <f>ROUNDUP(A172/12,0)</f>
        <v>15</v>
      </c>
      <c r="C172" s="49" t="s">
        <v>1078</v>
      </c>
      <c r="D172" s="69" t="s">
        <v>1189</v>
      </c>
      <c r="E172" s="49" t="s">
        <v>36</v>
      </c>
      <c r="F172" s="49" t="s">
        <v>16</v>
      </c>
      <c r="G172" s="48">
        <v>0</v>
      </c>
      <c r="H172" s="70"/>
      <c r="I172" s="49"/>
    </row>
    <row r="173" spans="1:9" ht="409.5">
      <c r="A173" s="4">
        <v>172</v>
      </c>
      <c r="B173" s="4">
        <f>ROUNDUP(A173/12,0)</f>
        <v>15</v>
      </c>
      <c r="C173" s="49" t="s">
        <v>1078</v>
      </c>
      <c r="D173" s="69" t="s">
        <v>1189</v>
      </c>
      <c r="E173" s="49" t="s">
        <v>37</v>
      </c>
      <c r="F173" s="49" t="s">
        <v>17</v>
      </c>
      <c r="G173" s="48">
        <v>1</v>
      </c>
      <c r="H173" s="70">
        <v>45863</v>
      </c>
      <c r="I173" s="49" t="s">
        <v>1079</v>
      </c>
    </row>
    <row r="174" spans="1:9" ht="409.5">
      <c r="A174" s="4">
        <v>173</v>
      </c>
      <c r="B174" s="4">
        <f>ROUNDUP(A174/12,0)</f>
        <v>15</v>
      </c>
      <c r="C174" s="49" t="s">
        <v>1078</v>
      </c>
      <c r="D174" s="69" t="s">
        <v>1189</v>
      </c>
      <c r="E174" s="49" t="s">
        <v>38</v>
      </c>
      <c r="F174" s="49" t="s">
        <v>18</v>
      </c>
      <c r="G174" s="48">
        <v>0</v>
      </c>
      <c r="H174" s="70"/>
      <c r="I174" s="49"/>
    </row>
    <row r="175" spans="1:9" ht="409.5">
      <c r="A175" s="4">
        <v>174</v>
      </c>
      <c r="B175" s="4">
        <f>ROUNDUP(A175/12,0)</f>
        <v>15</v>
      </c>
      <c r="C175" s="49" t="s">
        <v>1078</v>
      </c>
      <c r="D175" s="69" t="s">
        <v>1189</v>
      </c>
      <c r="E175" s="49" t="s">
        <v>39</v>
      </c>
      <c r="F175" s="49" t="s">
        <v>19</v>
      </c>
      <c r="G175" s="48">
        <v>0</v>
      </c>
      <c r="H175" s="70"/>
      <c r="I175" s="49"/>
    </row>
    <row r="176" spans="1:9" ht="409.5">
      <c r="A176" s="4">
        <v>175</v>
      </c>
      <c r="B176" s="4">
        <f>ROUNDUP(A176/12,0)</f>
        <v>15</v>
      </c>
      <c r="C176" s="49" t="s">
        <v>1078</v>
      </c>
      <c r="D176" s="69" t="s">
        <v>1189</v>
      </c>
      <c r="E176" s="49" t="s">
        <v>40</v>
      </c>
      <c r="F176" s="49" t="s">
        <v>20</v>
      </c>
      <c r="G176" s="48">
        <v>0</v>
      </c>
      <c r="H176" s="70"/>
      <c r="I176" s="49"/>
    </row>
    <row r="177" spans="1:9" ht="409.5">
      <c r="A177" s="4">
        <v>176</v>
      </c>
      <c r="B177" s="4">
        <f>ROUNDUP(A177/12,0)</f>
        <v>15</v>
      </c>
      <c r="C177" s="49" t="s">
        <v>1078</v>
      </c>
      <c r="D177" s="69" t="s">
        <v>1189</v>
      </c>
      <c r="E177" s="49" t="s">
        <v>40</v>
      </c>
      <c r="F177" s="49" t="s">
        <v>21</v>
      </c>
      <c r="G177" s="48">
        <v>0</v>
      </c>
      <c r="H177" s="70"/>
      <c r="I177" s="49"/>
    </row>
    <row r="178" spans="1:9" ht="409.5">
      <c r="A178" s="4">
        <v>177</v>
      </c>
      <c r="B178" s="4">
        <f>ROUNDUP(A178/12,0)</f>
        <v>15</v>
      </c>
      <c r="C178" s="49" t="s">
        <v>1078</v>
      </c>
      <c r="D178" s="69" t="s">
        <v>1189</v>
      </c>
      <c r="E178" s="49" t="s">
        <v>41</v>
      </c>
      <c r="F178" s="49" t="s">
        <v>22</v>
      </c>
      <c r="G178" s="48">
        <v>0</v>
      </c>
      <c r="H178" s="70"/>
      <c r="I178" s="49"/>
    </row>
    <row r="179" spans="1:9" ht="409.5">
      <c r="A179" s="4">
        <v>178</v>
      </c>
      <c r="B179" s="4">
        <f>ROUNDUP(A179/12,0)</f>
        <v>15</v>
      </c>
      <c r="C179" s="49" t="s">
        <v>1078</v>
      </c>
      <c r="D179" s="69" t="s">
        <v>1189</v>
      </c>
      <c r="E179" s="49" t="s">
        <v>42</v>
      </c>
      <c r="F179" s="49" t="s">
        <v>23</v>
      </c>
      <c r="G179" s="48">
        <v>0</v>
      </c>
      <c r="H179" s="70"/>
      <c r="I179" s="49"/>
    </row>
    <row r="180" spans="1:9" ht="409.5">
      <c r="A180" s="4">
        <v>179</v>
      </c>
      <c r="B180" s="4">
        <f>ROUNDUP(A180/12,0)</f>
        <v>15</v>
      </c>
      <c r="C180" s="49" t="s">
        <v>1078</v>
      </c>
      <c r="D180" s="69" t="s">
        <v>1189</v>
      </c>
      <c r="E180" s="49" t="s">
        <v>43</v>
      </c>
      <c r="F180" s="49" t="s">
        <v>24</v>
      </c>
      <c r="G180" s="48">
        <v>0</v>
      </c>
      <c r="H180" s="70"/>
      <c r="I180" s="49"/>
    </row>
    <row r="181" spans="1:9" ht="409.5">
      <c r="A181" s="4">
        <v>180</v>
      </c>
      <c r="B181" s="4">
        <f>ROUNDUP(A181/12,0)</f>
        <v>15</v>
      </c>
      <c r="C181" s="49" t="s">
        <v>1078</v>
      </c>
      <c r="D181" s="69" t="s">
        <v>1189</v>
      </c>
      <c r="E181" s="49" t="s">
        <v>44</v>
      </c>
      <c r="F181" s="49" t="s">
        <v>25</v>
      </c>
      <c r="G181" s="48">
        <v>0</v>
      </c>
      <c r="H181" s="70"/>
      <c r="I181" s="49"/>
    </row>
    <row r="182" spans="1:9" ht="267.75">
      <c r="A182" s="4">
        <v>181</v>
      </c>
      <c r="B182" s="4">
        <f>ROUNDUP(A182/12,0)</f>
        <v>16</v>
      </c>
      <c r="C182" s="49" t="s">
        <v>1066</v>
      </c>
      <c r="D182" s="69" t="s">
        <v>1183</v>
      </c>
      <c r="E182" s="49" t="s">
        <v>34</v>
      </c>
      <c r="F182" s="49" t="s">
        <v>14</v>
      </c>
      <c r="G182" s="48">
        <v>0</v>
      </c>
      <c r="H182" s="70"/>
      <c r="I182" s="49"/>
    </row>
    <row r="183" spans="1:9" ht="267.75">
      <c r="A183" s="4">
        <v>182</v>
      </c>
      <c r="B183" s="4">
        <f>ROUNDUP(A183/12,0)</f>
        <v>16</v>
      </c>
      <c r="C183" s="49" t="s">
        <v>1066</v>
      </c>
      <c r="D183" s="69" t="s">
        <v>1183</v>
      </c>
      <c r="E183" s="49" t="s">
        <v>35</v>
      </c>
      <c r="F183" s="49" t="s">
        <v>15</v>
      </c>
      <c r="G183" s="48">
        <v>0</v>
      </c>
      <c r="H183" s="70"/>
      <c r="I183" s="49"/>
    </row>
    <row r="184" spans="1:9" ht="267.75">
      <c r="A184" s="4">
        <v>183</v>
      </c>
      <c r="B184" s="4">
        <f>ROUNDUP(A184/12,0)</f>
        <v>16</v>
      </c>
      <c r="C184" s="49" t="s">
        <v>1066</v>
      </c>
      <c r="D184" s="69" t="s">
        <v>1183</v>
      </c>
      <c r="E184" s="49" t="s">
        <v>36</v>
      </c>
      <c r="F184" s="49" t="s">
        <v>16</v>
      </c>
      <c r="G184" s="48">
        <v>0</v>
      </c>
      <c r="H184" s="70"/>
      <c r="I184" s="49"/>
    </row>
    <row r="185" spans="1:9" ht="267.75">
      <c r="A185" s="4">
        <v>184</v>
      </c>
      <c r="B185" s="4">
        <f>ROUNDUP(A185/12,0)</f>
        <v>16</v>
      </c>
      <c r="C185" s="49" t="s">
        <v>1066</v>
      </c>
      <c r="D185" s="69" t="s">
        <v>1183</v>
      </c>
      <c r="E185" s="49" t="s">
        <v>37</v>
      </c>
      <c r="F185" s="49" t="s">
        <v>17</v>
      </c>
      <c r="G185" s="48">
        <v>1</v>
      </c>
      <c r="H185" s="70">
        <v>45929</v>
      </c>
      <c r="I185" s="49" t="s">
        <v>1067</v>
      </c>
    </row>
    <row r="186" spans="1:9" ht="267.75">
      <c r="A186" s="4">
        <v>185</v>
      </c>
      <c r="B186" s="4">
        <f>ROUNDUP(A186/12,0)</f>
        <v>16</v>
      </c>
      <c r="C186" s="49" t="s">
        <v>1066</v>
      </c>
      <c r="D186" s="69" t="s">
        <v>1183</v>
      </c>
      <c r="E186" s="49" t="s">
        <v>38</v>
      </c>
      <c r="F186" s="49" t="s">
        <v>18</v>
      </c>
      <c r="G186" s="48">
        <v>0</v>
      </c>
      <c r="H186" s="70"/>
      <c r="I186" s="49"/>
    </row>
    <row r="187" spans="1:9" ht="267.75">
      <c r="A187" s="4">
        <v>186</v>
      </c>
      <c r="B187" s="4">
        <f>ROUNDUP(A187/12,0)</f>
        <v>16</v>
      </c>
      <c r="C187" s="49" t="s">
        <v>1066</v>
      </c>
      <c r="D187" s="69" t="s">
        <v>1183</v>
      </c>
      <c r="E187" s="49" t="s">
        <v>39</v>
      </c>
      <c r="F187" s="49" t="s">
        <v>19</v>
      </c>
      <c r="G187" s="48">
        <v>0</v>
      </c>
      <c r="H187" s="70"/>
      <c r="I187" s="49"/>
    </row>
    <row r="188" spans="1:9" ht="267.75">
      <c r="A188" s="4">
        <v>187</v>
      </c>
      <c r="B188" s="4">
        <f>ROUNDUP(A188/12,0)</f>
        <v>16</v>
      </c>
      <c r="C188" s="49" t="s">
        <v>1066</v>
      </c>
      <c r="D188" s="69" t="s">
        <v>1183</v>
      </c>
      <c r="E188" s="49" t="s">
        <v>40</v>
      </c>
      <c r="F188" s="49" t="s">
        <v>20</v>
      </c>
      <c r="G188" s="48">
        <v>0</v>
      </c>
      <c r="H188" s="70"/>
      <c r="I188" s="49"/>
    </row>
    <row r="189" spans="1:9" ht="267.75">
      <c r="A189" s="4">
        <v>188</v>
      </c>
      <c r="B189" s="4">
        <f>ROUNDUP(A189/12,0)</f>
        <v>16</v>
      </c>
      <c r="C189" s="49" t="s">
        <v>1066</v>
      </c>
      <c r="D189" s="69" t="s">
        <v>1183</v>
      </c>
      <c r="E189" s="49" t="s">
        <v>40</v>
      </c>
      <c r="F189" s="49" t="s">
        <v>21</v>
      </c>
      <c r="G189" s="48">
        <v>0</v>
      </c>
      <c r="H189" s="70"/>
      <c r="I189" s="49"/>
    </row>
    <row r="190" spans="1:9" ht="267.75">
      <c r="A190" s="4">
        <v>189</v>
      </c>
      <c r="B190" s="4">
        <f>ROUNDUP(A190/12,0)</f>
        <v>16</v>
      </c>
      <c r="C190" s="49" t="s">
        <v>1066</v>
      </c>
      <c r="D190" s="69" t="s">
        <v>1183</v>
      </c>
      <c r="E190" s="49" t="s">
        <v>41</v>
      </c>
      <c r="F190" s="49" t="s">
        <v>22</v>
      </c>
      <c r="G190" s="48">
        <v>0</v>
      </c>
      <c r="H190" s="70"/>
      <c r="I190" s="49"/>
    </row>
    <row r="191" spans="1:9" ht="267.75">
      <c r="A191" s="4">
        <v>190</v>
      </c>
      <c r="B191" s="4">
        <f>ROUNDUP(A191/12,0)</f>
        <v>16</v>
      </c>
      <c r="C191" s="49" t="s">
        <v>1066</v>
      </c>
      <c r="D191" s="69" t="s">
        <v>1183</v>
      </c>
      <c r="E191" s="49" t="s">
        <v>42</v>
      </c>
      <c r="F191" s="49" t="s">
        <v>23</v>
      </c>
      <c r="G191" s="48">
        <v>0</v>
      </c>
      <c r="H191" s="70"/>
      <c r="I191" s="49"/>
    </row>
    <row r="192" spans="1:9" ht="267.75">
      <c r="A192" s="4">
        <v>191</v>
      </c>
      <c r="B192" s="4">
        <f>ROUNDUP(A192/12,0)</f>
        <v>16</v>
      </c>
      <c r="C192" s="49" t="s">
        <v>1066</v>
      </c>
      <c r="D192" s="69" t="s">
        <v>1183</v>
      </c>
      <c r="E192" s="49" t="s">
        <v>43</v>
      </c>
      <c r="F192" s="49" t="s">
        <v>24</v>
      </c>
      <c r="G192" s="48">
        <v>0</v>
      </c>
      <c r="H192" s="70"/>
      <c r="I192" s="49"/>
    </row>
    <row r="193" spans="1:9" ht="267.75">
      <c r="A193" s="4">
        <v>192</v>
      </c>
      <c r="B193" s="4">
        <f>ROUNDUP(A193/12,0)</f>
        <v>16</v>
      </c>
      <c r="C193" s="49" t="s">
        <v>1066</v>
      </c>
      <c r="D193" s="69" t="s">
        <v>1183</v>
      </c>
      <c r="E193" s="49" t="s">
        <v>44</v>
      </c>
      <c r="F193" s="49" t="s">
        <v>25</v>
      </c>
      <c r="G193" s="48">
        <v>0</v>
      </c>
      <c r="H193" s="70"/>
      <c r="I193" s="49"/>
    </row>
    <row r="194" spans="1:9" ht="409.5">
      <c r="A194" s="4">
        <v>193</v>
      </c>
      <c r="B194" s="4">
        <f>ROUNDUP(A194/12,0)</f>
        <v>17</v>
      </c>
      <c r="C194" s="49" t="s">
        <v>1080</v>
      </c>
      <c r="D194" s="69" t="s">
        <v>1190</v>
      </c>
      <c r="E194" s="49" t="s">
        <v>34</v>
      </c>
      <c r="F194" s="49" t="s">
        <v>14</v>
      </c>
      <c r="G194" s="48">
        <v>0</v>
      </c>
      <c r="H194" s="70"/>
      <c r="I194" s="49"/>
    </row>
    <row r="195" spans="1:9" ht="409.5">
      <c r="A195" s="4">
        <v>194</v>
      </c>
      <c r="B195" s="4">
        <f>ROUNDUP(A195/12,0)</f>
        <v>17</v>
      </c>
      <c r="C195" s="49" t="s">
        <v>1080</v>
      </c>
      <c r="D195" s="69" t="s">
        <v>1190</v>
      </c>
      <c r="E195" s="49" t="s">
        <v>35</v>
      </c>
      <c r="F195" s="49" t="s">
        <v>15</v>
      </c>
      <c r="G195" s="48">
        <v>0</v>
      </c>
      <c r="H195" s="70"/>
      <c r="I195" s="49"/>
    </row>
    <row r="196" spans="1:9" ht="409.5">
      <c r="A196" s="4">
        <v>195</v>
      </c>
      <c r="B196" s="4">
        <f>ROUNDUP(A196/12,0)</f>
        <v>17</v>
      </c>
      <c r="C196" s="49" t="s">
        <v>1080</v>
      </c>
      <c r="D196" s="69" t="s">
        <v>1190</v>
      </c>
      <c r="E196" s="49" t="s">
        <v>36</v>
      </c>
      <c r="F196" s="49" t="s">
        <v>16</v>
      </c>
      <c r="G196" s="48">
        <v>0</v>
      </c>
      <c r="H196" s="70"/>
      <c r="I196" s="49"/>
    </row>
    <row r="197" spans="1:9" ht="409.5">
      <c r="A197" s="4">
        <v>196</v>
      </c>
      <c r="B197" s="4">
        <f>ROUNDUP(A197/12,0)</f>
        <v>17</v>
      </c>
      <c r="C197" s="49" t="s">
        <v>1080</v>
      </c>
      <c r="D197" s="69" t="s">
        <v>1190</v>
      </c>
      <c r="E197" s="49" t="s">
        <v>37</v>
      </c>
      <c r="F197" s="49" t="s">
        <v>17</v>
      </c>
      <c r="G197" s="48">
        <v>1</v>
      </c>
      <c r="H197" s="70">
        <v>45858</v>
      </c>
      <c r="I197" s="49" t="s">
        <v>1081</v>
      </c>
    </row>
    <row r="198" spans="1:9" ht="409.5">
      <c r="A198" s="4">
        <v>197</v>
      </c>
      <c r="B198" s="4">
        <f>ROUNDUP(A198/12,0)</f>
        <v>17</v>
      </c>
      <c r="C198" s="49" t="s">
        <v>1080</v>
      </c>
      <c r="D198" s="69" t="s">
        <v>1190</v>
      </c>
      <c r="E198" s="49" t="s">
        <v>38</v>
      </c>
      <c r="F198" s="49" t="s">
        <v>18</v>
      </c>
      <c r="G198" s="48">
        <v>0</v>
      </c>
      <c r="H198" s="70"/>
      <c r="I198" s="49"/>
    </row>
    <row r="199" spans="1:9" ht="409.5">
      <c r="A199" s="4">
        <v>198</v>
      </c>
      <c r="B199" s="4">
        <f>ROUNDUP(A199/12,0)</f>
        <v>17</v>
      </c>
      <c r="C199" s="49" t="s">
        <v>1080</v>
      </c>
      <c r="D199" s="69" t="s">
        <v>1190</v>
      </c>
      <c r="E199" s="49" t="s">
        <v>39</v>
      </c>
      <c r="F199" s="49" t="s">
        <v>19</v>
      </c>
      <c r="G199" s="48">
        <v>0</v>
      </c>
      <c r="H199" s="70"/>
      <c r="I199" s="49"/>
    </row>
    <row r="200" spans="1:9" ht="409.5">
      <c r="A200" s="4">
        <v>199</v>
      </c>
      <c r="B200" s="4">
        <f>ROUNDUP(A200/12,0)</f>
        <v>17</v>
      </c>
      <c r="C200" s="49" t="s">
        <v>1080</v>
      </c>
      <c r="D200" s="69" t="s">
        <v>1190</v>
      </c>
      <c r="E200" s="49" t="s">
        <v>40</v>
      </c>
      <c r="F200" s="49" t="s">
        <v>20</v>
      </c>
      <c r="G200" s="48">
        <v>0</v>
      </c>
      <c r="H200" s="70"/>
      <c r="I200" s="49"/>
    </row>
    <row r="201" spans="1:9" ht="409.5">
      <c r="A201" s="4">
        <v>200</v>
      </c>
      <c r="B201" s="4">
        <f>ROUNDUP(A201/12,0)</f>
        <v>17</v>
      </c>
      <c r="C201" s="49" t="s">
        <v>1080</v>
      </c>
      <c r="D201" s="69" t="s">
        <v>1190</v>
      </c>
      <c r="E201" s="49" t="s">
        <v>40</v>
      </c>
      <c r="F201" s="49" t="s">
        <v>21</v>
      </c>
      <c r="G201" s="48">
        <v>0</v>
      </c>
      <c r="H201" s="70"/>
      <c r="I201" s="49"/>
    </row>
    <row r="202" spans="1:9" ht="409.5">
      <c r="A202" s="4">
        <v>201</v>
      </c>
      <c r="B202" s="4">
        <f>ROUNDUP(A202/12,0)</f>
        <v>17</v>
      </c>
      <c r="C202" s="49" t="s">
        <v>1080</v>
      </c>
      <c r="D202" s="69" t="s">
        <v>1190</v>
      </c>
      <c r="E202" s="49" t="s">
        <v>41</v>
      </c>
      <c r="F202" s="49" t="s">
        <v>22</v>
      </c>
      <c r="G202" s="48">
        <v>0</v>
      </c>
      <c r="H202" s="70"/>
      <c r="I202" s="49"/>
    </row>
    <row r="203" spans="1:9" ht="409.5">
      <c r="A203" s="4">
        <v>202</v>
      </c>
      <c r="B203" s="4">
        <f>ROUNDUP(A203/12,0)</f>
        <v>17</v>
      </c>
      <c r="C203" s="49" t="s">
        <v>1080</v>
      </c>
      <c r="D203" s="69" t="s">
        <v>1190</v>
      </c>
      <c r="E203" s="49" t="s">
        <v>42</v>
      </c>
      <c r="F203" s="49" t="s">
        <v>23</v>
      </c>
      <c r="G203" s="48">
        <v>0</v>
      </c>
      <c r="H203" s="70"/>
      <c r="I203" s="49"/>
    </row>
    <row r="204" spans="1:9" ht="409.5">
      <c r="A204" s="4">
        <v>203</v>
      </c>
      <c r="B204" s="4">
        <f>ROUNDUP(A204/12,0)</f>
        <v>17</v>
      </c>
      <c r="C204" s="49" t="s">
        <v>1080</v>
      </c>
      <c r="D204" s="69" t="s">
        <v>1190</v>
      </c>
      <c r="E204" s="49" t="s">
        <v>43</v>
      </c>
      <c r="F204" s="49" t="s">
        <v>24</v>
      </c>
      <c r="G204" s="48">
        <v>0</v>
      </c>
      <c r="H204" s="70"/>
      <c r="I204" s="49"/>
    </row>
    <row r="205" spans="1:9" ht="409.5">
      <c r="A205" s="4">
        <v>204</v>
      </c>
      <c r="B205" s="4">
        <f>ROUNDUP(A205/12,0)</f>
        <v>17</v>
      </c>
      <c r="C205" s="49" t="s">
        <v>1080</v>
      </c>
      <c r="D205" s="69" t="s">
        <v>1190</v>
      </c>
      <c r="E205" s="49" t="s">
        <v>44</v>
      </c>
      <c r="F205" s="49" t="s">
        <v>25</v>
      </c>
      <c r="G205" s="48">
        <v>0</v>
      </c>
      <c r="H205" s="70"/>
      <c r="I205" s="49"/>
    </row>
    <row r="206" spans="1:9" ht="409.5">
      <c r="A206" s="4">
        <v>205</v>
      </c>
      <c r="B206" s="4">
        <f>ROUNDUP(A206/12,0)</f>
        <v>18</v>
      </c>
      <c r="C206" s="49" t="s">
        <v>1074</v>
      </c>
      <c r="D206" s="69" t="s">
        <v>1187</v>
      </c>
      <c r="E206" s="49" t="s">
        <v>34</v>
      </c>
      <c r="F206" s="49" t="s">
        <v>14</v>
      </c>
      <c r="G206" s="48">
        <v>0</v>
      </c>
      <c r="H206" s="70"/>
      <c r="I206" s="49"/>
    </row>
    <row r="207" spans="1:9" ht="409.5">
      <c r="A207" s="4">
        <v>206</v>
      </c>
      <c r="B207" s="4">
        <f>ROUNDUP(A207/12,0)</f>
        <v>18</v>
      </c>
      <c r="C207" s="49" t="s">
        <v>1074</v>
      </c>
      <c r="D207" s="69" t="s">
        <v>1187</v>
      </c>
      <c r="E207" s="49" t="s">
        <v>35</v>
      </c>
      <c r="F207" s="49" t="s">
        <v>15</v>
      </c>
      <c r="G207" s="48">
        <v>0</v>
      </c>
      <c r="H207" s="70"/>
      <c r="I207" s="49"/>
    </row>
    <row r="208" spans="1:9" ht="409.5">
      <c r="A208" s="4">
        <v>207</v>
      </c>
      <c r="B208" s="4">
        <f>ROUNDUP(A208/12,0)</f>
        <v>18</v>
      </c>
      <c r="C208" s="49" t="s">
        <v>1074</v>
      </c>
      <c r="D208" s="69" t="s">
        <v>1187</v>
      </c>
      <c r="E208" s="49" t="s">
        <v>36</v>
      </c>
      <c r="F208" s="49" t="s">
        <v>16</v>
      </c>
      <c r="G208" s="48">
        <v>0</v>
      </c>
      <c r="H208" s="70"/>
      <c r="I208" s="49"/>
    </row>
    <row r="209" spans="1:9" ht="409.5">
      <c r="A209" s="4">
        <v>208</v>
      </c>
      <c r="B209" s="4">
        <f>ROUNDUP(A209/12,0)</f>
        <v>18</v>
      </c>
      <c r="C209" s="49" t="s">
        <v>1074</v>
      </c>
      <c r="D209" s="69" t="s">
        <v>1187</v>
      </c>
      <c r="E209" s="49" t="s">
        <v>37</v>
      </c>
      <c r="F209" s="49" t="s">
        <v>17</v>
      </c>
      <c r="G209" s="48">
        <v>1</v>
      </c>
      <c r="H209" s="70">
        <v>45878</v>
      </c>
      <c r="I209" s="49" t="s">
        <v>1075</v>
      </c>
    </row>
    <row r="210" spans="1:9" ht="409.5">
      <c r="A210" s="4">
        <v>209</v>
      </c>
      <c r="B210" s="4">
        <f>ROUNDUP(A210/12,0)</f>
        <v>18</v>
      </c>
      <c r="C210" s="49" t="s">
        <v>1074</v>
      </c>
      <c r="D210" s="69" t="s">
        <v>1187</v>
      </c>
      <c r="E210" s="49" t="s">
        <v>38</v>
      </c>
      <c r="F210" s="49" t="s">
        <v>18</v>
      </c>
      <c r="G210" s="48">
        <v>0</v>
      </c>
      <c r="H210" s="70"/>
      <c r="I210" s="49"/>
    </row>
    <row r="211" spans="1:9" ht="409.5">
      <c r="A211" s="4">
        <v>210</v>
      </c>
      <c r="B211" s="4">
        <f>ROUNDUP(A211/12,0)</f>
        <v>18</v>
      </c>
      <c r="C211" s="49" t="s">
        <v>1074</v>
      </c>
      <c r="D211" s="69" t="s">
        <v>1187</v>
      </c>
      <c r="E211" s="49" t="s">
        <v>39</v>
      </c>
      <c r="F211" s="49" t="s">
        <v>19</v>
      </c>
      <c r="G211" s="48">
        <v>0</v>
      </c>
      <c r="H211" s="70"/>
      <c r="I211" s="49"/>
    </row>
    <row r="212" spans="1:9" ht="409.5">
      <c r="A212" s="4">
        <v>211</v>
      </c>
      <c r="B212" s="4">
        <f>ROUNDUP(A212/12,0)</f>
        <v>18</v>
      </c>
      <c r="C212" s="49" t="s">
        <v>1074</v>
      </c>
      <c r="D212" s="69" t="s">
        <v>1187</v>
      </c>
      <c r="E212" s="49" t="s">
        <v>40</v>
      </c>
      <c r="F212" s="49" t="s">
        <v>20</v>
      </c>
      <c r="G212" s="48">
        <v>0</v>
      </c>
      <c r="H212" s="70"/>
      <c r="I212" s="49"/>
    </row>
    <row r="213" spans="1:9" ht="409.5">
      <c r="A213" s="4">
        <v>212</v>
      </c>
      <c r="B213" s="4">
        <f>ROUNDUP(A213/12,0)</f>
        <v>18</v>
      </c>
      <c r="C213" s="49" t="s">
        <v>1074</v>
      </c>
      <c r="D213" s="69" t="s">
        <v>1187</v>
      </c>
      <c r="E213" s="49" t="s">
        <v>40</v>
      </c>
      <c r="F213" s="49" t="s">
        <v>21</v>
      </c>
      <c r="G213" s="48">
        <v>0</v>
      </c>
      <c r="H213" s="70"/>
      <c r="I213" s="49"/>
    </row>
    <row r="214" spans="1:9" ht="409.5">
      <c r="A214" s="4">
        <v>213</v>
      </c>
      <c r="B214" s="4">
        <f>ROUNDUP(A214/12,0)</f>
        <v>18</v>
      </c>
      <c r="C214" s="49" t="s">
        <v>1074</v>
      </c>
      <c r="D214" s="69" t="s">
        <v>1187</v>
      </c>
      <c r="E214" s="49" t="s">
        <v>41</v>
      </c>
      <c r="F214" s="49" t="s">
        <v>22</v>
      </c>
      <c r="G214" s="48">
        <v>0</v>
      </c>
      <c r="H214" s="70"/>
      <c r="I214" s="49"/>
    </row>
    <row r="215" spans="1:9" ht="409.5">
      <c r="A215" s="4">
        <v>214</v>
      </c>
      <c r="B215" s="4">
        <f>ROUNDUP(A215/12,0)</f>
        <v>18</v>
      </c>
      <c r="C215" s="49" t="s">
        <v>1074</v>
      </c>
      <c r="D215" s="69" t="s">
        <v>1187</v>
      </c>
      <c r="E215" s="49" t="s">
        <v>42</v>
      </c>
      <c r="F215" s="49" t="s">
        <v>23</v>
      </c>
      <c r="G215" s="48">
        <v>0</v>
      </c>
      <c r="H215" s="70"/>
      <c r="I215" s="49"/>
    </row>
    <row r="216" spans="1:9" ht="409.5">
      <c r="A216" s="4">
        <v>215</v>
      </c>
      <c r="B216" s="4">
        <f>ROUNDUP(A216/12,0)</f>
        <v>18</v>
      </c>
      <c r="C216" s="49" t="s">
        <v>1074</v>
      </c>
      <c r="D216" s="69" t="s">
        <v>1187</v>
      </c>
      <c r="E216" s="49" t="s">
        <v>43</v>
      </c>
      <c r="F216" s="49" t="s">
        <v>24</v>
      </c>
      <c r="G216" s="48">
        <v>0</v>
      </c>
      <c r="H216" s="70"/>
      <c r="I216" s="49"/>
    </row>
    <row r="217" spans="1:9" ht="409.5">
      <c r="A217" s="4">
        <v>216</v>
      </c>
      <c r="B217" s="4">
        <f>ROUNDUP(A217/12,0)</f>
        <v>18</v>
      </c>
      <c r="C217" s="49" t="s">
        <v>1074</v>
      </c>
      <c r="D217" s="69" t="s">
        <v>1187</v>
      </c>
      <c r="E217" s="49" t="s">
        <v>44</v>
      </c>
      <c r="F217" s="49" t="s">
        <v>25</v>
      </c>
      <c r="G217" s="48">
        <v>0</v>
      </c>
      <c r="H217" s="70"/>
      <c r="I217" s="49"/>
    </row>
    <row r="218" spans="1:9" ht="252">
      <c r="A218" s="4">
        <v>217</v>
      </c>
      <c r="B218" s="4">
        <f>ROUNDUP(A218/12,0)</f>
        <v>19</v>
      </c>
      <c r="C218" s="49" t="s">
        <v>1062</v>
      </c>
      <c r="D218" s="69" t="s">
        <v>1181</v>
      </c>
      <c r="E218" s="49" t="s">
        <v>34</v>
      </c>
      <c r="F218" s="49" t="s">
        <v>14</v>
      </c>
      <c r="G218" s="48">
        <v>0</v>
      </c>
      <c r="H218" s="70"/>
      <c r="I218" s="49"/>
    </row>
    <row r="219" spans="1:9" ht="252">
      <c r="A219" s="4">
        <v>218</v>
      </c>
      <c r="B219" s="4">
        <f>ROUNDUP(A219/12,0)</f>
        <v>19</v>
      </c>
      <c r="C219" s="49" t="s">
        <v>1062</v>
      </c>
      <c r="D219" s="69" t="s">
        <v>1181</v>
      </c>
      <c r="E219" s="49" t="s">
        <v>35</v>
      </c>
      <c r="F219" s="49" t="s">
        <v>15</v>
      </c>
      <c r="G219" s="48">
        <v>0</v>
      </c>
      <c r="H219" s="70"/>
      <c r="I219" s="49"/>
    </row>
    <row r="220" spans="1:9" ht="252">
      <c r="A220" s="4">
        <v>219</v>
      </c>
      <c r="B220" s="4">
        <f>ROUNDUP(A220/12,0)</f>
        <v>19</v>
      </c>
      <c r="C220" s="49" t="s">
        <v>1062</v>
      </c>
      <c r="D220" s="69" t="s">
        <v>1181</v>
      </c>
      <c r="E220" s="49" t="s">
        <v>36</v>
      </c>
      <c r="F220" s="49" t="s">
        <v>16</v>
      </c>
      <c r="G220" s="48">
        <v>0</v>
      </c>
      <c r="H220" s="70"/>
      <c r="I220" s="49"/>
    </row>
    <row r="221" spans="1:9" ht="252">
      <c r="A221" s="4">
        <v>220</v>
      </c>
      <c r="B221" s="4">
        <f>ROUNDUP(A221/12,0)</f>
        <v>19</v>
      </c>
      <c r="C221" s="49" t="s">
        <v>1062</v>
      </c>
      <c r="D221" s="69" t="s">
        <v>1181</v>
      </c>
      <c r="E221" s="49" t="s">
        <v>37</v>
      </c>
      <c r="F221" s="49" t="s">
        <v>17</v>
      </c>
      <c r="G221" s="48">
        <v>1</v>
      </c>
      <c r="H221" s="70">
        <v>45950</v>
      </c>
      <c r="I221" s="49" t="s">
        <v>1063</v>
      </c>
    </row>
    <row r="222" spans="1:9" ht="252">
      <c r="A222" s="4">
        <v>221</v>
      </c>
      <c r="B222" s="4">
        <f>ROUNDUP(A222/12,0)</f>
        <v>19</v>
      </c>
      <c r="C222" s="49" t="s">
        <v>1062</v>
      </c>
      <c r="D222" s="69" t="s">
        <v>1181</v>
      </c>
      <c r="E222" s="49" t="s">
        <v>38</v>
      </c>
      <c r="F222" s="49" t="s">
        <v>18</v>
      </c>
      <c r="G222" s="48">
        <v>0</v>
      </c>
      <c r="H222" s="70"/>
      <c r="I222" s="49"/>
    </row>
    <row r="223" spans="1:9" ht="252">
      <c r="A223" s="4">
        <v>222</v>
      </c>
      <c r="B223" s="4">
        <f>ROUNDUP(A223/12,0)</f>
        <v>19</v>
      </c>
      <c r="C223" s="49" t="s">
        <v>1062</v>
      </c>
      <c r="D223" s="69" t="s">
        <v>1181</v>
      </c>
      <c r="E223" s="49" t="s">
        <v>39</v>
      </c>
      <c r="F223" s="49" t="s">
        <v>19</v>
      </c>
      <c r="G223" s="48">
        <v>0</v>
      </c>
      <c r="H223" s="70"/>
      <c r="I223" s="49"/>
    </row>
    <row r="224" spans="1:9" ht="252">
      <c r="A224" s="4">
        <v>223</v>
      </c>
      <c r="B224" s="4">
        <f>ROUNDUP(A224/12,0)</f>
        <v>19</v>
      </c>
      <c r="C224" s="49" t="s">
        <v>1062</v>
      </c>
      <c r="D224" s="69" t="s">
        <v>1181</v>
      </c>
      <c r="E224" s="49" t="s">
        <v>40</v>
      </c>
      <c r="F224" s="49" t="s">
        <v>20</v>
      </c>
      <c r="G224" s="48">
        <v>0</v>
      </c>
      <c r="H224" s="70"/>
      <c r="I224" s="49"/>
    </row>
    <row r="225" spans="1:9" ht="252">
      <c r="A225" s="4">
        <v>224</v>
      </c>
      <c r="B225" s="4">
        <f>ROUNDUP(A225/12,0)</f>
        <v>19</v>
      </c>
      <c r="C225" s="49" t="s">
        <v>1062</v>
      </c>
      <c r="D225" s="69" t="s">
        <v>1181</v>
      </c>
      <c r="E225" s="49" t="s">
        <v>40</v>
      </c>
      <c r="F225" s="49" t="s">
        <v>21</v>
      </c>
      <c r="G225" s="48">
        <v>0</v>
      </c>
      <c r="H225" s="70"/>
      <c r="I225" s="49"/>
    </row>
    <row r="226" spans="1:9" ht="252">
      <c r="A226" s="4">
        <v>225</v>
      </c>
      <c r="B226" s="4">
        <f>ROUNDUP(A226/12,0)</f>
        <v>19</v>
      </c>
      <c r="C226" s="49" t="s">
        <v>1062</v>
      </c>
      <c r="D226" s="69" t="s">
        <v>1181</v>
      </c>
      <c r="E226" s="49" t="s">
        <v>41</v>
      </c>
      <c r="F226" s="49" t="s">
        <v>22</v>
      </c>
      <c r="G226" s="48">
        <v>0</v>
      </c>
      <c r="H226" s="70"/>
      <c r="I226" s="49"/>
    </row>
    <row r="227" spans="1:9" ht="252">
      <c r="A227" s="4">
        <v>226</v>
      </c>
      <c r="B227" s="4">
        <f>ROUNDUP(A227/12,0)</f>
        <v>19</v>
      </c>
      <c r="C227" s="49" t="s">
        <v>1062</v>
      </c>
      <c r="D227" s="69" t="s">
        <v>1181</v>
      </c>
      <c r="E227" s="49" t="s">
        <v>42</v>
      </c>
      <c r="F227" s="49" t="s">
        <v>23</v>
      </c>
      <c r="G227" s="48">
        <v>0</v>
      </c>
      <c r="H227" s="70"/>
      <c r="I227" s="49"/>
    </row>
    <row r="228" spans="1:9" ht="252">
      <c r="A228" s="4">
        <v>227</v>
      </c>
      <c r="B228" s="4">
        <f>ROUNDUP(A228/12,0)</f>
        <v>19</v>
      </c>
      <c r="C228" s="49" t="s">
        <v>1062</v>
      </c>
      <c r="D228" s="69" t="s">
        <v>1181</v>
      </c>
      <c r="E228" s="49" t="s">
        <v>43</v>
      </c>
      <c r="F228" s="49" t="s">
        <v>24</v>
      </c>
      <c r="G228" s="48">
        <v>0</v>
      </c>
      <c r="H228" s="70"/>
      <c r="I228" s="49"/>
    </row>
    <row r="229" spans="1:9" ht="252">
      <c r="A229" s="4">
        <v>228</v>
      </c>
      <c r="B229" s="4">
        <f>ROUNDUP(A229/12,0)</f>
        <v>19</v>
      </c>
      <c r="C229" s="49" t="s">
        <v>1062</v>
      </c>
      <c r="D229" s="69" t="s">
        <v>1181</v>
      </c>
      <c r="E229" s="49" t="s">
        <v>44</v>
      </c>
      <c r="F229" s="49" t="s">
        <v>25</v>
      </c>
      <c r="G229" s="48">
        <v>0</v>
      </c>
      <c r="H229" s="70"/>
      <c r="I229" s="49"/>
    </row>
    <row r="230" spans="1:9" ht="330.75">
      <c r="A230" s="4">
        <v>229</v>
      </c>
      <c r="B230" s="4">
        <f>ROUNDUP(A230/12,0)</f>
        <v>20</v>
      </c>
      <c r="C230" s="49" t="s">
        <v>1022</v>
      </c>
      <c r="D230" s="69" t="s">
        <v>1160</v>
      </c>
      <c r="E230" s="49" t="s">
        <v>34</v>
      </c>
      <c r="F230" s="49" t="s">
        <v>14</v>
      </c>
      <c r="G230" s="48">
        <v>0</v>
      </c>
      <c r="H230" s="70"/>
      <c r="I230" s="49"/>
    </row>
    <row r="231" spans="1:9" ht="330.75">
      <c r="A231" s="4">
        <v>230</v>
      </c>
      <c r="B231" s="4">
        <f>ROUNDUP(A231/12,0)</f>
        <v>20</v>
      </c>
      <c r="C231" s="49" t="s">
        <v>1022</v>
      </c>
      <c r="D231" s="69" t="s">
        <v>1160</v>
      </c>
      <c r="E231" s="49" t="s">
        <v>35</v>
      </c>
      <c r="F231" s="49" t="s">
        <v>15</v>
      </c>
      <c r="G231" s="48">
        <v>0</v>
      </c>
      <c r="H231" s="70"/>
      <c r="I231" s="49"/>
    </row>
    <row r="232" spans="1:9" ht="330.75">
      <c r="A232" s="4">
        <v>231</v>
      </c>
      <c r="B232" s="4">
        <f>ROUNDUP(A232/12,0)</f>
        <v>20</v>
      </c>
      <c r="C232" s="49" t="s">
        <v>1022</v>
      </c>
      <c r="D232" s="69" t="s">
        <v>1160</v>
      </c>
      <c r="E232" s="49" t="s">
        <v>36</v>
      </c>
      <c r="F232" s="49" t="s">
        <v>16</v>
      </c>
      <c r="G232" s="48">
        <v>0</v>
      </c>
      <c r="H232" s="70"/>
      <c r="I232" s="49"/>
    </row>
    <row r="233" spans="1:9" ht="330.75">
      <c r="A233" s="4">
        <v>232</v>
      </c>
      <c r="B233" s="4">
        <f>ROUNDUP(A233/12,0)</f>
        <v>20</v>
      </c>
      <c r="C233" s="49" t="s">
        <v>1022</v>
      </c>
      <c r="D233" s="69" t="s">
        <v>1160</v>
      </c>
      <c r="E233" s="49" t="s">
        <v>37</v>
      </c>
      <c r="F233" s="49" t="s">
        <v>17</v>
      </c>
      <c r="G233" s="48">
        <v>1</v>
      </c>
      <c r="H233" s="70">
        <v>46148</v>
      </c>
      <c r="I233" s="49" t="s">
        <v>1023</v>
      </c>
    </row>
    <row r="234" spans="1:9" ht="330.75">
      <c r="A234" s="4">
        <v>233</v>
      </c>
      <c r="B234" s="4">
        <f>ROUNDUP(A234/12,0)</f>
        <v>20</v>
      </c>
      <c r="C234" s="49" t="s">
        <v>1022</v>
      </c>
      <c r="D234" s="69" t="s">
        <v>1160</v>
      </c>
      <c r="E234" s="49" t="s">
        <v>38</v>
      </c>
      <c r="F234" s="49" t="s">
        <v>18</v>
      </c>
      <c r="G234" s="48">
        <v>0</v>
      </c>
      <c r="H234" s="70"/>
      <c r="I234" s="49"/>
    </row>
    <row r="235" spans="1:9" ht="330.75">
      <c r="A235" s="4">
        <v>234</v>
      </c>
      <c r="B235" s="4">
        <f>ROUNDUP(A235/12,0)</f>
        <v>20</v>
      </c>
      <c r="C235" s="49" t="s">
        <v>1022</v>
      </c>
      <c r="D235" s="69" t="s">
        <v>1160</v>
      </c>
      <c r="E235" s="49" t="s">
        <v>39</v>
      </c>
      <c r="F235" s="49" t="s">
        <v>19</v>
      </c>
      <c r="G235" s="48">
        <v>0</v>
      </c>
      <c r="H235" s="70"/>
      <c r="I235" s="49"/>
    </row>
    <row r="236" spans="1:9" ht="330.75">
      <c r="A236" s="4">
        <v>235</v>
      </c>
      <c r="B236" s="4">
        <f>ROUNDUP(A236/12,0)</f>
        <v>20</v>
      </c>
      <c r="C236" s="49" t="s">
        <v>1022</v>
      </c>
      <c r="D236" s="69" t="s">
        <v>1160</v>
      </c>
      <c r="E236" s="49" t="s">
        <v>40</v>
      </c>
      <c r="F236" s="49" t="s">
        <v>20</v>
      </c>
      <c r="G236" s="48">
        <v>0</v>
      </c>
      <c r="H236" s="70"/>
      <c r="I236" s="49"/>
    </row>
    <row r="237" spans="1:9" ht="330.75">
      <c r="A237" s="4">
        <v>236</v>
      </c>
      <c r="B237" s="4">
        <f>ROUNDUP(A237/12,0)</f>
        <v>20</v>
      </c>
      <c r="C237" s="49" t="s">
        <v>1022</v>
      </c>
      <c r="D237" s="69" t="s">
        <v>1160</v>
      </c>
      <c r="E237" s="49" t="s">
        <v>40</v>
      </c>
      <c r="F237" s="49" t="s">
        <v>21</v>
      </c>
      <c r="G237" s="48">
        <v>0</v>
      </c>
      <c r="H237" s="70"/>
      <c r="I237" s="49"/>
    </row>
    <row r="238" spans="1:9" ht="330.75">
      <c r="A238" s="4">
        <v>237</v>
      </c>
      <c r="B238" s="4">
        <f>ROUNDUP(A238/12,0)</f>
        <v>20</v>
      </c>
      <c r="C238" s="49" t="s">
        <v>1022</v>
      </c>
      <c r="D238" s="69" t="s">
        <v>1160</v>
      </c>
      <c r="E238" s="49" t="s">
        <v>41</v>
      </c>
      <c r="F238" s="49" t="s">
        <v>22</v>
      </c>
      <c r="G238" s="48">
        <v>0</v>
      </c>
      <c r="H238" s="70"/>
      <c r="I238" s="49"/>
    </row>
    <row r="239" spans="1:9" ht="330.75">
      <c r="A239" s="4">
        <v>238</v>
      </c>
      <c r="B239" s="4">
        <f>ROUNDUP(A239/12,0)</f>
        <v>20</v>
      </c>
      <c r="C239" s="49" t="s">
        <v>1022</v>
      </c>
      <c r="D239" s="69" t="s">
        <v>1160</v>
      </c>
      <c r="E239" s="49" t="s">
        <v>42</v>
      </c>
      <c r="F239" s="49" t="s">
        <v>23</v>
      </c>
      <c r="G239" s="48">
        <v>0</v>
      </c>
      <c r="H239" s="70"/>
      <c r="I239" s="49"/>
    </row>
    <row r="240" spans="1:9" ht="330.75">
      <c r="A240" s="4">
        <v>239</v>
      </c>
      <c r="B240" s="4">
        <f>ROUNDUP(A240/12,0)</f>
        <v>20</v>
      </c>
      <c r="C240" s="49" t="s">
        <v>1022</v>
      </c>
      <c r="D240" s="69" t="s">
        <v>1160</v>
      </c>
      <c r="E240" s="49" t="s">
        <v>43</v>
      </c>
      <c r="F240" s="49" t="s">
        <v>24</v>
      </c>
      <c r="G240" s="48">
        <v>0</v>
      </c>
      <c r="H240" s="70"/>
      <c r="I240" s="49"/>
    </row>
    <row r="241" spans="1:9" ht="330.75">
      <c r="A241" s="4">
        <v>240</v>
      </c>
      <c r="B241" s="4">
        <f>ROUNDUP(A241/12,0)</f>
        <v>20</v>
      </c>
      <c r="C241" s="49" t="s">
        <v>1022</v>
      </c>
      <c r="D241" s="69" t="s">
        <v>1160</v>
      </c>
      <c r="E241" s="49" t="s">
        <v>44</v>
      </c>
      <c r="F241" s="49" t="s">
        <v>25</v>
      </c>
      <c r="G241" s="48">
        <v>0</v>
      </c>
      <c r="H241" s="70"/>
      <c r="I241" s="49"/>
    </row>
    <row r="242" spans="1:9" ht="267.75">
      <c r="A242" s="4">
        <v>241</v>
      </c>
      <c r="B242" s="4">
        <f>ROUNDUP(A242/12,0)</f>
        <v>21</v>
      </c>
      <c r="C242" s="49" t="s">
        <v>1028</v>
      </c>
      <c r="D242" s="69" t="s">
        <v>1163</v>
      </c>
      <c r="E242" s="49" t="s">
        <v>34</v>
      </c>
      <c r="F242" s="49" t="s">
        <v>14</v>
      </c>
      <c r="G242" s="48">
        <v>0</v>
      </c>
      <c r="H242" s="70"/>
      <c r="I242" s="49"/>
    </row>
    <row r="243" spans="1:9" ht="267.75">
      <c r="A243" s="4">
        <v>242</v>
      </c>
      <c r="B243" s="4">
        <f>ROUNDUP(A243/12,0)</f>
        <v>21</v>
      </c>
      <c r="C243" s="49" t="s">
        <v>1028</v>
      </c>
      <c r="D243" s="69" t="s">
        <v>1163</v>
      </c>
      <c r="E243" s="49" t="s">
        <v>35</v>
      </c>
      <c r="F243" s="49" t="s">
        <v>15</v>
      </c>
      <c r="G243" s="48">
        <v>0</v>
      </c>
      <c r="H243" s="70"/>
      <c r="I243" s="49"/>
    </row>
    <row r="244" spans="1:9" ht="267.75">
      <c r="A244" s="4">
        <v>243</v>
      </c>
      <c r="B244" s="4">
        <f>ROUNDUP(A244/12,0)</f>
        <v>21</v>
      </c>
      <c r="C244" s="49" t="s">
        <v>1028</v>
      </c>
      <c r="D244" s="69" t="s">
        <v>1163</v>
      </c>
      <c r="E244" s="49" t="s">
        <v>36</v>
      </c>
      <c r="F244" s="49" t="s">
        <v>16</v>
      </c>
      <c r="G244" s="48">
        <v>0</v>
      </c>
      <c r="H244" s="70"/>
      <c r="I244" s="49"/>
    </row>
    <row r="245" spans="1:9" ht="267.75">
      <c r="A245" s="4">
        <v>244</v>
      </c>
      <c r="B245" s="4">
        <f>ROUNDUP(A245/12,0)</f>
        <v>21</v>
      </c>
      <c r="C245" s="49" t="s">
        <v>1028</v>
      </c>
      <c r="D245" s="69" t="s">
        <v>1163</v>
      </c>
      <c r="E245" s="49" t="s">
        <v>37</v>
      </c>
      <c r="F245" s="49" t="s">
        <v>17</v>
      </c>
      <c r="G245" s="48">
        <v>1</v>
      </c>
      <c r="H245" s="70">
        <v>46135</v>
      </c>
      <c r="I245" s="49" t="s">
        <v>1029</v>
      </c>
    </row>
    <row r="246" spans="1:9" ht="267.75">
      <c r="A246" s="4">
        <v>245</v>
      </c>
      <c r="B246" s="4">
        <f>ROUNDUP(A246/12,0)</f>
        <v>21</v>
      </c>
      <c r="C246" s="49" t="s">
        <v>1028</v>
      </c>
      <c r="D246" s="69" t="s">
        <v>1163</v>
      </c>
      <c r="E246" s="49" t="s">
        <v>38</v>
      </c>
      <c r="F246" s="49" t="s">
        <v>18</v>
      </c>
      <c r="G246" s="48">
        <v>0</v>
      </c>
      <c r="H246" s="70"/>
      <c r="I246" s="49"/>
    </row>
    <row r="247" spans="1:9" ht="267.75">
      <c r="A247" s="4">
        <v>246</v>
      </c>
      <c r="B247" s="4">
        <f>ROUNDUP(A247/12,0)</f>
        <v>21</v>
      </c>
      <c r="C247" s="49" t="s">
        <v>1028</v>
      </c>
      <c r="D247" s="69" t="s">
        <v>1163</v>
      </c>
      <c r="E247" s="49" t="s">
        <v>39</v>
      </c>
      <c r="F247" s="49" t="s">
        <v>19</v>
      </c>
      <c r="G247" s="48">
        <v>0</v>
      </c>
      <c r="H247" s="70"/>
      <c r="I247" s="49"/>
    </row>
    <row r="248" spans="1:9" ht="267.75">
      <c r="A248" s="4">
        <v>247</v>
      </c>
      <c r="B248" s="4">
        <f>ROUNDUP(A248/12,0)</f>
        <v>21</v>
      </c>
      <c r="C248" s="49" t="s">
        <v>1028</v>
      </c>
      <c r="D248" s="69" t="s">
        <v>1163</v>
      </c>
      <c r="E248" s="49" t="s">
        <v>40</v>
      </c>
      <c r="F248" s="49" t="s">
        <v>20</v>
      </c>
      <c r="G248" s="48">
        <v>0</v>
      </c>
      <c r="H248" s="70"/>
      <c r="I248" s="49"/>
    </row>
    <row r="249" spans="1:9" ht="267.75">
      <c r="A249" s="4">
        <v>248</v>
      </c>
      <c r="B249" s="4">
        <f>ROUNDUP(A249/12,0)</f>
        <v>21</v>
      </c>
      <c r="C249" s="49" t="s">
        <v>1028</v>
      </c>
      <c r="D249" s="69" t="s">
        <v>1163</v>
      </c>
      <c r="E249" s="49" t="s">
        <v>40</v>
      </c>
      <c r="F249" s="49" t="s">
        <v>21</v>
      </c>
      <c r="G249" s="48">
        <v>0</v>
      </c>
      <c r="H249" s="70"/>
      <c r="I249" s="49"/>
    </row>
    <row r="250" spans="1:9" ht="267.75">
      <c r="A250" s="4">
        <v>249</v>
      </c>
      <c r="B250" s="4">
        <f>ROUNDUP(A250/12,0)</f>
        <v>21</v>
      </c>
      <c r="C250" s="49" t="s">
        <v>1028</v>
      </c>
      <c r="D250" s="69" t="s">
        <v>1163</v>
      </c>
      <c r="E250" s="49" t="s">
        <v>41</v>
      </c>
      <c r="F250" s="49" t="s">
        <v>22</v>
      </c>
      <c r="G250" s="48">
        <v>0</v>
      </c>
      <c r="H250" s="70"/>
      <c r="I250" s="49"/>
    </row>
    <row r="251" spans="1:9" ht="267.75">
      <c r="A251" s="4">
        <v>250</v>
      </c>
      <c r="B251" s="4">
        <f>ROUNDUP(A251/12,0)</f>
        <v>21</v>
      </c>
      <c r="C251" s="49" t="s">
        <v>1028</v>
      </c>
      <c r="D251" s="69" t="s">
        <v>1163</v>
      </c>
      <c r="E251" s="49" t="s">
        <v>42</v>
      </c>
      <c r="F251" s="49" t="s">
        <v>23</v>
      </c>
      <c r="G251" s="48">
        <v>0</v>
      </c>
      <c r="H251" s="70"/>
      <c r="I251" s="49"/>
    </row>
    <row r="252" spans="1:9" ht="267.75">
      <c r="A252" s="4">
        <v>251</v>
      </c>
      <c r="B252" s="4">
        <f>ROUNDUP(A252/12,0)</f>
        <v>21</v>
      </c>
      <c r="C252" s="49" t="s">
        <v>1028</v>
      </c>
      <c r="D252" s="69" t="s">
        <v>1163</v>
      </c>
      <c r="E252" s="49" t="s">
        <v>43</v>
      </c>
      <c r="F252" s="49" t="s">
        <v>24</v>
      </c>
      <c r="G252" s="48">
        <v>0</v>
      </c>
      <c r="H252" s="70"/>
      <c r="I252" s="49"/>
    </row>
    <row r="253" spans="1:9" ht="267.75">
      <c r="A253" s="4">
        <v>252</v>
      </c>
      <c r="B253" s="4">
        <f>ROUNDUP(A253/12,0)</f>
        <v>21</v>
      </c>
      <c r="C253" s="49" t="s">
        <v>1028</v>
      </c>
      <c r="D253" s="69" t="s">
        <v>1163</v>
      </c>
      <c r="E253" s="49" t="s">
        <v>44</v>
      </c>
      <c r="F253" s="49" t="s">
        <v>25</v>
      </c>
      <c r="G253" s="48">
        <v>0</v>
      </c>
      <c r="H253" s="70"/>
      <c r="I253" s="49"/>
    </row>
    <row r="254" spans="1:9" ht="299.25">
      <c r="A254" s="4">
        <v>253</v>
      </c>
      <c r="B254" s="4">
        <f>ROUNDUP(A254/12,0)</f>
        <v>22</v>
      </c>
      <c r="C254" s="49" t="s">
        <v>1070</v>
      </c>
      <c r="D254" s="69" t="s">
        <v>1185</v>
      </c>
      <c r="E254" s="49" t="s">
        <v>34</v>
      </c>
      <c r="F254" s="49" t="s">
        <v>14</v>
      </c>
      <c r="G254" s="48">
        <v>0</v>
      </c>
      <c r="H254" s="70"/>
      <c r="I254" s="49"/>
    </row>
    <row r="255" spans="1:9" ht="299.25">
      <c r="A255" s="4">
        <v>254</v>
      </c>
      <c r="B255" s="4">
        <f>ROUNDUP(A255/12,0)</f>
        <v>22</v>
      </c>
      <c r="C255" s="49" t="s">
        <v>1070</v>
      </c>
      <c r="D255" s="69" t="s">
        <v>1185</v>
      </c>
      <c r="E255" s="49" t="s">
        <v>35</v>
      </c>
      <c r="F255" s="49" t="s">
        <v>15</v>
      </c>
      <c r="G255" s="48">
        <v>0</v>
      </c>
      <c r="H255" s="70"/>
      <c r="I255" s="49"/>
    </row>
    <row r="256" spans="1:9" ht="299.25">
      <c r="A256" s="4">
        <v>255</v>
      </c>
      <c r="B256" s="4">
        <f>ROUNDUP(A256/12,0)</f>
        <v>22</v>
      </c>
      <c r="C256" s="49" t="s">
        <v>1070</v>
      </c>
      <c r="D256" s="69" t="s">
        <v>1185</v>
      </c>
      <c r="E256" s="49" t="s">
        <v>36</v>
      </c>
      <c r="F256" s="49" t="s">
        <v>16</v>
      </c>
      <c r="G256" s="48">
        <v>0</v>
      </c>
      <c r="H256" s="70"/>
      <c r="I256" s="49"/>
    </row>
    <row r="257" spans="1:9" ht="299.25">
      <c r="A257" s="4">
        <v>256</v>
      </c>
      <c r="B257" s="4">
        <f>ROUNDUP(A257/12,0)</f>
        <v>22</v>
      </c>
      <c r="C257" s="49" t="s">
        <v>1070</v>
      </c>
      <c r="D257" s="69" t="s">
        <v>1185</v>
      </c>
      <c r="E257" s="49" t="s">
        <v>37</v>
      </c>
      <c r="F257" s="49" t="s">
        <v>17</v>
      </c>
      <c r="G257" s="48">
        <v>1</v>
      </c>
      <c r="H257" s="70">
        <v>45925</v>
      </c>
      <c r="I257" s="49" t="s">
        <v>1071</v>
      </c>
    </row>
    <row r="258" spans="1:9" ht="299.25">
      <c r="A258" s="4">
        <v>257</v>
      </c>
      <c r="B258" s="4">
        <f>ROUNDUP(A258/12,0)</f>
        <v>22</v>
      </c>
      <c r="C258" s="49" t="s">
        <v>1070</v>
      </c>
      <c r="D258" s="69" t="s">
        <v>1185</v>
      </c>
      <c r="E258" s="49" t="s">
        <v>38</v>
      </c>
      <c r="F258" s="49" t="s">
        <v>18</v>
      </c>
      <c r="G258" s="48">
        <v>0</v>
      </c>
      <c r="H258" s="70"/>
      <c r="I258" s="49"/>
    </row>
    <row r="259" spans="1:9" ht="299.25">
      <c r="A259" s="4">
        <v>258</v>
      </c>
      <c r="B259" s="4">
        <f>ROUNDUP(A259/12,0)</f>
        <v>22</v>
      </c>
      <c r="C259" s="49" t="s">
        <v>1070</v>
      </c>
      <c r="D259" s="69" t="s">
        <v>1185</v>
      </c>
      <c r="E259" s="49" t="s">
        <v>39</v>
      </c>
      <c r="F259" s="49" t="s">
        <v>19</v>
      </c>
      <c r="G259" s="48">
        <v>0</v>
      </c>
      <c r="H259" s="70"/>
      <c r="I259" s="49"/>
    </row>
    <row r="260" spans="1:9" ht="299.25">
      <c r="A260" s="4">
        <v>259</v>
      </c>
      <c r="B260" s="4">
        <f>ROUNDUP(A260/12,0)</f>
        <v>22</v>
      </c>
      <c r="C260" s="49" t="s">
        <v>1070</v>
      </c>
      <c r="D260" s="69" t="s">
        <v>1185</v>
      </c>
      <c r="E260" s="49" t="s">
        <v>40</v>
      </c>
      <c r="F260" s="49" t="s">
        <v>20</v>
      </c>
      <c r="G260" s="48">
        <v>0</v>
      </c>
      <c r="H260" s="70"/>
      <c r="I260" s="49"/>
    </row>
    <row r="261" spans="1:9" ht="299.25">
      <c r="A261" s="4">
        <v>260</v>
      </c>
      <c r="B261" s="4">
        <f>ROUNDUP(A261/12,0)</f>
        <v>22</v>
      </c>
      <c r="C261" s="49" t="s">
        <v>1070</v>
      </c>
      <c r="D261" s="69" t="s">
        <v>1185</v>
      </c>
      <c r="E261" s="49" t="s">
        <v>40</v>
      </c>
      <c r="F261" s="49" t="s">
        <v>21</v>
      </c>
      <c r="G261" s="48">
        <v>0</v>
      </c>
      <c r="H261" s="70"/>
      <c r="I261" s="49"/>
    </row>
    <row r="262" spans="1:9" ht="299.25">
      <c r="A262" s="4">
        <v>261</v>
      </c>
      <c r="B262" s="4">
        <f>ROUNDUP(A262/12,0)</f>
        <v>22</v>
      </c>
      <c r="C262" s="49" t="s">
        <v>1070</v>
      </c>
      <c r="D262" s="69" t="s">
        <v>1185</v>
      </c>
      <c r="E262" s="49" t="s">
        <v>41</v>
      </c>
      <c r="F262" s="49" t="s">
        <v>22</v>
      </c>
      <c r="G262" s="48">
        <v>0</v>
      </c>
      <c r="H262" s="70"/>
      <c r="I262" s="49"/>
    </row>
    <row r="263" spans="1:9" ht="299.25">
      <c r="A263" s="4">
        <v>262</v>
      </c>
      <c r="B263" s="4">
        <f>ROUNDUP(A263/12,0)</f>
        <v>22</v>
      </c>
      <c r="C263" s="49" t="s">
        <v>1070</v>
      </c>
      <c r="D263" s="69" t="s">
        <v>1185</v>
      </c>
      <c r="E263" s="49" t="s">
        <v>42</v>
      </c>
      <c r="F263" s="49" t="s">
        <v>23</v>
      </c>
      <c r="G263" s="48">
        <v>0</v>
      </c>
      <c r="H263" s="70"/>
      <c r="I263" s="49"/>
    </row>
    <row r="264" spans="1:9" ht="299.25">
      <c r="A264" s="4">
        <v>263</v>
      </c>
      <c r="B264" s="4">
        <f>ROUNDUP(A264/12,0)</f>
        <v>22</v>
      </c>
      <c r="C264" s="49" t="s">
        <v>1070</v>
      </c>
      <c r="D264" s="69" t="s">
        <v>1185</v>
      </c>
      <c r="E264" s="49" t="s">
        <v>43</v>
      </c>
      <c r="F264" s="49" t="s">
        <v>24</v>
      </c>
      <c r="G264" s="48">
        <v>0</v>
      </c>
      <c r="H264" s="70"/>
      <c r="I264" s="49"/>
    </row>
    <row r="265" spans="1:9" ht="299.25">
      <c r="A265" s="4">
        <v>264</v>
      </c>
      <c r="B265" s="4">
        <f>ROUNDUP(A265/12,0)</f>
        <v>22</v>
      </c>
      <c r="C265" s="49" t="s">
        <v>1070</v>
      </c>
      <c r="D265" s="69" t="s">
        <v>1185</v>
      </c>
      <c r="E265" s="49" t="s">
        <v>44</v>
      </c>
      <c r="F265" s="49" t="s">
        <v>25</v>
      </c>
      <c r="G265" s="48">
        <v>0</v>
      </c>
      <c r="H265" s="70"/>
      <c r="I265" s="49"/>
    </row>
    <row r="266" spans="1:9" ht="409.5">
      <c r="A266" s="4">
        <v>265</v>
      </c>
      <c r="B266" s="4">
        <f>ROUNDUP(A266/12,0)</f>
        <v>23</v>
      </c>
      <c r="C266" s="49" t="s">
        <v>1016</v>
      </c>
      <c r="D266" s="69" t="s">
        <v>1157</v>
      </c>
      <c r="E266" s="49" t="s">
        <v>34</v>
      </c>
      <c r="F266" s="49" t="s">
        <v>14</v>
      </c>
      <c r="G266" s="48">
        <v>0</v>
      </c>
      <c r="H266" s="70"/>
      <c r="I266" s="49"/>
    </row>
    <row r="267" spans="1:9" ht="409.5">
      <c r="A267" s="4">
        <v>266</v>
      </c>
      <c r="B267" s="4">
        <f>ROUNDUP(A267/12,0)</f>
        <v>23</v>
      </c>
      <c r="C267" s="49" t="s">
        <v>1016</v>
      </c>
      <c r="D267" s="69" t="s">
        <v>1157</v>
      </c>
      <c r="E267" s="49" t="s">
        <v>35</v>
      </c>
      <c r="F267" s="49" t="s">
        <v>15</v>
      </c>
      <c r="G267" s="48">
        <v>0</v>
      </c>
      <c r="H267" s="70"/>
      <c r="I267" s="49"/>
    </row>
    <row r="268" spans="1:9" ht="409.5">
      <c r="A268" s="4">
        <v>267</v>
      </c>
      <c r="B268" s="4">
        <f>ROUNDUP(A268/12,0)</f>
        <v>23</v>
      </c>
      <c r="C268" s="49" t="s">
        <v>1016</v>
      </c>
      <c r="D268" s="69" t="s">
        <v>1157</v>
      </c>
      <c r="E268" s="49" t="s">
        <v>36</v>
      </c>
      <c r="F268" s="49" t="s">
        <v>16</v>
      </c>
      <c r="G268" s="48">
        <v>0</v>
      </c>
      <c r="H268" s="70"/>
      <c r="I268" s="49"/>
    </row>
    <row r="269" spans="1:9" ht="409.5">
      <c r="A269" s="4">
        <v>268</v>
      </c>
      <c r="B269" s="4">
        <f>ROUNDUP(A269/12,0)</f>
        <v>23</v>
      </c>
      <c r="C269" s="49" t="s">
        <v>1016</v>
      </c>
      <c r="D269" s="69" t="s">
        <v>1157</v>
      </c>
      <c r="E269" s="49" t="s">
        <v>37</v>
      </c>
      <c r="F269" s="49" t="s">
        <v>17</v>
      </c>
      <c r="G269" s="48">
        <v>1</v>
      </c>
      <c r="H269" s="70">
        <v>46226</v>
      </c>
      <c r="I269" s="49" t="s">
        <v>1017</v>
      </c>
    </row>
    <row r="270" spans="1:9" ht="409.5">
      <c r="A270" s="4">
        <v>269</v>
      </c>
      <c r="B270" s="4">
        <f>ROUNDUP(A270/12,0)</f>
        <v>23</v>
      </c>
      <c r="C270" s="49" t="s">
        <v>1016</v>
      </c>
      <c r="D270" s="69" t="s">
        <v>1157</v>
      </c>
      <c r="E270" s="49" t="s">
        <v>38</v>
      </c>
      <c r="F270" s="49" t="s">
        <v>18</v>
      </c>
      <c r="G270" s="48">
        <v>0</v>
      </c>
      <c r="H270" s="70"/>
      <c r="I270" s="49"/>
    </row>
    <row r="271" spans="1:9" ht="409.5">
      <c r="A271" s="4">
        <v>270</v>
      </c>
      <c r="B271" s="4">
        <f>ROUNDUP(A271/12,0)</f>
        <v>23</v>
      </c>
      <c r="C271" s="49" t="s">
        <v>1016</v>
      </c>
      <c r="D271" s="69" t="s">
        <v>1157</v>
      </c>
      <c r="E271" s="49" t="s">
        <v>39</v>
      </c>
      <c r="F271" s="49" t="s">
        <v>19</v>
      </c>
      <c r="G271" s="48">
        <v>0</v>
      </c>
      <c r="H271" s="70"/>
      <c r="I271" s="49"/>
    </row>
    <row r="272" spans="1:9" ht="409.5">
      <c r="A272" s="4">
        <v>271</v>
      </c>
      <c r="B272" s="4">
        <f>ROUNDUP(A272/12,0)</f>
        <v>23</v>
      </c>
      <c r="C272" s="49" t="s">
        <v>1016</v>
      </c>
      <c r="D272" s="69" t="s">
        <v>1157</v>
      </c>
      <c r="E272" s="49" t="s">
        <v>40</v>
      </c>
      <c r="F272" s="49" t="s">
        <v>20</v>
      </c>
      <c r="G272" s="48">
        <v>0</v>
      </c>
      <c r="H272" s="70"/>
      <c r="I272" s="49"/>
    </row>
    <row r="273" spans="1:9" ht="409.5">
      <c r="A273" s="4">
        <v>272</v>
      </c>
      <c r="B273" s="4">
        <f>ROUNDUP(A273/12,0)</f>
        <v>23</v>
      </c>
      <c r="C273" s="49" t="s">
        <v>1016</v>
      </c>
      <c r="D273" s="69" t="s">
        <v>1157</v>
      </c>
      <c r="E273" s="49" t="s">
        <v>40</v>
      </c>
      <c r="F273" s="49" t="s">
        <v>21</v>
      </c>
      <c r="G273" s="48">
        <v>0</v>
      </c>
      <c r="H273" s="70"/>
      <c r="I273" s="49"/>
    </row>
    <row r="274" spans="1:9" ht="409.5">
      <c r="A274" s="4">
        <v>273</v>
      </c>
      <c r="B274" s="4">
        <f>ROUNDUP(A274/12,0)</f>
        <v>23</v>
      </c>
      <c r="C274" s="49" t="s">
        <v>1016</v>
      </c>
      <c r="D274" s="69" t="s">
        <v>1157</v>
      </c>
      <c r="E274" s="49" t="s">
        <v>41</v>
      </c>
      <c r="F274" s="49" t="s">
        <v>22</v>
      </c>
      <c r="G274" s="48">
        <v>0</v>
      </c>
      <c r="H274" s="70"/>
      <c r="I274" s="49"/>
    </row>
    <row r="275" spans="1:9" ht="409.5">
      <c r="A275" s="4">
        <v>274</v>
      </c>
      <c r="B275" s="4">
        <f>ROUNDUP(A275/12,0)</f>
        <v>23</v>
      </c>
      <c r="C275" s="49" t="s">
        <v>1016</v>
      </c>
      <c r="D275" s="69" t="s">
        <v>1157</v>
      </c>
      <c r="E275" s="49" t="s">
        <v>42</v>
      </c>
      <c r="F275" s="49" t="s">
        <v>23</v>
      </c>
      <c r="G275" s="48">
        <v>0</v>
      </c>
      <c r="H275" s="70"/>
      <c r="I275" s="49"/>
    </row>
    <row r="276" spans="1:9" ht="409.5">
      <c r="A276" s="4">
        <v>275</v>
      </c>
      <c r="B276" s="4">
        <f>ROUNDUP(A276/12,0)</f>
        <v>23</v>
      </c>
      <c r="C276" s="49" t="s">
        <v>1016</v>
      </c>
      <c r="D276" s="69" t="s">
        <v>1157</v>
      </c>
      <c r="E276" s="49" t="s">
        <v>43</v>
      </c>
      <c r="F276" s="49" t="s">
        <v>24</v>
      </c>
      <c r="G276" s="48">
        <v>0</v>
      </c>
      <c r="H276" s="70"/>
      <c r="I276" s="49"/>
    </row>
    <row r="277" spans="1:9" ht="409.5">
      <c r="A277" s="4">
        <v>276</v>
      </c>
      <c r="B277" s="4">
        <f>ROUNDUP(A277/12,0)</f>
        <v>23</v>
      </c>
      <c r="C277" s="49" t="s">
        <v>1016</v>
      </c>
      <c r="D277" s="69" t="s">
        <v>1157</v>
      </c>
      <c r="E277" s="49" t="s">
        <v>44</v>
      </c>
      <c r="F277" s="49" t="s">
        <v>25</v>
      </c>
      <c r="G277" s="48">
        <v>0</v>
      </c>
      <c r="H277" s="70"/>
      <c r="I277" s="49"/>
    </row>
    <row r="278" spans="1:9" ht="378">
      <c r="A278" s="4">
        <v>277</v>
      </c>
      <c r="B278" s="4">
        <f>ROUNDUP(A278/12,0)</f>
        <v>24</v>
      </c>
      <c r="C278" s="49" t="s">
        <v>1068</v>
      </c>
      <c r="D278" s="69" t="s">
        <v>1184</v>
      </c>
      <c r="E278" s="49" t="s">
        <v>34</v>
      </c>
      <c r="F278" s="49" t="s">
        <v>14</v>
      </c>
      <c r="G278" s="48">
        <v>0</v>
      </c>
      <c r="H278" s="70"/>
      <c r="I278" s="49"/>
    </row>
    <row r="279" spans="1:9" ht="378">
      <c r="A279" s="4">
        <v>278</v>
      </c>
      <c r="B279" s="4">
        <f>ROUNDUP(A279/12,0)</f>
        <v>24</v>
      </c>
      <c r="C279" s="49" t="s">
        <v>1068</v>
      </c>
      <c r="D279" s="69" t="s">
        <v>1184</v>
      </c>
      <c r="E279" s="49" t="s">
        <v>35</v>
      </c>
      <c r="F279" s="49" t="s">
        <v>15</v>
      </c>
      <c r="G279" s="48">
        <v>0</v>
      </c>
      <c r="H279" s="70"/>
      <c r="I279" s="49"/>
    </row>
    <row r="280" spans="1:9" ht="378">
      <c r="A280" s="4">
        <v>279</v>
      </c>
      <c r="B280" s="4">
        <f>ROUNDUP(A280/12,0)</f>
        <v>24</v>
      </c>
      <c r="C280" s="49" t="s">
        <v>1068</v>
      </c>
      <c r="D280" s="69" t="s">
        <v>1184</v>
      </c>
      <c r="E280" s="49" t="s">
        <v>36</v>
      </c>
      <c r="F280" s="49" t="s">
        <v>16</v>
      </c>
      <c r="G280" s="48">
        <v>0</v>
      </c>
      <c r="H280" s="70"/>
      <c r="I280" s="49"/>
    </row>
    <row r="281" spans="1:9" ht="378">
      <c r="A281" s="4">
        <v>280</v>
      </c>
      <c r="B281" s="4">
        <f>ROUNDUP(A281/12,0)</f>
        <v>24</v>
      </c>
      <c r="C281" s="49" t="s">
        <v>1068</v>
      </c>
      <c r="D281" s="69" t="s">
        <v>1184</v>
      </c>
      <c r="E281" s="49" t="s">
        <v>37</v>
      </c>
      <c r="F281" s="49" t="s">
        <v>17</v>
      </c>
      <c r="G281" s="48">
        <v>1</v>
      </c>
      <c r="H281" s="70">
        <v>45928</v>
      </c>
      <c r="I281" s="49" t="s">
        <v>1069</v>
      </c>
    </row>
    <row r="282" spans="1:9" ht="378">
      <c r="A282" s="4">
        <v>281</v>
      </c>
      <c r="B282" s="4">
        <f>ROUNDUP(A282/12,0)</f>
        <v>24</v>
      </c>
      <c r="C282" s="49" t="s">
        <v>1068</v>
      </c>
      <c r="D282" s="69" t="s">
        <v>1184</v>
      </c>
      <c r="E282" s="49" t="s">
        <v>38</v>
      </c>
      <c r="F282" s="49" t="s">
        <v>18</v>
      </c>
      <c r="G282" s="48">
        <v>0</v>
      </c>
      <c r="H282" s="70"/>
      <c r="I282" s="49"/>
    </row>
    <row r="283" spans="1:9" ht="378">
      <c r="A283" s="4">
        <v>282</v>
      </c>
      <c r="B283" s="4">
        <f>ROUNDUP(A283/12,0)</f>
        <v>24</v>
      </c>
      <c r="C283" s="49" t="s">
        <v>1068</v>
      </c>
      <c r="D283" s="69" t="s">
        <v>1184</v>
      </c>
      <c r="E283" s="49" t="s">
        <v>39</v>
      </c>
      <c r="F283" s="49" t="s">
        <v>19</v>
      </c>
      <c r="G283" s="48">
        <v>0</v>
      </c>
      <c r="H283" s="70"/>
      <c r="I283" s="49"/>
    </row>
    <row r="284" spans="1:9" ht="378">
      <c r="A284" s="4">
        <v>283</v>
      </c>
      <c r="B284" s="4">
        <f>ROUNDUP(A284/12,0)</f>
        <v>24</v>
      </c>
      <c r="C284" s="49" t="s">
        <v>1068</v>
      </c>
      <c r="D284" s="69" t="s">
        <v>1184</v>
      </c>
      <c r="E284" s="49" t="s">
        <v>40</v>
      </c>
      <c r="F284" s="49" t="s">
        <v>20</v>
      </c>
      <c r="G284" s="48">
        <v>0</v>
      </c>
      <c r="H284" s="70"/>
      <c r="I284" s="49"/>
    </row>
    <row r="285" spans="1:9" ht="378">
      <c r="A285" s="4">
        <v>284</v>
      </c>
      <c r="B285" s="4">
        <f>ROUNDUP(A285/12,0)</f>
        <v>24</v>
      </c>
      <c r="C285" s="49" t="s">
        <v>1068</v>
      </c>
      <c r="D285" s="69" t="s">
        <v>1184</v>
      </c>
      <c r="E285" s="49" t="s">
        <v>40</v>
      </c>
      <c r="F285" s="49" t="s">
        <v>21</v>
      </c>
      <c r="G285" s="48">
        <v>0</v>
      </c>
      <c r="H285" s="70"/>
      <c r="I285" s="49"/>
    </row>
    <row r="286" spans="1:9" ht="378">
      <c r="A286" s="4">
        <v>285</v>
      </c>
      <c r="B286" s="4">
        <f>ROUNDUP(A286/12,0)</f>
        <v>24</v>
      </c>
      <c r="C286" s="49" t="s">
        <v>1068</v>
      </c>
      <c r="D286" s="69" t="s">
        <v>1184</v>
      </c>
      <c r="E286" s="49" t="s">
        <v>41</v>
      </c>
      <c r="F286" s="49" t="s">
        <v>22</v>
      </c>
      <c r="G286" s="48">
        <v>0</v>
      </c>
      <c r="H286" s="70"/>
      <c r="I286" s="49"/>
    </row>
    <row r="287" spans="1:9" ht="378">
      <c r="A287" s="4">
        <v>286</v>
      </c>
      <c r="B287" s="4">
        <f>ROUNDUP(A287/12,0)</f>
        <v>24</v>
      </c>
      <c r="C287" s="49" t="s">
        <v>1068</v>
      </c>
      <c r="D287" s="69" t="s">
        <v>1184</v>
      </c>
      <c r="E287" s="49" t="s">
        <v>42</v>
      </c>
      <c r="F287" s="49" t="s">
        <v>23</v>
      </c>
      <c r="G287" s="48">
        <v>0</v>
      </c>
      <c r="H287" s="70"/>
      <c r="I287" s="49"/>
    </row>
    <row r="288" spans="1:9" ht="378">
      <c r="A288" s="4">
        <v>287</v>
      </c>
      <c r="B288" s="4">
        <f>ROUNDUP(A288/12,0)</f>
        <v>24</v>
      </c>
      <c r="C288" s="49" t="s">
        <v>1068</v>
      </c>
      <c r="D288" s="69" t="s">
        <v>1184</v>
      </c>
      <c r="E288" s="49" t="s">
        <v>43</v>
      </c>
      <c r="F288" s="49" t="s">
        <v>24</v>
      </c>
      <c r="G288" s="48">
        <v>0</v>
      </c>
      <c r="H288" s="70"/>
      <c r="I288" s="49"/>
    </row>
    <row r="289" spans="1:9" ht="378">
      <c r="A289" s="4">
        <v>288</v>
      </c>
      <c r="B289" s="4">
        <f>ROUNDUP(A289/12,0)</f>
        <v>24</v>
      </c>
      <c r="C289" s="49" t="s">
        <v>1068</v>
      </c>
      <c r="D289" s="69" t="s">
        <v>1184</v>
      </c>
      <c r="E289" s="49" t="s">
        <v>44</v>
      </c>
      <c r="F289" s="49" t="s">
        <v>25</v>
      </c>
      <c r="G289" s="48">
        <v>0</v>
      </c>
      <c r="H289" s="70"/>
      <c r="I289" s="49"/>
    </row>
    <row r="290" spans="1:9" ht="409.5">
      <c r="A290" s="4">
        <v>289</v>
      </c>
      <c r="B290" s="4">
        <f>ROUNDUP(A290/12,0)</f>
        <v>25</v>
      </c>
      <c r="C290" s="49" t="s">
        <v>1018</v>
      </c>
      <c r="D290" s="69" t="s">
        <v>1158</v>
      </c>
      <c r="E290" s="49" t="s">
        <v>34</v>
      </c>
      <c r="F290" s="49" t="s">
        <v>14</v>
      </c>
      <c r="G290" s="48">
        <v>0</v>
      </c>
      <c r="H290" s="70"/>
      <c r="I290" s="49"/>
    </row>
    <row r="291" spans="1:9" ht="409.5">
      <c r="A291" s="4">
        <v>290</v>
      </c>
      <c r="B291" s="4">
        <f>ROUNDUP(A291/12,0)</f>
        <v>25</v>
      </c>
      <c r="C291" s="49" t="s">
        <v>1018</v>
      </c>
      <c r="D291" s="69" t="s">
        <v>1158</v>
      </c>
      <c r="E291" s="49" t="s">
        <v>35</v>
      </c>
      <c r="F291" s="49" t="s">
        <v>15</v>
      </c>
      <c r="G291" s="48">
        <v>0</v>
      </c>
      <c r="H291" s="70"/>
      <c r="I291" s="49"/>
    </row>
    <row r="292" spans="1:9" ht="409.5">
      <c r="A292" s="4">
        <v>291</v>
      </c>
      <c r="B292" s="4">
        <f>ROUNDUP(A292/12,0)</f>
        <v>25</v>
      </c>
      <c r="C292" s="49" t="s">
        <v>1018</v>
      </c>
      <c r="D292" s="69" t="s">
        <v>1158</v>
      </c>
      <c r="E292" s="49" t="s">
        <v>36</v>
      </c>
      <c r="F292" s="49" t="s">
        <v>16</v>
      </c>
      <c r="G292" s="48">
        <v>0</v>
      </c>
      <c r="H292" s="70"/>
      <c r="I292" s="49"/>
    </row>
    <row r="293" spans="1:9" ht="409.5">
      <c r="A293" s="4">
        <v>292</v>
      </c>
      <c r="B293" s="4">
        <f>ROUNDUP(A293/12,0)</f>
        <v>25</v>
      </c>
      <c r="C293" s="49" t="s">
        <v>1018</v>
      </c>
      <c r="D293" s="69" t="s">
        <v>1158</v>
      </c>
      <c r="E293" s="49" t="s">
        <v>37</v>
      </c>
      <c r="F293" s="49" t="s">
        <v>17</v>
      </c>
      <c r="G293" s="48">
        <v>1</v>
      </c>
      <c r="H293" s="70">
        <v>46156</v>
      </c>
      <c r="I293" s="49" t="s">
        <v>1019</v>
      </c>
    </row>
    <row r="294" spans="1:9" ht="409.5">
      <c r="A294" s="4">
        <v>293</v>
      </c>
      <c r="B294" s="4">
        <f>ROUNDUP(A294/12,0)</f>
        <v>25</v>
      </c>
      <c r="C294" s="49" t="s">
        <v>1018</v>
      </c>
      <c r="D294" s="69" t="s">
        <v>1158</v>
      </c>
      <c r="E294" s="49" t="s">
        <v>38</v>
      </c>
      <c r="F294" s="49" t="s">
        <v>18</v>
      </c>
      <c r="G294" s="48">
        <v>0</v>
      </c>
      <c r="H294" s="70"/>
      <c r="I294" s="49"/>
    </row>
    <row r="295" spans="1:9" ht="409.5">
      <c r="A295" s="4">
        <v>294</v>
      </c>
      <c r="B295" s="4">
        <f>ROUNDUP(A295/12,0)</f>
        <v>25</v>
      </c>
      <c r="C295" s="49" t="s">
        <v>1018</v>
      </c>
      <c r="D295" s="69" t="s">
        <v>1158</v>
      </c>
      <c r="E295" s="49" t="s">
        <v>39</v>
      </c>
      <c r="F295" s="49" t="s">
        <v>19</v>
      </c>
      <c r="G295" s="48">
        <v>0</v>
      </c>
      <c r="H295" s="70"/>
      <c r="I295" s="49"/>
    </row>
    <row r="296" spans="1:9" ht="409.5">
      <c r="A296" s="4">
        <v>295</v>
      </c>
      <c r="B296" s="4">
        <f>ROUNDUP(A296/12,0)</f>
        <v>25</v>
      </c>
      <c r="C296" s="49" t="s">
        <v>1018</v>
      </c>
      <c r="D296" s="69" t="s">
        <v>1158</v>
      </c>
      <c r="E296" s="49" t="s">
        <v>40</v>
      </c>
      <c r="F296" s="49" t="s">
        <v>20</v>
      </c>
      <c r="G296" s="48">
        <v>0</v>
      </c>
      <c r="H296" s="70"/>
      <c r="I296" s="49"/>
    </row>
    <row r="297" spans="1:9" ht="409.5">
      <c r="A297" s="4">
        <v>296</v>
      </c>
      <c r="B297" s="4">
        <f>ROUNDUP(A297/12,0)</f>
        <v>25</v>
      </c>
      <c r="C297" s="49" t="s">
        <v>1018</v>
      </c>
      <c r="D297" s="69" t="s">
        <v>1158</v>
      </c>
      <c r="E297" s="49" t="s">
        <v>40</v>
      </c>
      <c r="F297" s="49" t="s">
        <v>21</v>
      </c>
      <c r="G297" s="48">
        <v>0</v>
      </c>
      <c r="H297" s="70"/>
      <c r="I297" s="49"/>
    </row>
    <row r="298" spans="1:9" ht="409.5">
      <c r="A298" s="4">
        <v>297</v>
      </c>
      <c r="B298" s="4">
        <f>ROUNDUP(A298/12,0)</f>
        <v>25</v>
      </c>
      <c r="C298" s="49" t="s">
        <v>1018</v>
      </c>
      <c r="D298" s="69" t="s">
        <v>1158</v>
      </c>
      <c r="E298" s="49" t="s">
        <v>41</v>
      </c>
      <c r="F298" s="49" t="s">
        <v>22</v>
      </c>
      <c r="G298" s="48">
        <v>0</v>
      </c>
      <c r="H298" s="70"/>
      <c r="I298" s="49"/>
    </row>
    <row r="299" spans="1:9" ht="409.5">
      <c r="A299" s="4">
        <v>298</v>
      </c>
      <c r="B299" s="4">
        <f>ROUNDUP(A299/12,0)</f>
        <v>25</v>
      </c>
      <c r="C299" s="49" t="s">
        <v>1018</v>
      </c>
      <c r="D299" s="69" t="s">
        <v>1158</v>
      </c>
      <c r="E299" s="49" t="s">
        <v>42</v>
      </c>
      <c r="F299" s="49" t="s">
        <v>23</v>
      </c>
      <c r="G299" s="48">
        <v>0</v>
      </c>
      <c r="H299" s="70"/>
      <c r="I299" s="49"/>
    </row>
    <row r="300" spans="1:9" ht="409.5">
      <c r="A300" s="4">
        <v>299</v>
      </c>
      <c r="B300" s="4">
        <f>ROUNDUP(A300/12,0)</f>
        <v>25</v>
      </c>
      <c r="C300" s="49" t="s">
        <v>1018</v>
      </c>
      <c r="D300" s="69" t="s">
        <v>1158</v>
      </c>
      <c r="E300" s="49" t="s">
        <v>43</v>
      </c>
      <c r="F300" s="49" t="s">
        <v>24</v>
      </c>
      <c r="G300" s="48">
        <v>0</v>
      </c>
      <c r="H300" s="70"/>
      <c r="I300" s="49"/>
    </row>
    <row r="301" spans="1:9" ht="409.5">
      <c r="A301" s="4">
        <v>300</v>
      </c>
      <c r="B301" s="4">
        <f>ROUNDUP(A301/12,0)</f>
        <v>25</v>
      </c>
      <c r="C301" s="49" t="s">
        <v>1018</v>
      </c>
      <c r="D301" s="69" t="s">
        <v>1158</v>
      </c>
      <c r="E301" s="49" t="s">
        <v>44</v>
      </c>
      <c r="F301" s="49" t="s">
        <v>25</v>
      </c>
      <c r="G301" s="48">
        <v>0</v>
      </c>
      <c r="H301" s="70"/>
      <c r="I301" s="49"/>
    </row>
    <row r="302" spans="1:9" ht="315">
      <c r="A302" s="4">
        <v>301</v>
      </c>
      <c r="B302" s="4">
        <f>ROUNDUP(A302/12,0)</f>
        <v>26</v>
      </c>
      <c r="C302" s="49" t="s">
        <v>1024</v>
      </c>
      <c r="D302" s="69" t="s">
        <v>1161</v>
      </c>
      <c r="E302" s="49" t="s">
        <v>34</v>
      </c>
      <c r="F302" s="49" t="s">
        <v>14</v>
      </c>
      <c r="G302" s="48">
        <v>0</v>
      </c>
      <c r="H302" s="70"/>
      <c r="I302" s="49"/>
    </row>
    <row r="303" spans="1:9" ht="315">
      <c r="A303" s="4">
        <v>302</v>
      </c>
      <c r="B303" s="4">
        <f>ROUNDUP(A303/12,0)</f>
        <v>26</v>
      </c>
      <c r="C303" s="49" t="s">
        <v>1024</v>
      </c>
      <c r="D303" s="69" t="s">
        <v>1161</v>
      </c>
      <c r="E303" s="49" t="s">
        <v>35</v>
      </c>
      <c r="F303" s="49" t="s">
        <v>15</v>
      </c>
      <c r="G303" s="48">
        <v>0</v>
      </c>
      <c r="H303" s="70"/>
      <c r="I303" s="49"/>
    </row>
    <row r="304" spans="1:9" ht="315">
      <c r="A304" s="4">
        <v>303</v>
      </c>
      <c r="B304" s="4">
        <f>ROUNDUP(A304/12,0)</f>
        <v>26</v>
      </c>
      <c r="C304" s="49" t="s">
        <v>1024</v>
      </c>
      <c r="D304" s="69" t="s">
        <v>1161</v>
      </c>
      <c r="E304" s="49" t="s">
        <v>36</v>
      </c>
      <c r="F304" s="49" t="s">
        <v>16</v>
      </c>
      <c r="G304" s="48">
        <v>0</v>
      </c>
      <c r="H304" s="70"/>
      <c r="I304" s="49"/>
    </row>
    <row r="305" spans="1:9" ht="315">
      <c r="A305" s="4">
        <v>304</v>
      </c>
      <c r="B305" s="4">
        <f>ROUNDUP(A305/12,0)</f>
        <v>26</v>
      </c>
      <c r="C305" s="49" t="s">
        <v>1024</v>
      </c>
      <c r="D305" s="69" t="s">
        <v>1161</v>
      </c>
      <c r="E305" s="49" t="s">
        <v>37</v>
      </c>
      <c r="F305" s="49" t="s">
        <v>17</v>
      </c>
      <c r="G305" s="48">
        <v>1</v>
      </c>
      <c r="H305" s="70">
        <v>46144</v>
      </c>
      <c r="I305" s="49" t="s">
        <v>1025</v>
      </c>
    </row>
    <row r="306" spans="1:9" ht="315">
      <c r="A306" s="4">
        <v>305</v>
      </c>
      <c r="B306" s="4">
        <f>ROUNDUP(A306/12,0)</f>
        <v>26</v>
      </c>
      <c r="C306" s="49" t="s">
        <v>1024</v>
      </c>
      <c r="D306" s="69" t="s">
        <v>1161</v>
      </c>
      <c r="E306" s="49" t="s">
        <v>38</v>
      </c>
      <c r="F306" s="49" t="s">
        <v>18</v>
      </c>
      <c r="G306" s="48">
        <v>0</v>
      </c>
      <c r="H306" s="70"/>
      <c r="I306" s="49"/>
    </row>
    <row r="307" spans="1:9" ht="315">
      <c r="A307" s="4">
        <v>306</v>
      </c>
      <c r="B307" s="4">
        <f>ROUNDUP(A307/12,0)</f>
        <v>26</v>
      </c>
      <c r="C307" s="49" t="s">
        <v>1024</v>
      </c>
      <c r="D307" s="69" t="s">
        <v>1161</v>
      </c>
      <c r="E307" s="49" t="s">
        <v>39</v>
      </c>
      <c r="F307" s="49" t="s">
        <v>19</v>
      </c>
      <c r="G307" s="48">
        <v>0</v>
      </c>
      <c r="H307" s="70"/>
      <c r="I307" s="49"/>
    </row>
    <row r="308" spans="1:9" ht="315">
      <c r="A308" s="4">
        <v>307</v>
      </c>
      <c r="B308" s="4">
        <f>ROUNDUP(A308/12,0)</f>
        <v>26</v>
      </c>
      <c r="C308" s="49" t="s">
        <v>1024</v>
      </c>
      <c r="D308" s="69" t="s">
        <v>1161</v>
      </c>
      <c r="E308" s="49" t="s">
        <v>40</v>
      </c>
      <c r="F308" s="49" t="s">
        <v>20</v>
      </c>
      <c r="G308" s="48">
        <v>0</v>
      </c>
      <c r="H308" s="70"/>
      <c r="I308" s="49"/>
    </row>
    <row r="309" spans="1:9" ht="315">
      <c r="A309" s="4">
        <v>308</v>
      </c>
      <c r="B309" s="4">
        <f>ROUNDUP(A309/12,0)</f>
        <v>26</v>
      </c>
      <c r="C309" s="49" t="s">
        <v>1024</v>
      </c>
      <c r="D309" s="69" t="s">
        <v>1161</v>
      </c>
      <c r="E309" s="49" t="s">
        <v>40</v>
      </c>
      <c r="F309" s="49" t="s">
        <v>21</v>
      </c>
      <c r="G309" s="48">
        <v>0</v>
      </c>
      <c r="H309" s="70"/>
      <c r="I309" s="49"/>
    </row>
    <row r="310" spans="1:9" ht="315">
      <c r="A310" s="4">
        <v>309</v>
      </c>
      <c r="B310" s="4">
        <f>ROUNDUP(A310/12,0)</f>
        <v>26</v>
      </c>
      <c r="C310" s="49" t="s">
        <v>1024</v>
      </c>
      <c r="D310" s="69" t="s">
        <v>1161</v>
      </c>
      <c r="E310" s="49" t="s">
        <v>41</v>
      </c>
      <c r="F310" s="49" t="s">
        <v>22</v>
      </c>
      <c r="G310" s="48">
        <v>0</v>
      </c>
      <c r="H310" s="70"/>
      <c r="I310" s="49"/>
    </row>
    <row r="311" spans="1:9" ht="315">
      <c r="A311" s="4">
        <v>310</v>
      </c>
      <c r="B311" s="4">
        <f>ROUNDUP(A311/12,0)</f>
        <v>26</v>
      </c>
      <c r="C311" s="49" t="s">
        <v>1024</v>
      </c>
      <c r="D311" s="69" t="s">
        <v>1161</v>
      </c>
      <c r="E311" s="49" t="s">
        <v>42</v>
      </c>
      <c r="F311" s="49" t="s">
        <v>23</v>
      </c>
      <c r="G311" s="48">
        <v>0</v>
      </c>
      <c r="H311" s="70"/>
      <c r="I311" s="49"/>
    </row>
    <row r="312" spans="1:9" ht="315">
      <c r="A312" s="4">
        <v>311</v>
      </c>
      <c r="B312" s="4">
        <f>ROUNDUP(A312/12,0)</f>
        <v>26</v>
      </c>
      <c r="C312" s="49" t="s">
        <v>1024</v>
      </c>
      <c r="D312" s="69" t="s">
        <v>1161</v>
      </c>
      <c r="E312" s="49" t="s">
        <v>43</v>
      </c>
      <c r="F312" s="49" t="s">
        <v>24</v>
      </c>
      <c r="G312" s="48">
        <v>0</v>
      </c>
      <c r="H312" s="70"/>
      <c r="I312" s="49"/>
    </row>
    <row r="313" spans="1:9" ht="315">
      <c r="A313" s="4">
        <v>312</v>
      </c>
      <c r="B313" s="4">
        <f>ROUNDUP(A313/12,0)</f>
        <v>26</v>
      </c>
      <c r="C313" s="49" t="s">
        <v>1024</v>
      </c>
      <c r="D313" s="69" t="s">
        <v>1161</v>
      </c>
      <c r="E313" s="49" t="s">
        <v>44</v>
      </c>
      <c r="F313" s="49" t="s">
        <v>25</v>
      </c>
      <c r="G313" s="48">
        <v>0</v>
      </c>
      <c r="H313" s="70"/>
      <c r="I313" s="49"/>
    </row>
    <row r="314" spans="1:9" ht="409.5">
      <c r="A314" s="4">
        <v>313</v>
      </c>
      <c r="B314" s="4">
        <f>ROUNDUP(A314/12,0)</f>
        <v>27</v>
      </c>
      <c r="C314" s="49" t="s">
        <v>1020</v>
      </c>
      <c r="D314" s="69" t="s">
        <v>1159</v>
      </c>
      <c r="E314" s="49" t="s">
        <v>34</v>
      </c>
      <c r="F314" s="49" t="s">
        <v>14</v>
      </c>
      <c r="G314" s="48">
        <v>0</v>
      </c>
      <c r="H314" s="70"/>
      <c r="I314" s="49"/>
    </row>
    <row r="315" spans="1:9" ht="409.5">
      <c r="A315" s="4">
        <v>314</v>
      </c>
      <c r="B315" s="4">
        <f>ROUNDUP(A315/12,0)</f>
        <v>27</v>
      </c>
      <c r="C315" s="49" t="s">
        <v>1020</v>
      </c>
      <c r="D315" s="69" t="s">
        <v>1159</v>
      </c>
      <c r="E315" s="49" t="s">
        <v>35</v>
      </c>
      <c r="F315" s="49" t="s">
        <v>15</v>
      </c>
      <c r="G315" s="48">
        <v>0</v>
      </c>
      <c r="H315" s="70"/>
      <c r="I315" s="49"/>
    </row>
    <row r="316" spans="1:9" ht="409.5">
      <c r="A316" s="4">
        <v>315</v>
      </c>
      <c r="B316" s="4">
        <f>ROUNDUP(A316/12,0)</f>
        <v>27</v>
      </c>
      <c r="C316" s="49" t="s">
        <v>1020</v>
      </c>
      <c r="D316" s="69" t="s">
        <v>1159</v>
      </c>
      <c r="E316" s="49" t="s">
        <v>36</v>
      </c>
      <c r="F316" s="49" t="s">
        <v>16</v>
      </c>
      <c r="G316" s="48">
        <v>0</v>
      </c>
      <c r="H316" s="70"/>
      <c r="I316" s="49"/>
    </row>
    <row r="317" spans="1:9" ht="409.5">
      <c r="A317" s="4">
        <v>316</v>
      </c>
      <c r="B317" s="4">
        <f>ROUNDUP(A317/12,0)</f>
        <v>27</v>
      </c>
      <c r="C317" s="49" t="s">
        <v>1020</v>
      </c>
      <c r="D317" s="69" t="s">
        <v>1159</v>
      </c>
      <c r="E317" s="49" t="s">
        <v>37</v>
      </c>
      <c r="F317" s="49" t="s">
        <v>17</v>
      </c>
      <c r="G317" s="48">
        <v>1</v>
      </c>
      <c r="H317" s="70">
        <v>46150</v>
      </c>
      <c r="I317" s="49" t="s">
        <v>1021</v>
      </c>
    </row>
    <row r="318" spans="1:9" ht="409.5">
      <c r="A318" s="4">
        <v>317</v>
      </c>
      <c r="B318" s="4">
        <f>ROUNDUP(A318/12,0)</f>
        <v>27</v>
      </c>
      <c r="C318" s="49" t="s">
        <v>1020</v>
      </c>
      <c r="D318" s="69" t="s">
        <v>1159</v>
      </c>
      <c r="E318" s="49" t="s">
        <v>38</v>
      </c>
      <c r="F318" s="49" t="s">
        <v>18</v>
      </c>
      <c r="G318" s="48">
        <v>0</v>
      </c>
      <c r="H318" s="70"/>
      <c r="I318" s="49"/>
    </row>
    <row r="319" spans="1:9" ht="409.5">
      <c r="A319" s="4">
        <v>318</v>
      </c>
      <c r="B319" s="4">
        <f>ROUNDUP(A319/12,0)</f>
        <v>27</v>
      </c>
      <c r="C319" s="49" t="s">
        <v>1020</v>
      </c>
      <c r="D319" s="69" t="s">
        <v>1159</v>
      </c>
      <c r="E319" s="49" t="s">
        <v>39</v>
      </c>
      <c r="F319" s="49" t="s">
        <v>19</v>
      </c>
      <c r="G319" s="48">
        <v>0</v>
      </c>
      <c r="H319" s="70"/>
      <c r="I319" s="49"/>
    </row>
    <row r="320" spans="1:9" ht="409.5">
      <c r="A320" s="4">
        <v>319</v>
      </c>
      <c r="B320" s="4">
        <f>ROUNDUP(A320/12,0)</f>
        <v>27</v>
      </c>
      <c r="C320" s="49" t="s">
        <v>1020</v>
      </c>
      <c r="D320" s="69" t="s">
        <v>1159</v>
      </c>
      <c r="E320" s="49" t="s">
        <v>40</v>
      </c>
      <c r="F320" s="49" t="s">
        <v>20</v>
      </c>
      <c r="G320" s="48">
        <v>0</v>
      </c>
      <c r="H320" s="70"/>
      <c r="I320" s="49"/>
    </row>
    <row r="321" spans="1:9" ht="409.5">
      <c r="A321" s="4">
        <v>320</v>
      </c>
      <c r="B321" s="4">
        <f>ROUNDUP(A321/12,0)</f>
        <v>27</v>
      </c>
      <c r="C321" s="49" t="s">
        <v>1020</v>
      </c>
      <c r="D321" s="69" t="s">
        <v>1159</v>
      </c>
      <c r="E321" s="49" t="s">
        <v>40</v>
      </c>
      <c r="F321" s="49" t="s">
        <v>21</v>
      </c>
      <c r="G321" s="48">
        <v>0</v>
      </c>
      <c r="H321" s="70"/>
      <c r="I321" s="49"/>
    </row>
    <row r="322" spans="1:9" ht="409.5">
      <c r="A322" s="4">
        <v>321</v>
      </c>
      <c r="B322" s="4">
        <f>ROUNDUP(A322/12,0)</f>
        <v>27</v>
      </c>
      <c r="C322" s="49" t="s">
        <v>1020</v>
      </c>
      <c r="D322" s="69" t="s">
        <v>1159</v>
      </c>
      <c r="E322" s="49" t="s">
        <v>41</v>
      </c>
      <c r="F322" s="49" t="s">
        <v>22</v>
      </c>
      <c r="G322" s="48">
        <v>0</v>
      </c>
      <c r="H322" s="70"/>
      <c r="I322" s="49"/>
    </row>
    <row r="323" spans="1:9" ht="409.5">
      <c r="A323" s="4">
        <v>322</v>
      </c>
      <c r="B323" s="4">
        <f>ROUNDUP(A323/12,0)</f>
        <v>27</v>
      </c>
      <c r="C323" s="49" t="s">
        <v>1020</v>
      </c>
      <c r="D323" s="69" t="s">
        <v>1159</v>
      </c>
      <c r="E323" s="49" t="s">
        <v>42</v>
      </c>
      <c r="F323" s="49" t="s">
        <v>23</v>
      </c>
      <c r="G323" s="48">
        <v>0</v>
      </c>
      <c r="H323" s="70"/>
      <c r="I323" s="49"/>
    </row>
    <row r="324" spans="1:9" ht="409.5">
      <c r="A324" s="4">
        <v>323</v>
      </c>
      <c r="B324" s="4">
        <f>ROUNDUP(A324/12,0)</f>
        <v>27</v>
      </c>
      <c r="C324" s="49" t="s">
        <v>1020</v>
      </c>
      <c r="D324" s="69" t="s">
        <v>1159</v>
      </c>
      <c r="E324" s="49" t="s">
        <v>43</v>
      </c>
      <c r="F324" s="49" t="s">
        <v>24</v>
      </c>
      <c r="G324" s="48">
        <v>0</v>
      </c>
      <c r="H324" s="70"/>
      <c r="I324" s="49"/>
    </row>
    <row r="325" spans="1:9" ht="409.5">
      <c r="A325" s="4">
        <v>324</v>
      </c>
      <c r="B325" s="4">
        <f>ROUNDUP(A325/12,0)</f>
        <v>27</v>
      </c>
      <c r="C325" s="49" t="s">
        <v>1020</v>
      </c>
      <c r="D325" s="69" t="s">
        <v>1159</v>
      </c>
      <c r="E325" s="49" t="s">
        <v>44</v>
      </c>
      <c r="F325" s="49" t="s">
        <v>25</v>
      </c>
      <c r="G325" s="48">
        <v>0</v>
      </c>
      <c r="H325" s="70"/>
      <c r="I325" s="49"/>
    </row>
    <row r="326" spans="1:9" ht="362.25">
      <c r="A326" s="4">
        <v>325</v>
      </c>
      <c r="B326" s="4">
        <f>ROUNDUP(A326/12,0)</f>
        <v>28</v>
      </c>
      <c r="C326" s="49" t="s">
        <v>1072</v>
      </c>
      <c r="D326" s="69" t="s">
        <v>1186</v>
      </c>
      <c r="E326" s="49" t="s">
        <v>34</v>
      </c>
      <c r="F326" s="49" t="s">
        <v>14</v>
      </c>
      <c r="G326" s="48">
        <v>0</v>
      </c>
      <c r="H326" s="70"/>
      <c r="I326" s="49"/>
    </row>
    <row r="327" spans="1:9" ht="362.25">
      <c r="A327" s="4">
        <v>326</v>
      </c>
      <c r="B327" s="4">
        <f>ROUNDUP(A327/12,0)</f>
        <v>28</v>
      </c>
      <c r="C327" s="49" t="s">
        <v>1072</v>
      </c>
      <c r="D327" s="69" t="s">
        <v>1186</v>
      </c>
      <c r="E327" s="49" t="s">
        <v>35</v>
      </c>
      <c r="F327" s="49" t="s">
        <v>15</v>
      </c>
      <c r="G327" s="48">
        <v>0</v>
      </c>
      <c r="H327" s="70"/>
      <c r="I327" s="49"/>
    </row>
    <row r="328" spans="1:9" ht="362.25">
      <c r="A328" s="4">
        <v>327</v>
      </c>
      <c r="B328" s="4">
        <f>ROUNDUP(A328/12,0)</f>
        <v>28</v>
      </c>
      <c r="C328" s="49" t="s">
        <v>1072</v>
      </c>
      <c r="D328" s="69" t="s">
        <v>1186</v>
      </c>
      <c r="E328" s="49" t="s">
        <v>36</v>
      </c>
      <c r="F328" s="49" t="s">
        <v>16</v>
      </c>
      <c r="G328" s="48">
        <v>0</v>
      </c>
      <c r="H328" s="70"/>
      <c r="I328" s="49"/>
    </row>
    <row r="329" spans="1:9" ht="362.25">
      <c r="A329" s="4">
        <v>328</v>
      </c>
      <c r="B329" s="4">
        <f>ROUNDUP(A329/12,0)</f>
        <v>28</v>
      </c>
      <c r="C329" s="49" t="s">
        <v>1072</v>
      </c>
      <c r="D329" s="69" t="s">
        <v>1186</v>
      </c>
      <c r="E329" s="49" t="s">
        <v>37</v>
      </c>
      <c r="F329" s="49" t="s">
        <v>17</v>
      </c>
      <c r="G329" s="48">
        <v>1</v>
      </c>
      <c r="H329" s="70">
        <v>45919</v>
      </c>
      <c r="I329" s="49" t="s">
        <v>1073</v>
      </c>
    </row>
    <row r="330" spans="1:9" ht="362.25">
      <c r="A330" s="4">
        <v>329</v>
      </c>
      <c r="B330" s="4">
        <f>ROUNDUP(A330/12,0)</f>
        <v>28</v>
      </c>
      <c r="C330" s="49" t="s">
        <v>1072</v>
      </c>
      <c r="D330" s="69" t="s">
        <v>1186</v>
      </c>
      <c r="E330" s="49" t="s">
        <v>38</v>
      </c>
      <c r="F330" s="49" t="s">
        <v>18</v>
      </c>
      <c r="G330" s="48">
        <v>0</v>
      </c>
      <c r="H330" s="70"/>
      <c r="I330" s="49"/>
    </row>
    <row r="331" spans="1:9" ht="362.25">
      <c r="A331" s="4">
        <v>330</v>
      </c>
      <c r="B331" s="4">
        <f>ROUNDUP(A331/12,0)</f>
        <v>28</v>
      </c>
      <c r="C331" s="49" t="s">
        <v>1072</v>
      </c>
      <c r="D331" s="69" t="s">
        <v>1186</v>
      </c>
      <c r="E331" s="49" t="s">
        <v>39</v>
      </c>
      <c r="F331" s="49" t="s">
        <v>19</v>
      </c>
      <c r="G331" s="48">
        <v>0</v>
      </c>
      <c r="H331" s="70"/>
      <c r="I331" s="49"/>
    </row>
    <row r="332" spans="1:9" ht="362.25">
      <c r="A332" s="4">
        <v>331</v>
      </c>
      <c r="B332" s="4">
        <f>ROUNDUP(A332/12,0)</f>
        <v>28</v>
      </c>
      <c r="C332" s="49" t="s">
        <v>1072</v>
      </c>
      <c r="D332" s="69" t="s">
        <v>1186</v>
      </c>
      <c r="E332" s="49" t="s">
        <v>40</v>
      </c>
      <c r="F332" s="49" t="s">
        <v>20</v>
      </c>
      <c r="G332" s="48">
        <v>0</v>
      </c>
      <c r="H332" s="70"/>
      <c r="I332" s="49"/>
    </row>
    <row r="333" spans="1:9" ht="362.25">
      <c r="A333" s="4">
        <v>332</v>
      </c>
      <c r="B333" s="4">
        <f>ROUNDUP(A333/12,0)</f>
        <v>28</v>
      </c>
      <c r="C333" s="49" t="s">
        <v>1072</v>
      </c>
      <c r="D333" s="69" t="s">
        <v>1186</v>
      </c>
      <c r="E333" s="49" t="s">
        <v>40</v>
      </c>
      <c r="F333" s="49" t="s">
        <v>21</v>
      </c>
      <c r="G333" s="48">
        <v>0</v>
      </c>
      <c r="H333" s="70"/>
      <c r="I333" s="49"/>
    </row>
    <row r="334" spans="1:9" ht="362.25">
      <c r="A334" s="4">
        <v>333</v>
      </c>
      <c r="B334" s="4">
        <f>ROUNDUP(A334/12,0)</f>
        <v>28</v>
      </c>
      <c r="C334" s="49" t="s">
        <v>1072</v>
      </c>
      <c r="D334" s="69" t="s">
        <v>1186</v>
      </c>
      <c r="E334" s="49" t="s">
        <v>41</v>
      </c>
      <c r="F334" s="49" t="s">
        <v>22</v>
      </c>
      <c r="G334" s="48">
        <v>0</v>
      </c>
      <c r="H334" s="70"/>
      <c r="I334" s="49"/>
    </row>
    <row r="335" spans="1:9" ht="362.25">
      <c r="A335" s="4">
        <v>334</v>
      </c>
      <c r="B335" s="4">
        <f>ROUNDUP(A335/12,0)</f>
        <v>28</v>
      </c>
      <c r="C335" s="49" t="s">
        <v>1072</v>
      </c>
      <c r="D335" s="69" t="s">
        <v>1186</v>
      </c>
      <c r="E335" s="49" t="s">
        <v>42</v>
      </c>
      <c r="F335" s="49" t="s">
        <v>23</v>
      </c>
      <c r="G335" s="48">
        <v>0</v>
      </c>
      <c r="H335" s="70"/>
      <c r="I335" s="49"/>
    </row>
    <row r="336" spans="1:9" ht="362.25">
      <c r="A336" s="4">
        <v>335</v>
      </c>
      <c r="B336" s="4">
        <f>ROUNDUP(A336/12,0)</f>
        <v>28</v>
      </c>
      <c r="C336" s="49" t="s">
        <v>1072</v>
      </c>
      <c r="D336" s="69" t="s">
        <v>1186</v>
      </c>
      <c r="E336" s="49" t="s">
        <v>43</v>
      </c>
      <c r="F336" s="49" t="s">
        <v>24</v>
      </c>
      <c r="G336" s="48">
        <v>0</v>
      </c>
      <c r="H336" s="70"/>
      <c r="I336" s="49"/>
    </row>
    <row r="337" spans="1:9" ht="362.25">
      <c r="A337" s="4">
        <v>336</v>
      </c>
      <c r="B337" s="4">
        <f>ROUNDUP(A337/12,0)</f>
        <v>28</v>
      </c>
      <c r="C337" s="49" t="s">
        <v>1072</v>
      </c>
      <c r="D337" s="69" t="s">
        <v>1186</v>
      </c>
      <c r="E337" s="49" t="s">
        <v>44</v>
      </c>
      <c r="F337" s="49" t="s">
        <v>25</v>
      </c>
      <c r="G337" s="48">
        <v>0</v>
      </c>
      <c r="H337" s="70"/>
      <c r="I337" s="49"/>
    </row>
    <row r="338" spans="1:9" ht="346.5">
      <c r="A338" s="4">
        <v>337</v>
      </c>
      <c r="B338" s="4">
        <f>ROUNDUP(A338/12,0)</f>
        <v>29</v>
      </c>
      <c r="C338" s="49" t="s">
        <v>1026</v>
      </c>
      <c r="D338" s="69" t="s">
        <v>1162</v>
      </c>
      <c r="E338" s="49" t="s">
        <v>34</v>
      </c>
      <c r="F338" s="49" t="s">
        <v>14</v>
      </c>
      <c r="G338" s="48">
        <v>0</v>
      </c>
      <c r="H338" s="70"/>
      <c r="I338" s="49"/>
    </row>
    <row r="339" spans="1:9" ht="346.5">
      <c r="A339" s="4">
        <v>338</v>
      </c>
      <c r="B339" s="4">
        <f>ROUNDUP(A339/12,0)</f>
        <v>29</v>
      </c>
      <c r="C339" s="49" t="s">
        <v>1026</v>
      </c>
      <c r="D339" s="69" t="s">
        <v>1162</v>
      </c>
      <c r="E339" s="49" t="s">
        <v>35</v>
      </c>
      <c r="F339" s="49" t="s">
        <v>15</v>
      </c>
      <c r="G339" s="48">
        <v>0</v>
      </c>
      <c r="H339" s="70"/>
      <c r="I339" s="49"/>
    </row>
    <row r="340" spans="1:9" ht="346.5">
      <c r="A340" s="4">
        <v>339</v>
      </c>
      <c r="B340" s="4">
        <f>ROUNDUP(A340/12,0)</f>
        <v>29</v>
      </c>
      <c r="C340" s="49" t="s">
        <v>1026</v>
      </c>
      <c r="D340" s="69" t="s">
        <v>1162</v>
      </c>
      <c r="E340" s="49" t="s">
        <v>36</v>
      </c>
      <c r="F340" s="49" t="s">
        <v>16</v>
      </c>
      <c r="G340" s="48">
        <v>0</v>
      </c>
      <c r="H340" s="70"/>
      <c r="I340" s="49"/>
    </row>
    <row r="341" spans="1:9" ht="346.5">
      <c r="A341" s="4">
        <v>340</v>
      </c>
      <c r="B341" s="4">
        <f>ROUNDUP(A341/12,0)</f>
        <v>29</v>
      </c>
      <c r="C341" s="49" t="s">
        <v>1026</v>
      </c>
      <c r="D341" s="69" t="s">
        <v>1162</v>
      </c>
      <c r="E341" s="49" t="s">
        <v>37</v>
      </c>
      <c r="F341" s="49" t="s">
        <v>17</v>
      </c>
      <c r="G341" s="48">
        <v>1</v>
      </c>
      <c r="H341" s="70">
        <v>46137</v>
      </c>
      <c r="I341" s="49" t="s">
        <v>1027</v>
      </c>
    </row>
    <row r="342" spans="1:9" ht="346.5">
      <c r="A342" s="4">
        <v>341</v>
      </c>
      <c r="B342" s="4">
        <f>ROUNDUP(A342/12,0)</f>
        <v>29</v>
      </c>
      <c r="C342" s="49" t="s">
        <v>1026</v>
      </c>
      <c r="D342" s="69" t="s">
        <v>1162</v>
      </c>
      <c r="E342" s="49" t="s">
        <v>38</v>
      </c>
      <c r="F342" s="49" t="s">
        <v>18</v>
      </c>
      <c r="G342" s="48">
        <v>0</v>
      </c>
      <c r="H342" s="70"/>
      <c r="I342" s="49"/>
    </row>
    <row r="343" spans="1:9" ht="346.5">
      <c r="A343" s="4">
        <v>342</v>
      </c>
      <c r="B343" s="4">
        <f>ROUNDUP(A343/12,0)</f>
        <v>29</v>
      </c>
      <c r="C343" s="49" t="s">
        <v>1026</v>
      </c>
      <c r="D343" s="69" t="s">
        <v>1162</v>
      </c>
      <c r="E343" s="49" t="s">
        <v>39</v>
      </c>
      <c r="F343" s="49" t="s">
        <v>19</v>
      </c>
      <c r="G343" s="48">
        <v>0</v>
      </c>
      <c r="H343" s="70"/>
      <c r="I343" s="49"/>
    </row>
    <row r="344" spans="1:9" ht="346.5">
      <c r="A344" s="4">
        <v>343</v>
      </c>
      <c r="B344" s="4">
        <f>ROUNDUP(A344/12,0)</f>
        <v>29</v>
      </c>
      <c r="C344" s="49" t="s">
        <v>1026</v>
      </c>
      <c r="D344" s="69" t="s">
        <v>1162</v>
      </c>
      <c r="E344" s="49" t="s">
        <v>40</v>
      </c>
      <c r="F344" s="49" t="s">
        <v>20</v>
      </c>
      <c r="G344" s="48">
        <v>0</v>
      </c>
      <c r="H344" s="70"/>
      <c r="I344" s="49"/>
    </row>
    <row r="345" spans="1:9" ht="346.5">
      <c r="A345" s="4">
        <v>344</v>
      </c>
      <c r="B345" s="4">
        <f>ROUNDUP(A345/12,0)</f>
        <v>29</v>
      </c>
      <c r="C345" s="49" t="s">
        <v>1026</v>
      </c>
      <c r="D345" s="69" t="s">
        <v>1162</v>
      </c>
      <c r="E345" s="49" t="s">
        <v>40</v>
      </c>
      <c r="F345" s="49" t="s">
        <v>21</v>
      </c>
      <c r="G345" s="48">
        <v>0</v>
      </c>
      <c r="H345" s="70"/>
      <c r="I345" s="49"/>
    </row>
    <row r="346" spans="1:9" ht="346.5">
      <c r="A346" s="4">
        <v>345</v>
      </c>
      <c r="B346" s="4">
        <f>ROUNDUP(A346/12,0)</f>
        <v>29</v>
      </c>
      <c r="C346" s="49" t="s">
        <v>1026</v>
      </c>
      <c r="D346" s="69" t="s">
        <v>1162</v>
      </c>
      <c r="E346" s="49" t="s">
        <v>41</v>
      </c>
      <c r="F346" s="49" t="s">
        <v>22</v>
      </c>
      <c r="G346" s="48">
        <v>0</v>
      </c>
      <c r="H346" s="70"/>
      <c r="I346" s="49"/>
    </row>
    <row r="347" spans="1:9" ht="346.5">
      <c r="A347" s="4">
        <v>346</v>
      </c>
      <c r="B347" s="4">
        <f>ROUNDUP(A347/12,0)</f>
        <v>29</v>
      </c>
      <c r="C347" s="49" t="s">
        <v>1026</v>
      </c>
      <c r="D347" s="69" t="s">
        <v>1162</v>
      </c>
      <c r="E347" s="49" t="s">
        <v>42</v>
      </c>
      <c r="F347" s="49" t="s">
        <v>23</v>
      </c>
      <c r="G347" s="48">
        <v>0</v>
      </c>
      <c r="H347" s="70"/>
      <c r="I347" s="49"/>
    </row>
    <row r="348" spans="1:9" ht="346.5">
      <c r="A348" s="4">
        <v>347</v>
      </c>
      <c r="B348" s="4">
        <f>ROUNDUP(A348/12,0)</f>
        <v>29</v>
      </c>
      <c r="C348" s="49" t="s">
        <v>1026</v>
      </c>
      <c r="D348" s="69" t="s">
        <v>1162</v>
      </c>
      <c r="E348" s="49" t="s">
        <v>43</v>
      </c>
      <c r="F348" s="49" t="s">
        <v>24</v>
      </c>
      <c r="G348" s="48">
        <v>0</v>
      </c>
      <c r="H348" s="70"/>
      <c r="I348" s="49"/>
    </row>
    <row r="349" spans="1:9" ht="346.5">
      <c r="A349" s="4">
        <v>348</v>
      </c>
      <c r="B349" s="4">
        <f>ROUNDUP(A349/12,0)</f>
        <v>29</v>
      </c>
      <c r="C349" s="49" t="s">
        <v>1026</v>
      </c>
      <c r="D349" s="69" t="s">
        <v>1162</v>
      </c>
      <c r="E349" s="49" t="s">
        <v>44</v>
      </c>
      <c r="F349" s="49" t="s">
        <v>25</v>
      </c>
      <c r="G349" s="48">
        <v>0</v>
      </c>
      <c r="H349" s="70"/>
      <c r="I349" s="49"/>
    </row>
    <row r="350" spans="1:9" ht="409.5">
      <c r="A350" s="4">
        <v>349</v>
      </c>
      <c r="B350" s="4">
        <f>ROUNDUP(A350/12,0)</f>
        <v>30</v>
      </c>
      <c r="C350" s="49" t="s">
        <v>1014</v>
      </c>
      <c r="D350" s="69" t="s">
        <v>1156</v>
      </c>
      <c r="E350" s="49" t="s">
        <v>34</v>
      </c>
      <c r="F350" s="49" t="s">
        <v>14</v>
      </c>
      <c r="G350" s="48">
        <v>0</v>
      </c>
      <c r="H350" s="70"/>
      <c r="I350" s="49"/>
    </row>
    <row r="351" spans="1:9" ht="409.5">
      <c r="A351" s="4">
        <v>350</v>
      </c>
      <c r="B351" s="4">
        <f>ROUNDUP(A351/12,0)</f>
        <v>30</v>
      </c>
      <c r="C351" s="49" t="s">
        <v>1014</v>
      </c>
      <c r="D351" s="69" t="s">
        <v>1156</v>
      </c>
      <c r="E351" s="49" t="s">
        <v>35</v>
      </c>
      <c r="F351" s="49" t="s">
        <v>15</v>
      </c>
      <c r="G351" s="48">
        <v>0</v>
      </c>
      <c r="H351" s="70"/>
      <c r="I351" s="49"/>
    </row>
    <row r="352" spans="1:9" ht="409.5">
      <c r="A352" s="4">
        <v>351</v>
      </c>
      <c r="B352" s="4">
        <f>ROUNDUP(A352/12,0)</f>
        <v>30</v>
      </c>
      <c r="C352" s="49" t="s">
        <v>1014</v>
      </c>
      <c r="D352" s="69" t="s">
        <v>1156</v>
      </c>
      <c r="E352" s="49" t="s">
        <v>36</v>
      </c>
      <c r="F352" s="49" t="s">
        <v>16</v>
      </c>
      <c r="G352" s="48">
        <v>0</v>
      </c>
      <c r="H352" s="70"/>
      <c r="I352" s="49"/>
    </row>
    <row r="353" spans="1:9" ht="409.5">
      <c r="A353" s="4">
        <v>352</v>
      </c>
      <c r="B353" s="4">
        <f>ROUNDUP(A353/12,0)</f>
        <v>30</v>
      </c>
      <c r="C353" s="49" t="s">
        <v>1014</v>
      </c>
      <c r="D353" s="69" t="s">
        <v>1156</v>
      </c>
      <c r="E353" s="49" t="s">
        <v>37</v>
      </c>
      <c r="F353" s="49" t="s">
        <v>17</v>
      </c>
      <c r="G353" s="48">
        <v>1</v>
      </c>
      <c r="H353" s="70">
        <v>46232</v>
      </c>
      <c r="I353" s="49" t="s">
        <v>1015</v>
      </c>
    </row>
    <row r="354" spans="1:9" ht="409.5">
      <c r="A354" s="4">
        <v>353</v>
      </c>
      <c r="B354" s="4">
        <f>ROUNDUP(A354/12,0)</f>
        <v>30</v>
      </c>
      <c r="C354" s="49" t="s">
        <v>1014</v>
      </c>
      <c r="D354" s="69" t="s">
        <v>1156</v>
      </c>
      <c r="E354" s="49" t="s">
        <v>38</v>
      </c>
      <c r="F354" s="49" t="s">
        <v>18</v>
      </c>
      <c r="G354" s="48">
        <v>0</v>
      </c>
      <c r="H354" s="70"/>
      <c r="I354" s="49"/>
    </row>
    <row r="355" spans="1:9" ht="409.5">
      <c r="A355" s="4">
        <v>354</v>
      </c>
      <c r="B355" s="4">
        <f>ROUNDUP(A355/12,0)</f>
        <v>30</v>
      </c>
      <c r="C355" s="49" t="s">
        <v>1014</v>
      </c>
      <c r="D355" s="69" t="s">
        <v>1156</v>
      </c>
      <c r="E355" s="49" t="s">
        <v>39</v>
      </c>
      <c r="F355" s="49" t="s">
        <v>19</v>
      </c>
      <c r="G355" s="48">
        <v>0</v>
      </c>
      <c r="H355" s="70"/>
      <c r="I355" s="49"/>
    </row>
    <row r="356" spans="1:9" ht="409.5">
      <c r="A356" s="4">
        <v>355</v>
      </c>
      <c r="B356" s="4">
        <f>ROUNDUP(A356/12,0)</f>
        <v>30</v>
      </c>
      <c r="C356" s="49" t="s">
        <v>1014</v>
      </c>
      <c r="D356" s="69" t="s">
        <v>1156</v>
      </c>
      <c r="E356" s="49" t="s">
        <v>40</v>
      </c>
      <c r="F356" s="49" t="s">
        <v>20</v>
      </c>
      <c r="G356" s="48">
        <v>0</v>
      </c>
      <c r="H356" s="70"/>
      <c r="I356" s="49"/>
    </row>
    <row r="357" spans="1:9" ht="409.5">
      <c r="A357" s="4">
        <v>356</v>
      </c>
      <c r="B357" s="4">
        <f>ROUNDUP(A357/12,0)</f>
        <v>30</v>
      </c>
      <c r="C357" s="49" t="s">
        <v>1014</v>
      </c>
      <c r="D357" s="69" t="s">
        <v>1156</v>
      </c>
      <c r="E357" s="49" t="s">
        <v>40</v>
      </c>
      <c r="F357" s="49" t="s">
        <v>21</v>
      </c>
      <c r="G357" s="48">
        <v>0</v>
      </c>
      <c r="H357" s="70"/>
      <c r="I357" s="49"/>
    </row>
    <row r="358" spans="1:9" ht="409.5">
      <c r="A358" s="4">
        <v>357</v>
      </c>
      <c r="B358" s="4">
        <f>ROUNDUP(A358/12,0)</f>
        <v>30</v>
      </c>
      <c r="C358" s="49" t="s">
        <v>1014</v>
      </c>
      <c r="D358" s="69" t="s">
        <v>1156</v>
      </c>
      <c r="E358" s="49" t="s">
        <v>41</v>
      </c>
      <c r="F358" s="49" t="s">
        <v>22</v>
      </c>
      <c r="G358" s="48">
        <v>0</v>
      </c>
      <c r="H358" s="70"/>
      <c r="I358" s="49"/>
    </row>
    <row r="359" spans="1:9" ht="409.5">
      <c r="A359" s="4">
        <v>358</v>
      </c>
      <c r="B359" s="4">
        <f>ROUNDUP(A359/12,0)</f>
        <v>30</v>
      </c>
      <c r="C359" s="49" t="s">
        <v>1014</v>
      </c>
      <c r="D359" s="69" t="s">
        <v>1156</v>
      </c>
      <c r="E359" s="49" t="s">
        <v>42</v>
      </c>
      <c r="F359" s="49" t="s">
        <v>23</v>
      </c>
      <c r="G359" s="48">
        <v>0</v>
      </c>
      <c r="H359" s="70"/>
      <c r="I359" s="49"/>
    </row>
    <row r="360" spans="1:9" ht="409.5">
      <c r="A360" s="4">
        <v>359</v>
      </c>
      <c r="B360" s="4">
        <f>ROUNDUP(A360/12,0)</f>
        <v>30</v>
      </c>
      <c r="C360" s="49" t="s">
        <v>1014</v>
      </c>
      <c r="D360" s="69" t="s">
        <v>1156</v>
      </c>
      <c r="E360" s="49" t="s">
        <v>43</v>
      </c>
      <c r="F360" s="49" t="s">
        <v>24</v>
      </c>
      <c r="G360" s="48">
        <v>0</v>
      </c>
      <c r="H360" s="70"/>
      <c r="I360" s="49"/>
    </row>
    <row r="361" spans="1:9" ht="409.5">
      <c r="A361" s="4">
        <v>360</v>
      </c>
      <c r="B361" s="4">
        <f>ROUNDUP(A361/12,0)</f>
        <v>30</v>
      </c>
      <c r="C361" s="49" t="s">
        <v>1014</v>
      </c>
      <c r="D361" s="69" t="s">
        <v>1156</v>
      </c>
      <c r="E361" s="49" t="s">
        <v>44</v>
      </c>
      <c r="F361" s="49" t="s">
        <v>25</v>
      </c>
      <c r="G361" s="48">
        <v>0</v>
      </c>
      <c r="H361" s="70"/>
      <c r="I361" s="49"/>
    </row>
    <row r="362" spans="1:9" ht="299.25">
      <c r="A362" s="4">
        <v>361</v>
      </c>
      <c r="B362" s="4">
        <f>ROUNDUP(A362/12,0)</f>
        <v>31</v>
      </c>
      <c r="C362" s="49" t="s">
        <v>1060</v>
      </c>
      <c r="D362" s="69" t="s">
        <v>1180</v>
      </c>
      <c r="E362" s="49" t="s">
        <v>34</v>
      </c>
      <c r="F362" s="49" t="s">
        <v>14</v>
      </c>
      <c r="G362" s="48">
        <v>0</v>
      </c>
      <c r="H362" s="70"/>
      <c r="I362" s="49"/>
    </row>
    <row r="363" spans="1:9" ht="299.25">
      <c r="A363" s="4">
        <v>362</v>
      </c>
      <c r="B363" s="4">
        <f>ROUNDUP(A363/12,0)</f>
        <v>31</v>
      </c>
      <c r="C363" s="49" t="s">
        <v>1060</v>
      </c>
      <c r="D363" s="69" t="s">
        <v>1180</v>
      </c>
      <c r="E363" s="49" t="s">
        <v>35</v>
      </c>
      <c r="F363" s="49" t="s">
        <v>15</v>
      </c>
      <c r="G363" s="48">
        <v>0</v>
      </c>
      <c r="H363" s="70"/>
      <c r="I363" s="49"/>
    </row>
    <row r="364" spans="1:9" ht="299.25">
      <c r="A364" s="4">
        <v>363</v>
      </c>
      <c r="B364" s="4">
        <f>ROUNDUP(A364/12,0)</f>
        <v>31</v>
      </c>
      <c r="C364" s="49" t="s">
        <v>1060</v>
      </c>
      <c r="D364" s="69" t="s">
        <v>1180</v>
      </c>
      <c r="E364" s="49" t="s">
        <v>36</v>
      </c>
      <c r="F364" s="49" t="s">
        <v>16</v>
      </c>
      <c r="G364" s="48">
        <v>0</v>
      </c>
      <c r="H364" s="70"/>
      <c r="I364" s="49"/>
    </row>
    <row r="365" spans="1:9" ht="299.25">
      <c r="A365" s="4">
        <v>364</v>
      </c>
      <c r="B365" s="4">
        <f>ROUNDUP(A365/12,0)</f>
        <v>31</v>
      </c>
      <c r="C365" s="49" t="s">
        <v>1060</v>
      </c>
      <c r="D365" s="69" t="s">
        <v>1180</v>
      </c>
      <c r="E365" s="49" t="s">
        <v>37</v>
      </c>
      <c r="F365" s="49" t="s">
        <v>17</v>
      </c>
      <c r="G365" s="48">
        <v>1</v>
      </c>
      <c r="H365" s="70">
        <v>45975</v>
      </c>
      <c r="I365" s="49" t="s">
        <v>1061</v>
      </c>
    </row>
    <row r="366" spans="1:9" ht="299.25">
      <c r="A366" s="4">
        <v>365</v>
      </c>
      <c r="B366" s="4">
        <f>ROUNDUP(A366/12,0)</f>
        <v>31</v>
      </c>
      <c r="C366" s="49" t="s">
        <v>1060</v>
      </c>
      <c r="D366" s="69" t="s">
        <v>1180</v>
      </c>
      <c r="E366" s="49" t="s">
        <v>38</v>
      </c>
      <c r="F366" s="49" t="s">
        <v>18</v>
      </c>
      <c r="G366" s="48">
        <v>0</v>
      </c>
      <c r="H366" s="70"/>
      <c r="I366" s="49"/>
    </row>
    <row r="367" spans="1:9" ht="299.25">
      <c r="A367" s="4">
        <v>366</v>
      </c>
      <c r="B367" s="4">
        <f>ROUNDUP(A367/12,0)</f>
        <v>31</v>
      </c>
      <c r="C367" s="49" t="s">
        <v>1060</v>
      </c>
      <c r="D367" s="69" t="s">
        <v>1180</v>
      </c>
      <c r="E367" s="49" t="s">
        <v>39</v>
      </c>
      <c r="F367" s="49" t="s">
        <v>19</v>
      </c>
      <c r="G367" s="48">
        <v>0</v>
      </c>
      <c r="H367" s="70"/>
      <c r="I367" s="49"/>
    </row>
    <row r="368" spans="1:9" ht="299.25">
      <c r="A368" s="4">
        <v>367</v>
      </c>
      <c r="B368" s="4">
        <f>ROUNDUP(A368/12,0)</f>
        <v>31</v>
      </c>
      <c r="C368" s="49" t="s">
        <v>1060</v>
      </c>
      <c r="D368" s="69" t="s">
        <v>1180</v>
      </c>
      <c r="E368" s="49" t="s">
        <v>40</v>
      </c>
      <c r="F368" s="49" t="s">
        <v>20</v>
      </c>
      <c r="G368" s="48">
        <v>0</v>
      </c>
      <c r="H368" s="70"/>
      <c r="I368" s="49"/>
    </row>
    <row r="369" spans="1:9" ht="299.25">
      <c r="A369" s="4">
        <v>368</v>
      </c>
      <c r="B369" s="4">
        <f>ROUNDUP(A369/12,0)</f>
        <v>31</v>
      </c>
      <c r="C369" s="49" t="s">
        <v>1060</v>
      </c>
      <c r="D369" s="69" t="s">
        <v>1180</v>
      </c>
      <c r="E369" s="49" t="s">
        <v>40</v>
      </c>
      <c r="F369" s="49" t="s">
        <v>21</v>
      </c>
      <c r="G369" s="48">
        <v>0</v>
      </c>
      <c r="H369" s="70"/>
      <c r="I369" s="49"/>
    </row>
    <row r="370" spans="1:9" ht="299.25">
      <c r="A370" s="4">
        <v>369</v>
      </c>
      <c r="B370" s="4">
        <f>ROUNDUP(A370/12,0)</f>
        <v>31</v>
      </c>
      <c r="C370" s="49" t="s">
        <v>1060</v>
      </c>
      <c r="D370" s="69" t="s">
        <v>1180</v>
      </c>
      <c r="E370" s="49" t="s">
        <v>41</v>
      </c>
      <c r="F370" s="49" t="s">
        <v>22</v>
      </c>
      <c r="G370" s="48">
        <v>0</v>
      </c>
      <c r="H370" s="70"/>
      <c r="I370" s="49"/>
    </row>
    <row r="371" spans="1:9" ht="299.25">
      <c r="A371" s="4">
        <v>370</v>
      </c>
      <c r="B371" s="4">
        <f>ROUNDUP(A371/12,0)</f>
        <v>31</v>
      </c>
      <c r="C371" s="49" t="s">
        <v>1060</v>
      </c>
      <c r="D371" s="69" t="s">
        <v>1180</v>
      </c>
      <c r="E371" s="49" t="s">
        <v>42</v>
      </c>
      <c r="F371" s="49" t="s">
        <v>23</v>
      </c>
      <c r="G371" s="48">
        <v>0</v>
      </c>
      <c r="H371" s="70"/>
      <c r="I371" s="49"/>
    </row>
    <row r="372" spans="1:9" ht="299.25">
      <c r="A372" s="4">
        <v>371</v>
      </c>
      <c r="B372" s="4">
        <f>ROUNDUP(A372/12,0)</f>
        <v>31</v>
      </c>
      <c r="C372" s="49" t="s">
        <v>1060</v>
      </c>
      <c r="D372" s="69" t="s">
        <v>1180</v>
      </c>
      <c r="E372" s="49" t="s">
        <v>43</v>
      </c>
      <c r="F372" s="49" t="s">
        <v>24</v>
      </c>
      <c r="G372" s="48">
        <v>0</v>
      </c>
      <c r="H372" s="70"/>
      <c r="I372" s="49"/>
    </row>
    <row r="373" spans="1:9" ht="299.25">
      <c r="A373" s="4">
        <v>372</v>
      </c>
      <c r="B373" s="4">
        <f>ROUNDUP(A373/12,0)</f>
        <v>31</v>
      </c>
      <c r="C373" s="49" t="s">
        <v>1060</v>
      </c>
      <c r="D373" s="69" t="s">
        <v>1180</v>
      </c>
      <c r="E373" s="49" t="s">
        <v>44</v>
      </c>
      <c r="F373" s="49" t="s">
        <v>25</v>
      </c>
      <c r="G373" s="48">
        <v>0</v>
      </c>
      <c r="H373" s="70"/>
      <c r="I373" s="49"/>
    </row>
    <row r="374" spans="1:9" ht="15.75">
      <c r="A374" s="4">
        <v>373</v>
      </c>
      <c r="B374" s="4">
        <f>ROUNDUP(A374/12,0)</f>
        <v>32</v>
      </c>
      <c r="C374" s="49" t="s">
        <v>1049</v>
      </c>
      <c r="D374" s="49" t="s">
        <v>1174</v>
      </c>
      <c r="E374" s="49" t="s">
        <v>34</v>
      </c>
      <c r="F374" s="49" t="s">
        <v>14</v>
      </c>
      <c r="G374" s="48">
        <v>0</v>
      </c>
      <c r="H374" s="70"/>
      <c r="I374" s="49"/>
    </row>
    <row r="375" spans="1:9" ht="15.75">
      <c r="A375" s="4">
        <v>374</v>
      </c>
      <c r="B375" s="4">
        <f>ROUNDUP(A375/12,0)</f>
        <v>32</v>
      </c>
      <c r="C375" s="49" t="s">
        <v>1049</v>
      </c>
      <c r="D375" s="49" t="s">
        <v>1174</v>
      </c>
      <c r="E375" s="49" t="s">
        <v>35</v>
      </c>
      <c r="F375" s="49" t="s">
        <v>15</v>
      </c>
      <c r="G375" s="48">
        <v>0</v>
      </c>
      <c r="H375" s="70"/>
      <c r="I375" s="49"/>
    </row>
    <row r="376" spans="1:9" ht="15.75">
      <c r="A376" s="4">
        <v>375</v>
      </c>
      <c r="B376" s="4">
        <f>ROUNDUP(A376/12,0)</f>
        <v>32</v>
      </c>
      <c r="C376" s="49" t="s">
        <v>1049</v>
      </c>
      <c r="D376" s="49" t="s">
        <v>1174</v>
      </c>
      <c r="E376" s="49" t="s">
        <v>36</v>
      </c>
      <c r="F376" s="49" t="s">
        <v>16</v>
      </c>
      <c r="G376" s="48">
        <v>0</v>
      </c>
      <c r="H376" s="70"/>
      <c r="I376" s="49"/>
    </row>
    <row r="377" spans="1:9" ht="15.75">
      <c r="A377" s="4">
        <v>376</v>
      </c>
      <c r="B377" s="4">
        <f>ROUNDUP(A377/12,0)</f>
        <v>32</v>
      </c>
      <c r="C377" s="49" t="s">
        <v>1049</v>
      </c>
      <c r="D377" s="49" t="s">
        <v>1174</v>
      </c>
      <c r="E377" s="49" t="s">
        <v>37</v>
      </c>
      <c r="F377" s="49" t="s">
        <v>17</v>
      </c>
      <c r="G377" s="48">
        <v>1</v>
      </c>
      <c r="H377" s="70">
        <v>46012</v>
      </c>
      <c r="I377" s="49" t="s">
        <v>1050</v>
      </c>
    </row>
    <row r="378" spans="1:9" ht="15.75">
      <c r="A378" s="4">
        <v>377</v>
      </c>
      <c r="B378" s="4">
        <f>ROUNDUP(A378/12,0)</f>
        <v>32</v>
      </c>
      <c r="C378" s="49" t="s">
        <v>1049</v>
      </c>
      <c r="D378" s="49" t="s">
        <v>1174</v>
      </c>
      <c r="E378" s="49" t="s">
        <v>38</v>
      </c>
      <c r="F378" s="49" t="s">
        <v>18</v>
      </c>
      <c r="G378" s="48">
        <v>0</v>
      </c>
      <c r="H378" s="70"/>
      <c r="I378" s="49"/>
    </row>
    <row r="379" spans="1:9" ht="15.75">
      <c r="A379" s="4">
        <v>378</v>
      </c>
      <c r="B379" s="4">
        <f>ROUNDUP(A379/12,0)</f>
        <v>32</v>
      </c>
      <c r="C379" s="49" t="s">
        <v>1049</v>
      </c>
      <c r="D379" s="49" t="s">
        <v>1174</v>
      </c>
      <c r="E379" s="49" t="s">
        <v>39</v>
      </c>
      <c r="F379" s="49" t="s">
        <v>19</v>
      </c>
      <c r="G379" s="48">
        <v>0</v>
      </c>
      <c r="H379" s="70"/>
      <c r="I379" s="49"/>
    </row>
    <row r="380" spans="1:9" ht="15.75">
      <c r="A380" s="4">
        <v>379</v>
      </c>
      <c r="B380" s="4">
        <f>ROUNDUP(A380/12,0)</f>
        <v>32</v>
      </c>
      <c r="C380" s="49" t="s">
        <v>1049</v>
      </c>
      <c r="D380" s="49" t="s">
        <v>1174</v>
      </c>
      <c r="E380" s="49" t="s">
        <v>40</v>
      </c>
      <c r="F380" s="49" t="s">
        <v>20</v>
      </c>
      <c r="G380" s="48">
        <v>0</v>
      </c>
      <c r="H380" s="70"/>
      <c r="I380" s="49"/>
    </row>
    <row r="381" spans="1:9" ht="15.75">
      <c r="A381" s="4">
        <v>380</v>
      </c>
      <c r="B381" s="4">
        <f>ROUNDUP(A381/12,0)</f>
        <v>32</v>
      </c>
      <c r="C381" s="49" t="s">
        <v>1049</v>
      </c>
      <c r="D381" s="49" t="s">
        <v>1174</v>
      </c>
      <c r="E381" s="49" t="s">
        <v>40</v>
      </c>
      <c r="F381" s="49" t="s">
        <v>21</v>
      </c>
      <c r="G381" s="48">
        <v>0</v>
      </c>
      <c r="H381" s="70"/>
      <c r="I381" s="49"/>
    </row>
    <row r="382" spans="1:9" ht="15.75">
      <c r="A382" s="4">
        <v>381</v>
      </c>
      <c r="B382" s="4">
        <f>ROUNDUP(A382/12,0)</f>
        <v>32</v>
      </c>
      <c r="C382" s="49" t="s">
        <v>1049</v>
      </c>
      <c r="D382" s="49" t="s">
        <v>1174</v>
      </c>
      <c r="E382" s="49" t="s">
        <v>41</v>
      </c>
      <c r="F382" s="49" t="s">
        <v>22</v>
      </c>
      <c r="G382" s="48">
        <v>0</v>
      </c>
      <c r="H382" s="70"/>
      <c r="I382" s="49"/>
    </row>
    <row r="383" spans="1:9" ht="15.75">
      <c r="A383" s="4">
        <v>382</v>
      </c>
      <c r="B383" s="4">
        <f>ROUNDUP(A383/12,0)</f>
        <v>32</v>
      </c>
      <c r="C383" s="49" t="s">
        <v>1049</v>
      </c>
      <c r="D383" s="49" t="s">
        <v>1174</v>
      </c>
      <c r="E383" s="49" t="s">
        <v>42</v>
      </c>
      <c r="F383" s="49" t="s">
        <v>23</v>
      </c>
      <c r="G383" s="48">
        <v>0</v>
      </c>
      <c r="H383" s="70"/>
      <c r="I383" s="49"/>
    </row>
    <row r="384" spans="1:9" ht="15.75">
      <c r="A384" s="4">
        <v>383</v>
      </c>
      <c r="B384" s="4">
        <f>ROUNDUP(A384/12,0)</f>
        <v>32</v>
      </c>
      <c r="C384" s="49" t="s">
        <v>1049</v>
      </c>
      <c r="D384" s="49" t="s">
        <v>1174</v>
      </c>
      <c r="E384" s="49" t="s">
        <v>43</v>
      </c>
      <c r="F384" s="49" t="s">
        <v>24</v>
      </c>
      <c r="G384" s="48">
        <v>0</v>
      </c>
      <c r="H384" s="70"/>
      <c r="I384" s="49"/>
    </row>
    <row r="385" spans="1:9" ht="15.75">
      <c r="A385" s="4">
        <v>384</v>
      </c>
      <c r="B385" s="4">
        <f>ROUNDUP(A385/12,0)</f>
        <v>32</v>
      </c>
      <c r="C385" s="49" t="s">
        <v>1049</v>
      </c>
      <c r="D385" s="49" t="s">
        <v>1174</v>
      </c>
      <c r="E385" s="49" t="s">
        <v>44</v>
      </c>
      <c r="F385" s="49" t="s">
        <v>25</v>
      </c>
      <c r="G385" s="48">
        <v>0</v>
      </c>
      <c r="H385" s="70"/>
      <c r="I385" s="49"/>
    </row>
    <row r="386" spans="1:9" ht="409.5">
      <c r="A386" s="4">
        <v>385</v>
      </c>
      <c r="B386" s="4">
        <f>ROUNDUP(A386/12,0)</f>
        <v>33</v>
      </c>
      <c r="C386" s="49" t="s">
        <v>1082</v>
      </c>
      <c r="D386" s="69" t="s">
        <v>1191</v>
      </c>
      <c r="E386" s="49" t="s">
        <v>34</v>
      </c>
      <c r="F386" s="49" t="s">
        <v>14</v>
      </c>
      <c r="G386" s="48">
        <v>0</v>
      </c>
      <c r="H386" s="70"/>
      <c r="I386" s="49"/>
    </row>
    <row r="387" spans="1:9" ht="409.5">
      <c r="A387" s="4">
        <v>386</v>
      </c>
      <c r="B387" s="4">
        <f>ROUNDUP(A387/12,0)</f>
        <v>33</v>
      </c>
      <c r="C387" s="49" t="s">
        <v>1082</v>
      </c>
      <c r="D387" s="69" t="s">
        <v>1191</v>
      </c>
      <c r="E387" s="49" t="s">
        <v>35</v>
      </c>
      <c r="F387" s="49" t="s">
        <v>15</v>
      </c>
      <c r="G387" s="48">
        <v>0</v>
      </c>
      <c r="H387" s="70"/>
      <c r="I387" s="49"/>
    </row>
    <row r="388" spans="1:9" ht="409.5">
      <c r="A388" s="4">
        <v>387</v>
      </c>
      <c r="B388" s="4">
        <f>ROUNDUP(A388/12,0)</f>
        <v>33</v>
      </c>
      <c r="C388" s="49" t="s">
        <v>1082</v>
      </c>
      <c r="D388" s="69" t="s">
        <v>1191</v>
      </c>
      <c r="E388" s="49" t="s">
        <v>36</v>
      </c>
      <c r="F388" s="49" t="s">
        <v>16</v>
      </c>
      <c r="G388" s="48">
        <v>0</v>
      </c>
      <c r="H388" s="70"/>
      <c r="I388" s="49"/>
    </row>
    <row r="389" spans="1:9" ht="409.5">
      <c r="A389" s="4">
        <v>388</v>
      </c>
      <c r="B389" s="4">
        <f>ROUNDUP(A389/12,0)</f>
        <v>33</v>
      </c>
      <c r="C389" s="49" t="s">
        <v>1082</v>
      </c>
      <c r="D389" s="69" t="s">
        <v>1191</v>
      </c>
      <c r="E389" s="49" t="s">
        <v>37</v>
      </c>
      <c r="F389" s="49" t="s">
        <v>17</v>
      </c>
      <c r="G389" s="48">
        <v>1</v>
      </c>
      <c r="H389" s="70">
        <v>45740</v>
      </c>
      <c r="I389" s="49" t="s">
        <v>1083</v>
      </c>
    </row>
    <row r="390" spans="1:9" ht="409.5">
      <c r="A390" s="4">
        <v>389</v>
      </c>
      <c r="B390" s="4">
        <f>ROUNDUP(A390/12,0)</f>
        <v>33</v>
      </c>
      <c r="C390" s="49" t="s">
        <v>1082</v>
      </c>
      <c r="D390" s="69" t="s">
        <v>1191</v>
      </c>
      <c r="E390" s="49" t="s">
        <v>38</v>
      </c>
      <c r="F390" s="49" t="s">
        <v>18</v>
      </c>
      <c r="G390" s="48">
        <v>0</v>
      </c>
      <c r="H390" s="70"/>
      <c r="I390" s="49"/>
    </row>
    <row r="391" spans="1:9" ht="409.5">
      <c r="A391" s="4">
        <v>390</v>
      </c>
      <c r="B391" s="4">
        <f>ROUNDUP(A391/12,0)</f>
        <v>33</v>
      </c>
      <c r="C391" s="49" t="s">
        <v>1082</v>
      </c>
      <c r="D391" s="69" t="s">
        <v>1191</v>
      </c>
      <c r="E391" s="49" t="s">
        <v>39</v>
      </c>
      <c r="F391" s="49" t="s">
        <v>19</v>
      </c>
      <c r="G391" s="48">
        <v>0</v>
      </c>
      <c r="H391" s="70"/>
      <c r="I391" s="49"/>
    </row>
    <row r="392" spans="1:9" ht="409.5">
      <c r="A392" s="4">
        <v>391</v>
      </c>
      <c r="B392" s="4">
        <f>ROUNDUP(A392/12,0)</f>
        <v>33</v>
      </c>
      <c r="C392" s="49" t="s">
        <v>1082</v>
      </c>
      <c r="D392" s="69" t="s">
        <v>1191</v>
      </c>
      <c r="E392" s="49" t="s">
        <v>40</v>
      </c>
      <c r="F392" s="49" t="s">
        <v>20</v>
      </c>
      <c r="G392" s="48">
        <v>0</v>
      </c>
      <c r="H392" s="70"/>
      <c r="I392" s="49"/>
    </row>
    <row r="393" spans="1:9" ht="409.5">
      <c r="A393" s="4">
        <v>392</v>
      </c>
      <c r="B393" s="4">
        <f>ROUNDUP(A393/12,0)</f>
        <v>33</v>
      </c>
      <c r="C393" s="49" t="s">
        <v>1082</v>
      </c>
      <c r="D393" s="69" t="s">
        <v>1191</v>
      </c>
      <c r="E393" s="49" t="s">
        <v>40</v>
      </c>
      <c r="F393" s="49" t="s">
        <v>21</v>
      </c>
      <c r="G393" s="48">
        <v>0</v>
      </c>
      <c r="H393" s="70"/>
      <c r="I393" s="49"/>
    </row>
    <row r="394" spans="1:9" ht="409.5">
      <c r="A394" s="4">
        <v>393</v>
      </c>
      <c r="B394" s="4">
        <f>ROUNDUP(A394/12,0)</f>
        <v>33</v>
      </c>
      <c r="C394" s="49" t="s">
        <v>1082</v>
      </c>
      <c r="D394" s="69" t="s">
        <v>1191</v>
      </c>
      <c r="E394" s="49" t="s">
        <v>41</v>
      </c>
      <c r="F394" s="49" t="s">
        <v>22</v>
      </c>
      <c r="G394" s="48">
        <v>0</v>
      </c>
      <c r="H394" s="70"/>
      <c r="I394" s="49"/>
    </row>
    <row r="395" spans="1:9" ht="409.5">
      <c r="A395" s="4">
        <v>394</v>
      </c>
      <c r="B395" s="4">
        <f>ROUNDUP(A395/12,0)</f>
        <v>33</v>
      </c>
      <c r="C395" s="49" t="s">
        <v>1082</v>
      </c>
      <c r="D395" s="69" t="s">
        <v>1191</v>
      </c>
      <c r="E395" s="49" t="s">
        <v>42</v>
      </c>
      <c r="F395" s="49" t="s">
        <v>23</v>
      </c>
      <c r="G395" s="48">
        <v>0</v>
      </c>
      <c r="H395" s="70"/>
      <c r="I395" s="49"/>
    </row>
    <row r="396" spans="1:9" ht="409.5">
      <c r="A396" s="4">
        <v>395</v>
      </c>
      <c r="B396" s="4">
        <f>ROUNDUP(A396/12,0)</f>
        <v>33</v>
      </c>
      <c r="C396" s="49" t="s">
        <v>1082</v>
      </c>
      <c r="D396" s="69" t="s">
        <v>1191</v>
      </c>
      <c r="E396" s="49" t="s">
        <v>43</v>
      </c>
      <c r="F396" s="49" t="s">
        <v>24</v>
      </c>
      <c r="G396" s="48">
        <v>0</v>
      </c>
      <c r="H396" s="70"/>
      <c r="I396" s="49"/>
    </row>
    <row r="397" spans="1:9" ht="409.5">
      <c r="A397" s="4">
        <v>396</v>
      </c>
      <c r="B397" s="4">
        <f>ROUNDUP(A397/12,0)</f>
        <v>33</v>
      </c>
      <c r="C397" s="49" t="s">
        <v>1082</v>
      </c>
      <c r="D397" s="69" t="s">
        <v>1191</v>
      </c>
      <c r="E397" s="49" t="s">
        <v>44</v>
      </c>
      <c r="F397" s="49" t="s">
        <v>25</v>
      </c>
      <c r="G397" s="48">
        <v>0</v>
      </c>
      <c r="H397" s="70"/>
      <c r="I397" s="49"/>
    </row>
    <row r="398" spans="1:9" ht="409.5">
      <c r="A398" s="4">
        <v>397</v>
      </c>
      <c r="B398" s="4">
        <f>ROUNDUP(A398/12,0)</f>
        <v>34</v>
      </c>
      <c r="C398" s="49" t="s">
        <v>1059</v>
      </c>
      <c r="D398" s="69" t="s">
        <v>1179</v>
      </c>
      <c r="E398" s="49" t="s">
        <v>34</v>
      </c>
      <c r="F398" s="49" t="s">
        <v>14</v>
      </c>
      <c r="G398" s="48">
        <v>0</v>
      </c>
      <c r="H398" s="70"/>
      <c r="I398" s="49"/>
    </row>
    <row r="399" spans="1:9" ht="409.5">
      <c r="A399" s="4">
        <v>398</v>
      </c>
      <c r="B399" s="4">
        <f>ROUNDUP(A399/12,0)</f>
        <v>34</v>
      </c>
      <c r="C399" s="49" t="s">
        <v>1059</v>
      </c>
      <c r="D399" s="69" t="s">
        <v>1179</v>
      </c>
      <c r="E399" s="49" t="s">
        <v>35</v>
      </c>
      <c r="F399" s="49" t="s">
        <v>15</v>
      </c>
      <c r="G399" s="48">
        <v>0</v>
      </c>
      <c r="H399" s="70"/>
      <c r="I399" s="49"/>
    </row>
    <row r="400" spans="1:9" ht="409.5">
      <c r="A400" s="4">
        <v>399</v>
      </c>
      <c r="B400" s="4">
        <f>ROUNDUP(A400/12,0)</f>
        <v>34</v>
      </c>
      <c r="C400" s="49" t="s">
        <v>1059</v>
      </c>
      <c r="D400" s="69" t="s">
        <v>1179</v>
      </c>
      <c r="E400" s="49" t="s">
        <v>36</v>
      </c>
      <c r="F400" s="49" t="s">
        <v>16</v>
      </c>
      <c r="G400" s="48">
        <v>0</v>
      </c>
      <c r="H400" s="70"/>
      <c r="I400" s="49"/>
    </row>
    <row r="401" spans="1:9" ht="409.5">
      <c r="A401" s="4">
        <v>400</v>
      </c>
      <c r="B401" s="4">
        <f>ROUNDUP(A401/12,0)</f>
        <v>34</v>
      </c>
      <c r="C401" s="49" t="s">
        <v>1059</v>
      </c>
      <c r="D401" s="69" t="s">
        <v>1179</v>
      </c>
      <c r="E401" s="49" t="s">
        <v>37</v>
      </c>
      <c r="F401" s="49" t="s">
        <v>17</v>
      </c>
      <c r="G401" s="48">
        <v>1</v>
      </c>
      <c r="H401" s="70">
        <v>45983</v>
      </c>
      <c r="I401" s="49" t="s">
        <v>85</v>
      </c>
    </row>
    <row r="402" spans="1:9" ht="409.5">
      <c r="A402" s="4">
        <v>401</v>
      </c>
      <c r="B402" s="4">
        <f>ROUNDUP(A402/12,0)</f>
        <v>34</v>
      </c>
      <c r="C402" s="49" t="s">
        <v>1059</v>
      </c>
      <c r="D402" s="69" t="s">
        <v>1179</v>
      </c>
      <c r="E402" s="49" t="s">
        <v>38</v>
      </c>
      <c r="F402" s="49" t="s">
        <v>18</v>
      </c>
      <c r="G402" s="48">
        <v>0</v>
      </c>
      <c r="H402" s="70"/>
      <c r="I402" s="49"/>
    </row>
    <row r="403" spans="1:9" ht="409.5">
      <c r="A403" s="4">
        <v>402</v>
      </c>
      <c r="B403" s="4">
        <f>ROUNDUP(A403/12,0)</f>
        <v>34</v>
      </c>
      <c r="C403" s="49" t="s">
        <v>1059</v>
      </c>
      <c r="D403" s="69" t="s">
        <v>1179</v>
      </c>
      <c r="E403" s="49" t="s">
        <v>39</v>
      </c>
      <c r="F403" s="49" t="s">
        <v>19</v>
      </c>
      <c r="G403" s="48">
        <v>0</v>
      </c>
      <c r="H403" s="70"/>
      <c r="I403" s="49"/>
    </row>
    <row r="404" spans="1:9" ht="409.5">
      <c r="A404" s="4">
        <v>403</v>
      </c>
      <c r="B404" s="4">
        <f>ROUNDUP(A404/12,0)</f>
        <v>34</v>
      </c>
      <c r="C404" s="49" t="s">
        <v>1059</v>
      </c>
      <c r="D404" s="69" t="s">
        <v>1179</v>
      </c>
      <c r="E404" s="49" t="s">
        <v>40</v>
      </c>
      <c r="F404" s="49" t="s">
        <v>20</v>
      </c>
      <c r="G404" s="48">
        <v>0</v>
      </c>
      <c r="H404" s="70"/>
      <c r="I404" s="49"/>
    </row>
    <row r="405" spans="1:9" ht="409.5">
      <c r="A405" s="4">
        <v>404</v>
      </c>
      <c r="B405" s="4">
        <f>ROUNDUP(A405/12,0)</f>
        <v>34</v>
      </c>
      <c r="C405" s="49" t="s">
        <v>1059</v>
      </c>
      <c r="D405" s="69" t="s">
        <v>1179</v>
      </c>
      <c r="E405" s="49" t="s">
        <v>40</v>
      </c>
      <c r="F405" s="49" t="s">
        <v>21</v>
      </c>
      <c r="G405" s="48">
        <v>0</v>
      </c>
      <c r="H405" s="70"/>
      <c r="I405" s="49"/>
    </row>
    <row r="406" spans="1:9" ht="409.5">
      <c r="A406" s="4">
        <v>405</v>
      </c>
      <c r="B406" s="4">
        <f>ROUNDUP(A406/12,0)</f>
        <v>34</v>
      </c>
      <c r="C406" s="49" t="s">
        <v>1059</v>
      </c>
      <c r="D406" s="69" t="s">
        <v>1179</v>
      </c>
      <c r="E406" s="49" t="s">
        <v>41</v>
      </c>
      <c r="F406" s="49" t="s">
        <v>22</v>
      </c>
      <c r="G406" s="48">
        <v>0</v>
      </c>
      <c r="H406" s="70"/>
      <c r="I406" s="49"/>
    </row>
    <row r="407" spans="1:9" ht="409.5">
      <c r="A407" s="4">
        <v>406</v>
      </c>
      <c r="B407" s="4">
        <f>ROUNDUP(A407/12,0)</f>
        <v>34</v>
      </c>
      <c r="C407" s="49" t="s">
        <v>1059</v>
      </c>
      <c r="D407" s="69" t="s">
        <v>1179</v>
      </c>
      <c r="E407" s="49" t="s">
        <v>42</v>
      </c>
      <c r="F407" s="49" t="s">
        <v>23</v>
      </c>
      <c r="G407" s="48">
        <v>0</v>
      </c>
      <c r="H407" s="70"/>
      <c r="I407" s="49"/>
    </row>
    <row r="408" spans="1:9" ht="409.5">
      <c r="A408" s="4">
        <v>407</v>
      </c>
      <c r="B408" s="4">
        <f>ROUNDUP(A408/12,0)</f>
        <v>34</v>
      </c>
      <c r="C408" s="49" t="s">
        <v>1059</v>
      </c>
      <c r="D408" s="69" t="s">
        <v>1179</v>
      </c>
      <c r="E408" s="49" t="s">
        <v>43</v>
      </c>
      <c r="F408" s="49" t="s">
        <v>24</v>
      </c>
      <c r="G408" s="48">
        <v>0</v>
      </c>
      <c r="H408" s="70"/>
      <c r="I408" s="49"/>
    </row>
    <row r="409" spans="1:9" ht="409.5">
      <c r="A409" s="4">
        <v>408</v>
      </c>
      <c r="B409" s="4">
        <f>ROUNDUP(A409/12,0)</f>
        <v>34</v>
      </c>
      <c r="C409" s="49" t="s">
        <v>1059</v>
      </c>
      <c r="D409" s="69" t="s">
        <v>1179</v>
      </c>
      <c r="E409" s="49" t="s">
        <v>44</v>
      </c>
      <c r="F409" s="49" t="s">
        <v>25</v>
      </c>
      <c r="G409" s="48">
        <v>0</v>
      </c>
      <c r="H409" s="70"/>
      <c r="I409" s="49"/>
    </row>
    <row r="410" spans="1:9" ht="409.5">
      <c r="A410" s="4">
        <v>409</v>
      </c>
      <c r="B410" s="4">
        <f>ROUNDUP(A410/12,0)</f>
        <v>35</v>
      </c>
      <c r="C410" s="49" t="s">
        <v>1041</v>
      </c>
      <c r="D410" s="69" t="s">
        <v>1170</v>
      </c>
      <c r="E410" s="49" t="s">
        <v>34</v>
      </c>
      <c r="F410" s="49" t="s">
        <v>14</v>
      </c>
      <c r="G410" s="48">
        <v>0</v>
      </c>
      <c r="H410" s="70"/>
      <c r="I410" s="49"/>
    </row>
    <row r="411" spans="1:9" ht="409.5">
      <c r="A411" s="4">
        <v>410</v>
      </c>
      <c r="B411" s="4">
        <f>ROUNDUP(A411/12,0)</f>
        <v>35</v>
      </c>
      <c r="C411" s="49" t="s">
        <v>1041</v>
      </c>
      <c r="D411" s="69" t="s">
        <v>1170</v>
      </c>
      <c r="E411" s="49" t="s">
        <v>35</v>
      </c>
      <c r="F411" s="49" t="s">
        <v>15</v>
      </c>
      <c r="G411" s="48">
        <v>0</v>
      </c>
      <c r="H411" s="70"/>
      <c r="I411" s="49"/>
    </row>
    <row r="412" spans="1:9" ht="409.5">
      <c r="A412" s="4">
        <v>411</v>
      </c>
      <c r="B412" s="4">
        <f>ROUNDUP(A412/12,0)</f>
        <v>35</v>
      </c>
      <c r="C412" s="49" t="s">
        <v>1041</v>
      </c>
      <c r="D412" s="69" t="s">
        <v>1170</v>
      </c>
      <c r="E412" s="49" t="s">
        <v>36</v>
      </c>
      <c r="F412" s="49" t="s">
        <v>16</v>
      </c>
      <c r="G412" s="48">
        <v>0</v>
      </c>
      <c r="H412" s="70"/>
      <c r="I412" s="49"/>
    </row>
    <row r="413" spans="1:9" ht="409.5">
      <c r="A413" s="4">
        <v>412</v>
      </c>
      <c r="B413" s="4">
        <f>ROUNDUP(A413/12,0)</f>
        <v>35</v>
      </c>
      <c r="C413" s="49" t="s">
        <v>1041</v>
      </c>
      <c r="D413" s="69" t="s">
        <v>1170</v>
      </c>
      <c r="E413" s="49" t="s">
        <v>37</v>
      </c>
      <c r="F413" s="49" t="s">
        <v>17</v>
      </c>
      <c r="G413" s="48">
        <v>1</v>
      </c>
      <c r="H413" s="70">
        <v>46020</v>
      </c>
      <c r="I413" s="49" t="s">
        <v>1042</v>
      </c>
    </row>
    <row r="414" spans="1:9" ht="409.5">
      <c r="A414" s="4">
        <v>413</v>
      </c>
      <c r="B414" s="4">
        <f>ROUNDUP(A414/12,0)</f>
        <v>35</v>
      </c>
      <c r="C414" s="49" t="s">
        <v>1041</v>
      </c>
      <c r="D414" s="69" t="s">
        <v>1170</v>
      </c>
      <c r="E414" s="49" t="s">
        <v>38</v>
      </c>
      <c r="F414" s="49" t="s">
        <v>18</v>
      </c>
      <c r="G414" s="48">
        <v>0</v>
      </c>
      <c r="H414" s="70"/>
      <c r="I414" s="49"/>
    </row>
    <row r="415" spans="1:9" ht="409.5">
      <c r="A415" s="4">
        <v>414</v>
      </c>
      <c r="B415" s="4">
        <f>ROUNDUP(A415/12,0)</f>
        <v>35</v>
      </c>
      <c r="C415" s="49" t="s">
        <v>1041</v>
      </c>
      <c r="D415" s="69" t="s">
        <v>1170</v>
      </c>
      <c r="E415" s="49" t="s">
        <v>39</v>
      </c>
      <c r="F415" s="49" t="s">
        <v>19</v>
      </c>
      <c r="G415" s="48">
        <v>0</v>
      </c>
      <c r="H415" s="70"/>
      <c r="I415" s="49"/>
    </row>
    <row r="416" spans="1:9" ht="409.5">
      <c r="A416" s="4">
        <v>415</v>
      </c>
      <c r="B416" s="4">
        <f>ROUNDUP(A416/12,0)</f>
        <v>35</v>
      </c>
      <c r="C416" s="49" t="s">
        <v>1041</v>
      </c>
      <c r="D416" s="69" t="s">
        <v>1170</v>
      </c>
      <c r="E416" s="49" t="s">
        <v>40</v>
      </c>
      <c r="F416" s="49" t="s">
        <v>20</v>
      </c>
      <c r="G416" s="48">
        <v>0</v>
      </c>
      <c r="H416" s="70"/>
      <c r="I416" s="49"/>
    </row>
    <row r="417" spans="1:9" ht="409.5">
      <c r="A417" s="4">
        <v>416</v>
      </c>
      <c r="B417" s="4">
        <f>ROUNDUP(A417/12,0)</f>
        <v>35</v>
      </c>
      <c r="C417" s="49" t="s">
        <v>1041</v>
      </c>
      <c r="D417" s="69" t="s">
        <v>1170</v>
      </c>
      <c r="E417" s="49" t="s">
        <v>40</v>
      </c>
      <c r="F417" s="49" t="s">
        <v>21</v>
      </c>
      <c r="G417" s="48">
        <v>0</v>
      </c>
      <c r="H417" s="70"/>
      <c r="I417" s="49"/>
    </row>
    <row r="418" spans="1:9" ht="409.5">
      <c r="A418" s="4">
        <v>417</v>
      </c>
      <c r="B418" s="4">
        <f>ROUNDUP(A418/12,0)</f>
        <v>35</v>
      </c>
      <c r="C418" s="49" t="s">
        <v>1041</v>
      </c>
      <c r="D418" s="69" t="s">
        <v>1170</v>
      </c>
      <c r="E418" s="49" t="s">
        <v>41</v>
      </c>
      <c r="F418" s="49" t="s">
        <v>22</v>
      </c>
      <c r="G418" s="48">
        <v>0</v>
      </c>
      <c r="H418" s="70"/>
      <c r="I418" s="49"/>
    </row>
    <row r="419" spans="1:9" ht="409.5">
      <c r="A419" s="4">
        <v>418</v>
      </c>
      <c r="B419" s="4">
        <f>ROUNDUP(A419/12,0)</f>
        <v>35</v>
      </c>
      <c r="C419" s="49" t="s">
        <v>1041</v>
      </c>
      <c r="D419" s="69" t="s">
        <v>1170</v>
      </c>
      <c r="E419" s="49" t="s">
        <v>42</v>
      </c>
      <c r="F419" s="49" t="s">
        <v>23</v>
      </c>
      <c r="G419" s="48">
        <v>0</v>
      </c>
      <c r="H419" s="70"/>
      <c r="I419" s="49"/>
    </row>
    <row r="420" spans="1:9" ht="409.5">
      <c r="A420" s="4">
        <v>419</v>
      </c>
      <c r="B420" s="4">
        <f>ROUNDUP(A420/12,0)</f>
        <v>35</v>
      </c>
      <c r="C420" s="49" t="s">
        <v>1041</v>
      </c>
      <c r="D420" s="69" t="s">
        <v>1170</v>
      </c>
      <c r="E420" s="49" t="s">
        <v>43</v>
      </c>
      <c r="F420" s="49" t="s">
        <v>24</v>
      </c>
      <c r="G420" s="48">
        <v>0</v>
      </c>
      <c r="H420" s="70"/>
      <c r="I420" s="49"/>
    </row>
    <row r="421" spans="1:9" ht="409.5">
      <c r="A421" s="4">
        <v>420</v>
      </c>
      <c r="B421" s="4">
        <f>ROUNDUP(A421/12,0)</f>
        <v>35</v>
      </c>
      <c r="C421" s="49" t="s">
        <v>1041</v>
      </c>
      <c r="D421" s="69" t="s">
        <v>1170</v>
      </c>
      <c r="E421" s="49" t="s">
        <v>44</v>
      </c>
      <c r="F421" s="49" t="s">
        <v>25</v>
      </c>
      <c r="G421" s="48">
        <v>0</v>
      </c>
      <c r="H421" s="70"/>
      <c r="I421" s="49"/>
    </row>
    <row r="422" spans="1:9" ht="204.75">
      <c r="A422" s="4">
        <v>421</v>
      </c>
      <c r="B422" s="4">
        <f>ROUNDUP(A422/12,0)</f>
        <v>36</v>
      </c>
      <c r="C422" s="49" t="s">
        <v>1039</v>
      </c>
      <c r="D422" s="69" t="s">
        <v>1169</v>
      </c>
      <c r="E422" s="49" t="s">
        <v>34</v>
      </c>
      <c r="F422" s="49" t="s">
        <v>14</v>
      </c>
      <c r="G422" s="48">
        <v>0</v>
      </c>
      <c r="H422" s="70"/>
      <c r="I422" s="49"/>
    </row>
    <row r="423" spans="1:9" ht="204.75">
      <c r="A423" s="4">
        <v>422</v>
      </c>
      <c r="B423" s="4">
        <f>ROUNDUP(A423/12,0)</f>
        <v>36</v>
      </c>
      <c r="C423" s="49" t="s">
        <v>1039</v>
      </c>
      <c r="D423" s="69" t="s">
        <v>1169</v>
      </c>
      <c r="E423" s="49" t="s">
        <v>35</v>
      </c>
      <c r="F423" s="49" t="s">
        <v>15</v>
      </c>
      <c r="G423" s="48">
        <v>0</v>
      </c>
      <c r="H423" s="70"/>
      <c r="I423" s="49"/>
    </row>
    <row r="424" spans="1:9" ht="204.75">
      <c r="A424" s="4">
        <v>423</v>
      </c>
      <c r="B424" s="4">
        <f>ROUNDUP(A424/12,0)</f>
        <v>36</v>
      </c>
      <c r="C424" s="49" t="s">
        <v>1039</v>
      </c>
      <c r="D424" s="69" t="s">
        <v>1169</v>
      </c>
      <c r="E424" s="49" t="s">
        <v>36</v>
      </c>
      <c r="F424" s="49" t="s">
        <v>16</v>
      </c>
      <c r="G424" s="48">
        <v>0</v>
      </c>
      <c r="H424" s="70"/>
      <c r="I424" s="49"/>
    </row>
    <row r="425" spans="1:9" ht="204.75">
      <c r="A425" s="4">
        <v>424</v>
      </c>
      <c r="B425" s="4">
        <f>ROUNDUP(A425/12,0)</f>
        <v>36</v>
      </c>
      <c r="C425" s="49" t="s">
        <v>1039</v>
      </c>
      <c r="D425" s="69" t="s">
        <v>1169</v>
      </c>
      <c r="E425" s="49" t="s">
        <v>37</v>
      </c>
      <c r="F425" s="49" t="s">
        <v>17</v>
      </c>
      <c r="G425" s="48">
        <v>1</v>
      </c>
      <c r="H425" s="70">
        <v>46021</v>
      </c>
      <c r="I425" s="49" t="s">
        <v>1040</v>
      </c>
    </row>
    <row r="426" spans="1:9" ht="204.75">
      <c r="A426" s="4">
        <v>425</v>
      </c>
      <c r="B426" s="4">
        <f>ROUNDUP(A426/12,0)</f>
        <v>36</v>
      </c>
      <c r="C426" s="49" t="s">
        <v>1039</v>
      </c>
      <c r="D426" s="69" t="s">
        <v>1169</v>
      </c>
      <c r="E426" s="49" t="s">
        <v>38</v>
      </c>
      <c r="F426" s="49" t="s">
        <v>18</v>
      </c>
      <c r="G426" s="48">
        <v>0</v>
      </c>
      <c r="H426" s="70"/>
      <c r="I426" s="49"/>
    </row>
    <row r="427" spans="1:9" ht="204.75">
      <c r="A427" s="4">
        <v>426</v>
      </c>
      <c r="B427" s="4">
        <f>ROUNDUP(A427/12,0)</f>
        <v>36</v>
      </c>
      <c r="C427" s="49" t="s">
        <v>1039</v>
      </c>
      <c r="D427" s="69" t="s">
        <v>1169</v>
      </c>
      <c r="E427" s="49" t="s">
        <v>39</v>
      </c>
      <c r="F427" s="49" t="s">
        <v>19</v>
      </c>
      <c r="G427" s="48">
        <v>0</v>
      </c>
      <c r="H427" s="70"/>
      <c r="I427" s="49"/>
    </row>
    <row r="428" spans="1:9" ht="204.75">
      <c r="A428" s="4">
        <v>427</v>
      </c>
      <c r="B428" s="4">
        <f>ROUNDUP(A428/12,0)</f>
        <v>36</v>
      </c>
      <c r="C428" s="49" t="s">
        <v>1039</v>
      </c>
      <c r="D428" s="69" t="s">
        <v>1169</v>
      </c>
      <c r="E428" s="49" t="s">
        <v>40</v>
      </c>
      <c r="F428" s="49" t="s">
        <v>20</v>
      </c>
      <c r="G428" s="48">
        <v>0</v>
      </c>
      <c r="H428" s="70"/>
      <c r="I428" s="49"/>
    </row>
    <row r="429" spans="1:9" ht="204.75">
      <c r="A429" s="4">
        <v>428</v>
      </c>
      <c r="B429" s="4">
        <f>ROUNDUP(A429/12,0)</f>
        <v>36</v>
      </c>
      <c r="C429" s="49" t="s">
        <v>1039</v>
      </c>
      <c r="D429" s="69" t="s">
        <v>1169</v>
      </c>
      <c r="E429" s="49" t="s">
        <v>40</v>
      </c>
      <c r="F429" s="49" t="s">
        <v>21</v>
      </c>
      <c r="G429" s="48">
        <v>0</v>
      </c>
      <c r="H429" s="70"/>
      <c r="I429" s="49"/>
    </row>
    <row r="430" spans="1:9" ht="204.75">
      <c r="A430" s="4">
        <v>429</v>
      </c>
      <c r="B430" s="4">
        <f>ROUNDUP(A430/12,0)</f>
        <v>36</v>
      </c>
      <c r="C430" s="49" t="s">
        <v>1039</v>
      </c>
      <c r="D430" s="69" t="s">
        <v>1169</v>
      </c>
      <c r="E430" s="49" t="s">
        <v>41</v>
      </c>
      <c r="F430" s="49" t="s">
        <v>22</v>
      </c>
      <c r="G430" s="48">
        <v>0</v>
      </c>
      <c r="H430" s="70"/>
      <c r="I430" s="49"/>
    </row>
    <row r="431" spans="1:9" ht="204.75">
      <c r="A431" s="4">
        <v>430</v>
      </c>
      <c r="B431" s="4">
        <f>ROUNDUP(A431/12,0)</f>
        <v>36</v>
      </c>
      <c r="C431" s="49" t="s">
        <v>1039</v>
      </c>
      <c r="D431" s="69" t="s">
        <v>1169</v>
      </c>
      <c r="E431" s="49" t="s">
        <v>42</v>
      </c>
      <c r="F431" s="49" t="s">
        <v>23</v>
      </c>
      <c r="G431" s="48">
        <v>0</v>
      </c>
      <c r="H431" s="70"/>
      <c r="I431" s="49"/>
    </row>
    <row r="432" spans="1:9" ht="204.75">
      <c r="A432" s="4">
        <v>431</v>
      </c>
      <c r="B432" s="4">
        <f>ROUNDUP(A432/12,0)</f>
        <v>36</v>
      </c>
      <c r="C432" s="49" t="s">
        <v>1039</v>
      </c>
      <c r="D432" s="69" t="s">
        <v>1169</v>
      </c>
      <c r="E432" s="49" t="s">
        <v>43</v>
      </c>
      <c r="F432" s="49" t="s">
        <v>24</v>
      </c>
      <c r="G432" s="48">
        <v>0</v>
      </c>
      <c r="H432" s="70"/>
      <c r="I432" s="49"/>
    </row>
    <row r="433" spans="1:9" ht="204.75">
      <c r="A433" s="4">
        <v>432</v>
      </c>
      <c r="B433" s="4">
        <f>ROUNDUP(A433/12,0)</f>
        <v>36</v>
      </c>
      <c r="C433" s="49" t="s">
        <v>1039</v>
      </c>
      <c r="D433" s="69" t="s">
        <v>1169</v>
      </c>
      <c r="E433" s="49" t="s">
        <v>44</v>
      </c>
      <c r="F433" s="49" t="s">
        <v>25</v>
      </c>
      <c r="G433" s="48">
        <v>0</v>
      </c>
      <c r="H433" s="70"/>
      <c r="I433" s="49"/>
    </row>
    <row r="434" spans="1:9" ht="15.75">
      <c r="A434" s="4">
        <v>433</v>
      </c>
      <c r="B434" s="4">
        <f>ROUNDUP(A434/12,0)</f>
        <v>37</v>
      </c>
      <c r="C434" s="49" t="s">
        <v>1084</v>
      </c>
      <c r="D434" s="49" t="s">
        <v>1192</v>
      </c>
      <c r="E434" s="49" t="s">
        <v>34</v>
      </c>
      <c r="F434" s="49" t="s">
        <v>14</v>
      </c>
      <c r="G434" s="48">
        <v>0</v>
      </c>
      <c r="H434" s="70"/>
      <c r="I434" s="49"/>
    </row>
    <row r="435" spans="1:9" ht="15.75">
      <c r="A435" s="4">
        <v>434</v>
      </c>
      <c r="B435" s="4">
        <f>ROUNDUP(A435/12,0)</f>
        <v>37</v>
      </c>
      <c r="C435" s="49" t="s">
        <v>1084</v>
      </c>
      <c r="D435" s="49" t="s">
        <v>1192</v>
      </c>
      <c r="E435" s="49" t="s">
        <v>35</v>
      </c>
      <c r="F435" s="49" t="s">
        <v>15</v>
      </c>
      <c r="G435" s="48">
        <v>0</v>
      </c>
      <c r="H435" s="70"/>
      <c r="I435" s="49"/>
    </row>
    <row r="436" spans="1:9" ht="15.75">
      <c r="A436" s="4">
        <v>435</v>
      </c>
      <c r="B436" s="4">
        <f>ROUNDUP(A436/12,0)</f>
        <v>37</v>
      </c>
      <c r="C436" s="49" t="s">
        <v>1084</v>
      </c>
      <c r="D436" s="49" t="s">
        <v>1192</v>
      </c>
      <c r="E436" s="49" t="s">
        <v>36</v>
      </c>
      <c r="F436" s="49" t="s">
        <v>16</v>
      </c>
      <c r="G436" s="48">
        <v>0</v>
      </c>
      <c r="H436" s="70"/>
      <c r="I436" s="49"/>
    </row>
    <row r="437" spans="1:9" ht="15.75">
      <c r="A437" s="4">
        <v>436</v>
      </c>
      <c r="B437" s="4">
        <f>ROUNDUP(A437/12,0)</f>
        <v>37</v>
      </c>
      <c r="C437" s="49" t="s">
        <v>1084</v>
      </c>
      <c r="D437" s="49" t="s">
        <v>1192</v>
      </c>
      <c r="E437" s="49" t="s">
        <v>37</v>
      </c>
      <c r="F437" s="49" t="s">
        <v>17</v>
      </c>
      <c r="G437" s="48">
        <v>1</v>
      </c>
      <c r="H437" s="70">
        <v>45736</v>
      </c>
      <c r="I437" s="49" t="s">
        <v>1085</v>
      </c>
    </row>
    <row r="438" spans="1:9" ht="15.75">
      <c r="A438" s="4">
        <v>437</v>
      </c>
      <c r="B438" s="4">
        <f>ROUNDUP(A438/12,0)</f>
        <v>37</v>
      </c>
      <c r="C438" s="49" t="s">
        <v>1084</v>
      </c>
      <c r="D438" s="49" t="s">
        <v>1192</v>
      </c>
      <c r="E438" s="49" t="s">
        <v>38</v>
      </c>
      <c r="F438" s="49" t="s">
        <v>18</v>
      </c>
      <c r="G438" s="48">
        <v>0</v>
      </c>
      <c r="H438" s="70"/>
      <c r="I438" s="49"/>
    </row>
    <row r="439" spans="1:9" ht="15.75">
      <c r="A439" s="4">
        <v>438</v>
      </c>
      <c r="B439" s="4">
        <f>ROUNDUP(A439/12,0)</f>
        <v>37</v>
      </c>
      <c r="C439" s="49" t="s">
        <v>1084</v>
      </c>
      <c r="D439" s="49" t="s">
        <v>1192</v>
      </c>
      <c r="E439" s="49" t="s">
        <v>39</v>
      </c>
      <c r="F439" s="49" t="s">
        <v>19</v>
      </c>
      <c r="G439" s="48">
        <v>0</v>
      </c>
      <c r="H439" s="70"/>
      <c r="I439" s="49"/>
    </row>
    <row r="440" spans="1:9" ht="15.75">
      <c r="A440" s="4">
        <v>439</v>
      </c>
      <c r="B440" s="4">
        <f>ROUNDUP(A440/12,0)</f>
        <v>37</v>
      </c>
      <c r="C440" s="49" t="s">
        <v>1084</v>
      </c>
      <c r="D440" s="49" t="s">
        <v>1192</v>
      </c>
      <c r="E440" s="49" t="s">
        <v>40</v>
      </c>
      <c r="F440" s="49" t="s">
        <v>20</v>
      </c>
      <c r="G440" s="48">
        <v>0</v>
      </c>
      <c r="H440" s="70"/>
      <c r="I440" s="49"/>
    </row>
    <row r="441" spans="1:9" ht="15.75">
      <c r="A441" s="4">
        <v>440</v>
      </c>
      <c r="B441" s="4">
        <f>ROUNDUP(A441/12,0)</f>
        <v>37</v>
      </c>
      <c r="C441" s="49" t="s">
        <v>1084</v>
      </c>
      <c r="D441" s="49" t="s">
        <v>1192</v>
      </c>
      <c r="E441" s="49" t="s">
        <v>40</v>
      </c>
      <c r="F441" s="49" t="s">
        <v>21</v>
      </c>
      <c r="G441" s="48">
        <v>0</v>
      </c>
      <c r="H441" s="70"/>
      <c r="I441" s="49"/>
    </row>
    <row r="442" spans="1:9" ht="15.75">
      <c r="A442" s="4">
        <v>441</v>
      </c>
      <c r="B442" s="4">
        <f>ROUNDUP(A442/12,0)</f>
        <v>37</v>
      </c>
      <c r="C442" s="49" t="s">
        <v>1084</v>
      </c>
      <c r="D442" s="49" t="s">
        <v>1192</v>
      </c>
      <c r="E442" s="49" t="s">
        <v>41</v>
      </c>
      <c r="F442" s="49" t="s">
        <v>22</v>
      </c>
      <c r="G442" s="48">
        <v>0</v>
      </c>
      <c r="H442" s="70"/>
      <c r="I442" s="49"/>
    </row>
    <row r="443" spans="1:9" ht="15.75">
      <c r="A443" s="4">
        <v>442</v>
      </c>
      <c r="B443" s="4">
        <f>ROUNDUP(A443/12,0)</f>
        <v>37</v>
      </c>
      <c r="C443" s="49" t="s">
        <v>1084</v>
      </c>
      <c r="D443" s="49" t="s">
        <v>1192</v>
      </c>
      <c r="E443" s="49" t="s">
        <v>42</v>
      </c>
      <c r="F443" s="49" t="s">
        <v>23</v>
      </c>
      <c r="G443" s="48">
        <v>0</v>
      </c>
      <c r="H443" s="70"/>
      <c r="I443" s="49"/>
    </row>
    <row r="444" spans="1:9" ht="15.75">
      <c r="A444" s="4">
        <v>443</v>
      </c>
      <c r="B444" s="4">
        <f>ROUNDUP(A444/12,0)</f>
        <v>37</v>
      </c>
      <c r="C444" s="49" t="s">
        <v>1084</v>
      </c>
      <c r="D444" s="49" t="s">
        <v>1192</v>
      </c>
      <c r="E444" s="49" t="s">
        <v>43</v>
      </c>
      <c r="F444" s="49" t="s">
        <v>24</v>
      </c>
      <c r="G444" s="48">
        <v>0</v>
      </c>
      <c r="H444" s="70"/>
      <c r="I444" s="49"/>
    </row>
    <row r="445" spans="1:9" ht="15.75">
      <c r="A445" s="4">
        <v>444</v>
      </c>
      <c r="B445" s="4">
        <f>ROUNDUP(A445/12,0)</f>
        <v>37</v>
      </c>
      <c r="C445" s="49" t="s">
        <v>1084</v>
      </c>
      <c r="D445" s="49" t="s">
        <v>1192</v>
      </c>
      <c r="E445" s="49" t="s">
        <v>44</v>
      </c>
      <c r="F445" s="49" t="s">
        <v>25</v>
      </c>
      <c r="G445" s="48">
        <v>0</v>
      </c>
      <c r="H445" s="70"/>
      <c r="I445" s="49"/>
    </row>
    <row r="446" spans="1:9" ht="409.5">
      <c r="A446" s="4">
        <v>445</v>
      </c>
      <c r="B446" s="4">
        <f>ROUNDUP(A446/12,0)</f>
        <v>38</v>
      </c>
      <c r="C446" s="49" t="s">
        <v>1051</v>
      </c>
      <c r="D446" s="69" t="s">
        <v>1175</v>
      </c>
      <c r="E446" s="49" t="s">
        <v>34</v>
      </c>
      <c r="F446" s="49" t="s">
        <v>14</v>
      </c>
      <c r="G446" s="48">
        <v>0</v>
      </c>
      <c r="H446" s="70"/>
      <c r="I446" s="49"/>
    </row>
    <row r="447" spans="1:9" ht="409.5">
      <c r="A447" s="4">
        <v>446</v>
      </c>
      <c r="B447" s="4">
        <f>ROUNDUP(A447/12,0)</f>
        <v>38</v>
      </c>
      <c r="C447" s="49" t="s">
        <v>1051</v>
      </c>
      <c r="D447" s="69" t="s">
        <v>1175</v>
      </c>
      <c r="E447" s="49" t="s">
        <v>35</v>
      </c>
      <c r="F447" s="49" t="s">
        <v>15</v>
      </c>
      <c r="G447" s="48">
        <v>0</v>
      </c>
      <c r="H447" s="70"/>
      <c r="I447" s="49"/>
    </row>
    <row r="448" spans="1:9" ht="409.5">
      <c r="A448" s="4">
        <v>447</v>
      </c>
      <c r="B448" s="4">
        <f>ROUNDUP(A448/12,0)</f>
        <v>38</v>
      </c>
      <c r="C448" s="49" t="s">
        <v>1051</v>
      </c>
      <c r="D448" s="69" t="s">
        <v>1175</v>
      </c>
      <c r="E448" s="49" t="s">
        <v>36</v>
      </c>
      <c r="F448" s="49" t="s">
        <v>16</v>
      </c>
      <c r="G448" s="48">
        <v>0</v>
      </c>
      <c r="H448" s="70"/>
      <c r="I448" s="49"/>
    </row>
    <row r="449" spans="1:9" ht="409.5">
      <c r="A449" s="4">
        <v>448</v>
      </c>
      <c r="B449" s="4">
        <f>ROUNDUP(A449/12,0)</f>
        <v>38</v>
      </c>
      <c r="C449" s="49" t="s">
        <v>1051</v>
      </c>
      <c r="D449" s="69" t="s">
        <v>1175</v>
      </c>
      <c r="E449" s="49" t="s">
        <v>37</v>
      </c>
      <c r="F449" s="49" t="s">
        <v>17</v>
      </c>
      <c r="G449" s="48">
        <v>1</v>
      </c>
      <c r="H449" s="70">
        <v>46008</v>
      </c>
      <c r="I449" s="49" t="s">
        <v>1052</v>
      </c>
    </row>
    <row r="450" spans="1:9" ht="409.5">
      <c r="A450" s="4">
        <v>449</v>
      </c>
      <c r="B450" s="4">
        <f>ROUNDUP(A450/12,0)</f>
        <v>38</v>
      </c>
      <c r="C450" s="49" t="s">
        <v>1051</v>
      </c>
      <c r="D450" s="69" t="s">
        <v>1175</v>
      </c>
      <c r="E450" s="49" t="s">
        <v>38</v>
      </c>
      <c r="F450" s="49" t="s">
        <v>18</v>
      </c>
      <c r="G450" s="48">
        <v>0</v>
      </c>
      <c r="H450" s="70"/>
      <c r="I450" s="49"/>
    </row>
    <row r="451" spans="1:9" ht="409.5">
      <c r="A451" s="4">
        <v>450</v>
      </c>
      <c r="B451" s="4">
        <f>ROUNDUP(A451/12,0)</f>
        <v>38</v>
      </c>
      <c r="C451" s="49" t="s">
        <v>1051</v>
      </c>
      <c r="D451" s="69" t="s">
        <v>1175</v>
      </c>
      <c r="E451" s="49" t="s">
        <v>39</v>
      </c>
      <c r="F451" s="49" t="s">
        <v>19</v>
      </c>
      <c r="G451" s="48">
        <v>0</v>
      </c>
      <c r="H451" s="70"/>
      <c r="I451" s="49"/>
    </row>
    <row r="452" spans="1:9" ht="409.5">
      <c r="A452" s="4">
        <v>451</v>
      </c>
      <c r="B452" s="4">
        <f>ROUNDUP(A452/12,0)</f>
        <v>38</v>
      </c>
      <c r="C452" s="49" t="s">
        <v>1051</v>
      </c>
      <c r="D452" s="69" t="s">
        <v>1175</v>
      </c>
      <c r="E452" s="49" t="s">
        <v>40</v>
      </c>
      <c r="F452" s="49" t="s">
        <v>20</v>
      </c>
      <c r="G452" s="48">
        <v>0</v>
      </c>
      <c r="H452" s="70"/>
      <c r="I452" s="49"/>
    </row>
    <row r="453" spans="1:9" ht="409.5">
      <c r="A453" s="4">
        <v>452</v>
      </c>
      <c r="B453" s="4">
        <f>ROUNDUP(A453/12,0)</f>
        <v>38</v>
      </c>
      <c r="C453" s="49" t="s">
        <v>1051</v>
      </c>
      <c r="D453" s="69" t="s">
        <v>1175</v>
      </c>
      <c r="E453" s="49" t="s">
        <v>40</v>
      </c>
      <c r="F453" s="49" t="s">
        <v>21</v>
      </c>
      <c r="G453" s="48">
        <v>0</v>
      </c>
      <c r="H453" s="70"/>
      <c r="I453" s="49"/>
    </row>
    <row r="454" spans="1:9" ht="409.5">
      <c r="A454" s="4">
        <v>453</v>
      </c>
      <c r="B454" s="4">
        <f>ROUNDUP(A454/12,0)</f>
        <v>38</v>
      </c>
      <c r="C454" s="49" t="s">
        <v>1051</v>
      </c>
      <c r="D454" s="69" t="s">
        <v>1175</v>
      </c>
      <c r="E454" s="49" t="s">
        <v>41</v>
      </c>
      <c r="F454" s="49" t="s">
        <v>22</v>
      </c>
      <c r="G454" s="48">
        <v>0</v>
      </c>
      <c r="H454" s="70"/>
      <c r="I454" s="49"/>
    </row>
    <row r="455" spans="1:9" ht="409.5">
      <c r="A455" s="4">
        <v>454</v>
      </c>
      <c r="B455" s="4">
        <f>ROUNDUP(A455/12,0)</f>
        <v>38</v>
      </c>
      <c r="C455" s="49" t="s">
        <v>1051</v>
      </c>
      <c r="D455" s="69" t="s">
        <v>1175</v>
      </c>
      <c r="E455" s="49" t="s">
        <v>42</v>
      </c>
      <c r="F455" s="49" t="s">
        <v>23</v>
      </c>
      <c r="G455" s="48">
        <v>0</v>
      </c>
      <c r="H455" s="70"/>
      <c r="I455" s="49"/>
    </row>
    <row r="456" spans="1:9" ht="409.5">
      <c r="A456" s="4">
        <v>455</v>
      </c>
      <c r="B456" s="4">
        <f>ROUNDUP(A456/12,0)</f>
        <v>38</v>
      </c>
      <c r="C456" s="49" t="s">
        <v>1051</v>
      </c>
      <c r="D456" s="69" t="s">
        <v>1175</v>
      </c>
      <c r="E456" s="49" t="s">
        <v>43</v>
      </c>
      <c r="F456" s="49" t="s">
        <v>24</v>
      </c>
      <c r="G456" s="48">
        <v>0</v>
      </c>
      <c r="H456" s="70"/>
      <c r="I456" s="49"/>
    </row>
    <row r="457" spans="1:9" ht="409.5">
      <c r="A457" s="4">
        <v>456</v>
      </c>
      <c r="B457" s="4">
        <f>ROUNDUP(A457/12,0)</f>
        <v>38</v>
      </c>
      <c r="C457" s="49" t="s">
        <v>1051</v>
      </c>
      <c r="D457" s="69" t="s">
        <v>1175</v>
      </c>
      <c r="E457" s="49" t="s">
        <v>44</v>
      </c>
      <c r="F457" s="49" t="s">
        <v>25</v>
      </c>
      <c r="G457" s="48">
        <v>0</v>
      </c>
      <c r="H457" s="70"/>
      <c r="I457" s="49"/>
    </row>
    <row r="458" spans="1:9" ht="78.75">
      <c r="A458" s="4">
        <v>457</v>
      </c>
      <c r="B458" s="4">
        <f>ROUNDUP(A458/12,0)</f>
        <v>39</v>
      </c>
      <c r="C458" s="49" t="s">
        <v>1053</v>
      </c>
      <c r="D458" s="69" t="s">
        <v>1176</v>
      </c>
      <c r="E458" s="49" t="s">
        <v>34</v>
      </c>
      <c r="F458" s="49" t="s">
        <v>14</v>
      </c>
      <c r="G458" s="48">
        <v>0</v>
      </c>
      <c r="H458" s="70"/>
      <c r="I458" s="49"/>
    </row>
    <row r="459" spans="1:9" ht="78.75">
      <c r="A459" s="4">
        <v>458</v>
      </c>
      <c r="B459" s="4">
        <f>ROUNDUP(A459/12,0)</f>
        <v>39</v>
      </c>
      <c r="C459" s="49" t="s">
        <v>1053</v>
      </c>
      <c r="D459" s="69" t="s">
        <v>1176</v>
      </c>
      <c r="E459" s="49" t="s">
        <v>35</v>
      </c>
      <c r="F459" s="49" t="s">
        <v>15</v>
      </c>
      <c r="G459" s="48">
        <v>0</v>
      </c>
      <c r="H459" s="70"/>
      <c r="I459" s="49"/>
    </row>
    <row r="460" spans="1:9" ht="78.75">
      <c r="A460" s="4">
        <v>459</v>
      </c>
      <c r="B460" s="4">
        <f>ROUNDUP(A460/12,0)</f>
        <v>39</v>
      </c>
      <c r="C460" s="49" t="s">
        <v>1053</v>
      </c>
      <c r="D460" s="69" t="s">
        <v>1176</v>
      </c>
      <c r="E460" s="49" t="s">
        <v>36</v>
      </c>
      <c r="F460" s="49" t="s">
        <v>16</v>
      </c>
      <c r="G460" s="48">
        <v>0</v>
      </c>
      <c r="H460" s="70"/>
      <c r="I460" s="49"/>
    </row>
    <row r="461" spans="1:9" ht="78.75">
      <c r="A461" s="4">
        <v>460</v>
      </c>
      <c r="B461" s="4">
        <f>ROUNDUP(A461/12,0)</f>
        <v>39</v>
      </c>
      <c r="C461" s="49" t="s">
        <v>1053</v>
      </c>
      <c r="D461" s="69" t="s">
        <v>1176</v>
      </c>
      <c r="E461" s="49" t="s">
        <v>37</v>
      </c>
      <c r="F461" s="49" t="s">
        <v>17</v>
      </c>
      <c r="G461" s="48">
        <v>1</v>
      </c>
      <c r="H461" s="70">
        <v>46006</v>
      </c>
      <c r="I461" s="49" t="s">
        <v>1054</v>
      </c>
    </row>
    <row r="462" spans="1:9" ht="78.75">
      <c r="A462" s="4">
        <v>461</v>
      </c>
      <c r="B462" s="4">
        <f>ROUNDUP(A462/12,0)</f>
        <v>39</v>
      </c>
      <c r="C462" s="49" t="s">
        <v>1053</v>
      </c>
      <c r="D462" s="69" t="s">
        <v>1176</v>
      </c>
      <c r="E462" s="49" t="s">
        <v>38</v>
      </c>
      <c r="F462" s="49" t="s">
        <v>18</v>
      </c>
      <c r="G462" s="48">
        <v>0</v>
      </c>
      <c r="H462" s="70"/>
      <c r="I462" s="49"/>
    </row>
    <row r="463" spans="1:9" ht="78.75">
      <c r="A463" s="4">
        <v>462</v>
      </c>
      <c r="B463" s="4">
        <f>ROUNDUP(A463/12,0)</f>
        <v>39</v>
      </c>
      <c r="C463" s="49" t="s">
        <v>1053</v>
      </c>
      <c r="D463" s="69" t="s">
        <v>1176</v>
      </c>
      <c r="E463" s="49" t="s">
        <v>39</v>
      </c>
      <c r="F463" s="49" t="s">
        <v>19</v>
      </c>
      <c r="G463" s="48">
        <v>0</v>
      </c>
      <c r="H463" s="70"/>
      <c r="I463" s="49"/>
    </row>
    <row r="464" spans="1:9" ht="78.75">
      <c r="A464" s="4">
        <v>463</v>
      </c>
      <c r="B464" s="4">
        <f>ROUNDUP(A464/12,0)</f>
        <v>39</v>
      </c>
      <c r="C464" s="49" t="s">
        <v>1053</v>
      </c>
      <c r="D464" s="69" t="s">
        <v>1176</v>
      </c>
      <c r="E464" s="49" t="s">
        <v>40</v>
      </c>
      <c r="F464" s="49" t="s">
        <v>20</v>
      </c>
      <c r="G464" s="48">
        <v>0</v>
      </c>
      <c r="H464" s="70"/>
      <c r="I464" s="49"/>
    </row>
    <row r="465" spans="1:9" ht="78.75">
      <c r="A465" s="4">
        <v>464</v>
      </c>
      <c r="B465" s="4">
        <f>ROUNDUP(A465/12,0)</f>
        <v>39</v>
      </c>
      <c r="C465" s="49" t="s">
        <v>1053</v>
      </c>
      <c r="D465" s="69" t="s">
        <v>1176</v>
      </c>
      <c r="E465" s="49" t="s">
        <v>40</v>
      </c>
      <c r="F465" s="49" t="s">
        <v>21</v>
      </c>
      <c r="G465" s="48">
        <v>0</v>
      </c>
      <c r="H465" s="70"/>
      <c r="I465" s="49"/>
    </row>
    <row r="466" spans="1:9" ht="78.75">
      <c r="A466" s="4">
        <v>465</v>
      </c>
      <c r="B466" s="4">
        <f>ROUNDUP(A466/12,0)</f>
        <v>39</v>
      </c>
      <c r="C466" s="49" t="s">
        <v>1053</v>
      </c>
      <c r="D466" s="69" t="s">
        <v>1176</v>
      </c>
      <c r="E466" s="49" t="s">
        <v>41</v>
      </c>
      <c r="F466" s="49" t="s">
        <v>22</v>
      </c>
      <c r="G466" s="48">
        <v>0</v>
      </c>
      <c r="H466" s="70"/>
      <c r="I466" s="49"/>
    </row>
    <row r="467" spans="1:9" ht="78.75">
      <c r="A467" s="4">
        <v>466</v>
      </c>
      <c r="B467" s="4">
        <f>ROUNDUP(A467/12,0)</f>
        <v>39</v>
      </c>
      <c r="C467" s="49" t="s">
        <v>1053</v>
      </c>
      <c r="D467" s="69" t="s">
        <v>1176</v>
      </c>
      <c r="E467" s="49" t="s">
        <v>42</v>
      </c>
      <c r="F467" s="49" t="s">
        <v>23</v>
      </c>
      <c r="G467" s="48">
        <v>0</v>
      </c>
      <c r="H467" s="70"/>
      <c r="I467" s="49"/>
    </row>
    <row r="468" spans="1:9" ht="78.75">
      <c r="A468" s="4">
        <v>467</v>
      </c>
      <c r="B468" s="4">
        <f>ROUNDUP(A468/12,0)</f>
        <v>39</v>
      </c>
      <c r="C468" s="49" t="s">
        <v>1053</v>
      </c>
      <c r="D468" s="69" t="s">
        <v>1176</v>
      </c>
      <c r="E468" s="49" t="s">
        <v>43</v>
      </c>
      <c r="F468" s="49" t="s">
        <v>24</v>
      </c>
      <c r="G468" s="48">
        <v>0</v>
      </c>
      <c r="H468" s="70"/>
      <c r="I468" s="49"/>
    </row>
    <row r="469" spans="1:9" ht="78.75">
      <c r="A469" s="4">
        <v>468</v>
      </c>
      <c r="B469" s="4">
        <f>ROUNDUP(A469/12,0)</f>
        <v>39</v>
      </c>
      <c r="C469" s="49" t="s">
        <v>1053</v>
      </c>
      <c r="D469" s="69" t="s">
        <v>1176</v>
      </c>
      <c r="E469" s="49" t="s">
        <v>44</v>
      </c>
      <c r="F469" s="49" t="s">
        <v>25</v>
      </c>
      <c r="G469" s="48">
        <v>0</v>
      </c>
      <c r="H469" s="70"/>
      <c r="I469" s="49"/>
    </row>
    <row r="470" spans="1:9" ht="110.25">
      <c r="A470" s="4">
        <v>469</v>
      </c>
      <c r="B470" s="4">
        <f>ROUNDUP(A470/12,0)</f>
        <v>40</v>
      </c>
      <c r="C470" s="49" t="s">
        <v>1057</v>
      </c>
      <c r="D470" s="69" t="s">
        <v>1178</v>
      </c>
      <c r="E470" s="49" t="s">
        <v>34</v>
      </c>
      <c r="F470" s="49" t="s">
        <v>14</v>
      </c>
      <c r="G470" s="48">
        <v>0</v>
      </c>
      <c r="H470" s="70"/>
      <c r="I470" s="49"/>
    </row>
    <row r="471" spans="1:9" ht="110.25">
      <c r="A471" s="4">
        <v>470</v>
      </c>
      <c r="B471" s="4">
        <f>ROUNDUP(A471/12,0)</f>
        <v>40</v>
      </c>
      <c r="C471" s="49" t="s">
        <v>1057</v>
      </c>
      <c r="D471" s="69" t="s">
        <v>1178</v>
      </c>
      <c r="E471" s="49" t="s">
        <v>35</v>
      </c>
      <c r="F471" s="49" t="s">
        <v>15</v>
      </c>
      <c r="G471" s="48">
        <v>0</v>
      </c>
      <c r="H471" s="70"/>
      <c r="I471" s="49"/>
    </row>
    <row r="472" spans="1:9" ht="110.25">
      <c r="A472" s="4">
        <v>471</v>
      </c>
      <c r="B472" s="4">
        <f>ROUNDUP(A472/12,0)</f>
        <v>40</v>
      </c>
      <c r="C472" s="49" t="s">
        <v>1057</v>
      </c>
      <c r="D472" s="69" t="s">
        <v>1178</v>
      </c>
      <c r="E472" s="49" t="s">
        <v>36</v>
      </c>
      <c r="F472" s="49" t="s">
        <v>16</v>
      </c>
      <c r="G472" s="48">
        <v>0</v>
      </c>
      <c r="H472" s="70"/>
      <c r="I472" s="49"/>
    </row>
    <row r="473" spans="1:9" ht="110.25">
      <c r="A473" s="4">
        <v>472</v>
      </c>
      <c r="B473" s="4">
        <f>ROUNDUP(A473/12,0)</f>
        <v>40</v>
      </c>
      <c r="C473" s="49" t="s">
        <v>1057</v>
      </c>
      <c r="D473" s="69" t="s">
        <v>1178</v>
      </c>
      <c r="E473" s="49" t="s">
        <v>37</v>
      </c>
      <c r="F473" s="49" t="s">
        <v>17</v>
      </c>
      <c r="G473" s="48">
        <v>1</v>
      </c>
      <c r="H473" s="70">
        <v>45987</v>
      </c>
      <c r="I473" s="49" t="s">
        <v>1058</v>
      </c>
    </row>
    <row r="474" spans="1:9" ht="110.25">
      <c r="A474" s="4">
        <v>473</v>
      </c>
      <c r="B474" s="4">
        <f>ROUNDUP(A474/12,0)</f>
        <v>40</v>
      </c>
      <c r="C474" s="49" t="s">
        <v>1057</v>
      </c>
      <c r="D474" s="69" t="s">
        <v>1178</v>
      </c>
      <c r="E474" s="49" t="s">
        <v>38</v>
      </c>
      <c r="F474" s="49" t="s">
        <v>18</v>
      </c>
      <c r="G474" s="48">
        <v>0</v>
      </c>
      <c r="H474" s="70"/>
      <c r="I474" s="49"/>
    </row>
    <row r="475" spans="1:9" ht="110.25">
      <c r="A475" s="4">
        <v>474</v>
      </c>
      <c r="B475" s="4">
        <f>ROUNDUP(A475/12,0)</f>
        <v>40</v>
      </c>
      <c r="C475" s="49" t="s">
        <v>1057</v>
      </c>
      <c r="D475" s="69" t="s">
        <v>1178</v>
      </c>
      <c r="E475" s="49" t="s">
        <v>39</v>
      </c>
      <c r="F475" s="49" t="s">
        <v>19</v>
      </c>
      <c r="G475" s="48">
        <v>0</v>
      </c>
      <c r="H475" s="70"/>
      <c r="I475" s="49"/>
    </row>
    <row r="476" spans="1:9" ht="110.25">
      <c r="A476" s="4">
        <v>475</v>
      </c>
      <c r="B476" s="4">
        <f>ROUNDUP(A476/12,0)</f>
        <v>40</v>
      </c>
      <c r="C476" s="49" t="s">
        <v>1057</v>
      </c>
      <c r="D476" s="69" t="s">
        <v>1178</v>
      </c>
      <c r="E476" s="49" t="s">
        <v>40</v>
      </c>
      <c r="F476" s="49" t="s">
        <v>20</v>
      </c>
      <c r="G476" s="48">
        <v>0</v>
      </c>
      <c r="H476" s="70"/>
      <c r="I476" s="49"/>
    </row>
    <row r="477" spans="1:9" ht="110.25">
      <c r="A477" s="4">
        <v>476</v>
      </c>
      <c r="B477" s="4">
        <f>ROUNDUP(A477/12,0)</f>
        <v>40</v>
      </c>
      <c r="C477" s="49" t="s">
        <v>1057</v>
      </c>
      <c r="D477" s="69" t="s">
        <v>1178</v>
      </c>
      <c r="E477" s="49" t="s">
        <v>40</v>
      </c>
      <c r="F477" s="49" t="s">
        <v>21</v>
      </c>
      <c r="G477" s="48">
        <v>0</v>
      </c>
      <c r="H477" s="70"/>
      <c r="I477" s="49"/>
    </row>
    <row r="478" spans="1:9" ht="110.25">
      <c r="A478" s="4">
        <v>477</v>
      </c>
      <c r="B478" s="4">
        <f>ROUNDUP(A478/12,0)</f>
        <v>40</v>
      </c>
      <c r="C478" s="49" t="s">
        <v>1057</v>
      </c>
      <c r="D478" s="69" t="s">
        <v>1178</v>
      </c>
      <c r="E478" s="49" t="s">
        <v>41</v>
      </c>
      <c r="F478" s="49" t="s">
        <v>22</v>
      </c>
      <c r="G478" s="48">
        <v>0</v>
      </c>
      <c r="H478" s="70"/>
      <c r="I478" s="49"/>
    </row>
    <row r="479" spans="1:9" ht="110.25">
      <c r="A479" s="4">
        <v>478</v>
      </c>
      <c r="B479" s="4">
        <f>ROUNDUP(A479/12,0)</f>
        <v>40</v>
      </c>
      <c r="C479" s="49" t="s">
        <v>1057</v>
      </c>
      <c r="D479" s="69" t="s">
        <v>1178</v>
      </c>
      <c r="E479" s="49" t="s">
        <v>42</v>
      </c>
      <c r="F479" s="49" t="s">
        <v>23</v>
      </c>
      <c r="G479" s="48">
        <v>0</v>
      </c>
      <c r="H479" s="70"/>
      <c r="I479" s="49"/>
    </row>
    <row r="480" spans="1:9" ht="110.25">
      <c r="A480" s="4">
        <v>479</v>
      </c>
      <c r="B480" s="4">
        <f>ROUNDUP(A480/12,0)</f>
        <v>40</v>
      </c>
      <c r="C480" s="49" t="s">
        <v>1057</v>
      </c>
      <c r="D480" s="69" t="s">
        <v>1178</v>
      </c>
      <c r="E480" s="49" t="s">
        <v>43</v>
      </c>
      <c r="F480" s="49" t="s">
        <v>24</v>
      </c>
      <c r="G480" s="48">
        <v>0</v>
      </c>
      <c r="H480" s="70"/>
      <c r="I480" s="49"/>
    </row>
    <row r="481" spans="1:9" ht="110.25">
      <c r="A481" s="4">
        <v>480</v>
      </c>
      <c r="B481" s="4">
        <f>ROUNDUP(A481/12,0)</f>
        <v>40</v>
      </c>
      <c r="C481" s="49" t="s">
        <v>1057</v>
      </c>
      <c r="D481" s="69" t="s">
        <v>1178</v>
      </c>
      <c r="E481" s="49" t="s">
        <v>44</v>
      </c>
      <c r="F481" s="49" t="s">
        <v>25</v>
      </c>
      <c r="G481" s="48">
        <v>0</v>
      </c>
      <c r="H481" s="70"/>
      <c r="I481" s="49"/>
    </row>
    <row r="482" spans="1:9" ht="157.5">
      <c r="A482" s="4">
        <v>481</v>
      </c>
      <c r="B482" s="4">
        <f>ROUNDUP(A482/12,0)</f>
        <v>41</v>
      </c>
      <c r="C482" s="49" t="s">
        <v>1035</v>
      </c>
      <c r="D482" s="69" t="s">
        <v>1167</v>
      </c>
      <c r="E482" s="49" t="s">
        <v>34</v>
      </c>
      <c r="F482" s="49" t="s">
        <v>14</v>
      </c>
      <c r="G482" s="48">
        <v>0</v>
      </c>
      <c r="H482" s="70"/>
      <c r="I482" s="49"/>
    </row>
    <row r="483" spans="1:9" ht="157.5">
      <c r="A483" s="4">
        <v>482</v>
      </c>
      <c r="B483" s="4">
        <f>ROUNDUP(A483/12,0)</f>
        <v>41</v>
      </c>
      <c r="C483" s="49" t="s">
        <v>1035</v>
      </c>
      <c r="D483" s="69" t="s">
        <v>1167</v>
      </c>
      <c r="E483" s="49" t="s">
        <v>35</v>
      </c>
      <c r="F483" s="49" t="s">
        <v>15</v>
      </c>
      <c r="G483" s="48">
        <v>0</v>
      </c>
      <c r="H483" s="70"/>
      <c r="I483" s="49"/>
    </row>
    <row r="484" spans="1:9" ht="157.5">
      <c r="A484" s="4">
        <v>483</v>
      </c>
      <c r="B484" s="4">
        <f>ROUNDUP(A484/12,0)</f>
        <v>41</v>
      </c>
      <c r="C484" s="49" t="s">
        <v>1035</v>
      </c>
      <c r="D484" s="69" t="s">
        <v>1167</v>
      </c>
      <c r="E484" s="49" t="s">
        <v>36</v>
      </c>
      <c r="F484" s="49" t="s">
        <v>16</v>
      </c>
      <c r="G484" s="48">
        <v>0</v>
      </c>
      <c r="H484" s="70"/>
      <c r="I484" s="49"/>
    </row>
    <row r="485" spans="1:9" ht="157.5">
      <c r="A485" s="4">
        <v>484</v>
      </c>
      <c r="B485" s="4">
        <f>ROUNDUP(A485/12,0)</f>
        <v>41</v>
      </c>
      <c r="C485" s="49" t="s">
        <v>1035</v>
      </c>
      <c r="D485" s="69" t="s">
        <v>1167</v>
      </c>
      <c r="E485" s="49" t="s">
        <v>37</v>
      </c>
      <c r="F485" s="49" t="s">
        <v>17</v>
      </c>
      <c r="G485" s="48">
        <v>1</v>
      </c>
      <c r="H485" s="70">
        <v>46022</v>
      </c>
      <c r="I485" s="49" t="s">
        <v>1036</v>
      </c>
    </row>
    <row r="486" spans="1:9" ht="157.5">
      <c r="A486" s="4">
        <v>485</v>
      </c>
      <c r="B486" s="4">
        <f>ROUNDUP(A486/12,0)</f>
        <v>41</v>
      </c>
      <c r="C486" s="49" t="s">
        <v>1035</v>
      </c>
      <c r="D486" s="69" t="s">
        <v>1167</v>
      </c>
      <c r="E486" s="49" t="s">
        <v>38</v>
      </c>
      <c r="F486" s="49" t="s">
        <v>18</v>
      </c>
      <c r="G486" s="48">
        <v>0</v>
      </c>
      <c r="H486" s="70"/>
      <c r="I486" s="49"/>
    </row>
    <row r="487" spans="1:9" ht="157.5">
      <c r="A487" s="4">
        <v>486</v>
      </c>
      <c r="B487" s="4">
        <f>ROUNDUP(A487/12,0)</f>
        <v>41</v>
      </c>
      <c r="C487" s="49" t="s">
        <v>1035</v>
      </c>
      <c r="D487" s="69" t="s">
        <v>1167</v>
      </c>
      <c r="E487" s="49" t="s">
        <v>39</v>
      </c>
      <c r="F487" s="49" t="s">
        <v>19</v>
      </c>
      <c r="G487" s="48">
        <v>0</v>
      </c>
      <c r="H487" s="70"/>
      <c r="I487" s="49"/>
    </row>
    <row r="488" spans="1:9" ht="157.5">
      <c r="A488" s="4">
        <v>487</v>
      </c>
      <c r="B488" s="4">
        <f>ROUNDUP(A488/12,0)</f>
        <v>41</v>
      </c>
      <c r="C488" s="49" t="s">
        <v>1035</v>
      </c>
      <c r="D488" s="69" t="s">
        <v>1167</v>
      </c>
      <c r="E488" s="49" t="s">
        <v>40</v>
      </c>
      <c r="F488" s="49" t="s">
        <v>20</v>
      </c>
      <c r="G488" s="48">
        <v>0</v>
      </c>
      <c r="H488" s="70"/>
      <c r="I488" s="49"/>
    </row>
    <row r="489" spans="1:9" ht="157.5">
      <c r="A489" s="4">
        <v>488</v>
      </c>
      <c r="B489" s="4">
        <f>ROUNDUP(A489/12,0)</f>
        <v>41</v>
      </c>
      <c r="C489" s="49" t="s">
        <v>1035</v>
      </c>
      <c r="D489" s="69" t="s">
        <v>1167</v>
      </c>
      <c r="E489" s="49" t="s">
        <v>40</v>
      </c>
      <c r="F489" s="49" t="s">
        <v>21</v>
      </c>
      <c r="G489" s="48">
        <v>0</v>
      </c>
      <c r="H489" s="70"/>
      <c r="I489" s="49"/>
    </row>
    <row r="490" spans="1:9" ht="157.5">
      <c r="A490" s="4">
        <v>489</v>
      </c>
      <c r="B490" s="4">
        <f>ROUNDUP(A490/12,0)</f>
        <v>41</v>
      </c>
      <c r="C490" s="49" t="s">
        <v>1035</v>
      </c>
      <c r="D490" s="69" t="s">
        <v>1167</v>
      </c>
      <c r="E490" s="49" t="s">
        <v>41</v>
      </c>
      <c r="F490" s="49" t="s">
        <v>22</v>
      </c>
      <c r="G490" s="48">
        <v>0</v>
      </c>
      <c r="H490" s="70"/>
      <c r="I490" s="49"/>
    </row>
    <row r="491" spans="1:9" ht="157.5">
      <c r="A491" s="4">
        <v>490</v>
      </c>
      <c r="B491" s="4">
        <f>ROUNDUP(A491/12,0)</f>
        <v>41</v>
      </c>
      <c r="C491" s="49" t="s">
        <v>1035</v>
      </c>
      <c r="D491" s="69" t="s">
        <v>1167</v>
      </c>
      <c r="E491" s="49" t="s">
        <v>42</v>
      </c>
      <c r="F491" s="49" t="s">
        <v>23</v>
      </c>
      <c r="G491" s="48">
        <v>0</v>
      </c>
      <c r="H491" s="70"/>
      <c r="I491" s="49"/>
    </row>
    <row r="492" spans="1:9" ht="157.5">
      <c r="A492" s="4">
        <v>491</v>
      </c>
      <c r="B492" s="4">
        <f>ROUNDUP(A492/12,0)</f>
        <v>41</v>
      </c>
      <c r="C492" s="49" t="s">
        <v>1035</v>
      </c>
      <c r="D492" s="69" t="s">
        <v>1167</v>
      </c>
      <c r="E492" s="49" t="s">
        <v>43</v>
      </c>
      <c r="F492" s="49" t="s">
        <v>24</v>
      </c>
      <c r="G492" s="48">
        <v>0</v>
      </c>
      <c r="H492" s="70"/>
      <c r="I492" s="49"/>
    </row>
    <row r="493" spans="1:9" ht="157.5">
      <c r="A493" s="4">
        <v>492</v>
      </c>
      <c r="B493" s="4">
        <f>ROUNDUP(A493/12,0)</f>
        <v>41</v>
      </c>
      <c r="C493" s="49" t="s">
        <v>1035</v>
      </c>
      <c r="D493" s="69" t="s">
        <v>1167</v>
      </c>
      <c r="E493" s="49" t="s">
        <v>44</v>
      </c>
      <c r="F493" s="49" t="s">
        <v>25</v>
      </c>
      <c r="G493" s="48">
        <v>0</v>
      </c>
      <c r="H493" s="70"/>
      <c r="I493" s="49"/>
    </row>
    <row r="494" spans="1:9" ht="15.75">
      <c r="A494" s="4">
        <v>493</v>
      </c>
      <c r="B494" s="4">
        <f>ROUNDUP(A494/12,0)</f>
        <v>42</v>
      </c>
      <c r="C494" s="49" t="s">
        <v>1047</v>
      </c>
      <c r="D494" s="49" t="s">
        <v>1173</v>
      </c>
      <c r="E494" s="49" t="s">
        <v>34</v>
      </c>
      <c r="F494" s="49" t="s">
        <v>14</v>
      </c>
      <c r="G494" s="48">
        <v>0</v>
      </c>
      <c r="H494" s="70"/>
      <c r="I494" s="49"/>
    </row>
    <row r="495" spans="1:9" ht="15.75">
      <c r="A495" s="4">
        <v>494</v>
      </c>
      <c r="B495" s="4">
        <f>ROUNDUP(A495/12,0)</f>
        <v>42</v>
      </c>
      <c r="C495" s="49" t="s">
        <v>1047</v>
      </c>
      <c r="D495" s="49" t="s">
        <v>1173</v>
      </c>
      <c r="E495" s="49" t="s">
        <v>35</v>
      </c>
      <c r="F495" s="49" t="s">
        <v>15</v>
      </c>
      <c r="G495" s="48">
        <v>0</v>
      </c>
      <c r="H495" s="70"/>
      <c r="I495" s="49"/>
    </row>
    <row r="496" spans="1:9" ht="15.75">
      <c r="A496" s="4">
        <v>495</v>
      </c>
      <c r="B496" s="4">
        <f>ROUNDUP(A496/12,0)</f>
        <v>42</v>
      </c>
      <c r="C496" s="49" t="s">
        <v>1047</v>
      </c>
      <c r="D496" s="49" t="s">
        <v>1173</v>
      </c>
      <c r="E496" s="49" t="s">
        <v>36</v>
      </c>
      <c r="F496" s="49" t="s">
        <v>16</v>
      </c>
      <c r="G496" s="48">
        <v>0</v>
      </c>
      <c r="H496" s="70"/>
      <c r="I496" s="49"/>
    </row>
    <row r="497" spans="1:9" ht="15.75">
      <c r="A497" s="4">
        <v>496</v>
      </c>
      <c r="B497" s="4">
        <f>ROUNDUP(A497/12,0)</f>
        <v>42</v>
      </c>
      <c r="C497" s="49" t="s">
        <v>1047</v>
      </c>
      <c r="D497" s="49" t="s">
        <v>1173</v>
      </c>
      <c r="E497" s="49" t="s">
        <v>37</v>
      </c>
      <c r="F497" s="49" t="s">
        <v>17</v>
      </c>
      <c r="G497" s="48">
        <v>1</v>
      </c>
      <c r="H497" s="70">
        <v>46017</v>
      </c>
      <c r="I497" s="49" t="s">
        <v>1048</v>
      </c>
    </row>
    <row r="498" spans="1:9" ht="15.75">
      <c r="A498" s="4">
        <v>497</v>
      </c>
      <c r="B498" s="4">
        <f>ROUNDUP(A498/12,0)</f>
        <v>42</v>
      </c>
      <c r="C498" s="49" t="s">
        <v>1047</v>
      </c>
      <c r="D498" s="49" t="s">
        <v>1173</v>
      </c>
      <c r="E498" s="49" t="s">
        <v>38</v>
      </c>
      <c r="F498" s="49" t="s">
        <v>18</v>
      </c>
      <c r="G498" s="48">
        <v>0</v>
      </c>
      <c r="H498" s="70"/>
      <c r="I498" s="49"/>
    </row>
    <row r="499" spans="1:9" ht="15.75">
      <c r="A499" s="4">
        <v>498</v>
      </c>
      <c r="B499" s="4">
        <f>ROUNDUP(A499/12,0)</f>
        <v>42</v>
      </c>
      <c r="C499" s="49" t="s">
        <v>1047</v>
      </c>
      <c r="D499" s="49" t="s">
        <v>1173</v>
      </c>
      <c r="E499" s="49" t="s">
        <v>39</v>
      </c>
      <c r="F499" s="49" t="s">
        <v>19</v>
      </c>
      <c r="G499" s="48">
        <v>0</v>
      </c>
      <c r="H499" s="70"/>
      <c r="I499" s="49"/>
    </row>
    <row r="500" spans="1:9" ht="15.75">
      <c r="A500" s="4">
        <v>499</v>
      </c>
      <c r="B500" s="4">
        <f>ROUNDUP(A500/12,0)</f>
        <v>42</v>
      </c>
      <c r="C500" s="49" t="s">
        <v>1047</v>
      </c>
      <c r="D500" s="49" t="s">
        <v>1173</v>
      </c>
      <c r="E500" s="49" t="s">
        <v>40</v>
      </c>
      <c r="F500" s="49" t="s">
        <v>20</v>
      </c>
      <c r="G500" s="48">
        <v>0</v>
      </c>
      <c r="H500" s="70"/>
      <c r="I500" s="49"/>
    </row>
    <row r="501" spans="1:9" ht="15.75">
      <c r="A501" s="4">
        <v>500</v>
      </c>
      <c r="B501" s="4">
        <f>ROUNDUP(A501/12,0)</f>
        <v>42</v>
      </c>
      <c r="C501" s="49" t="s">
        <v>1047</v>
      </c>
      <c r="D501" s="49" t="s">
        <v>1173</v>
      </c>
      <c r="E501" s="49" t="s">
        <v>40</v>
      </c>
      <c r="F501" s="49" t="s">
        <v>21</v>
      </c>
      <c r="G501" s="48">
        <v>0</v>
      </c>
      <c r="H501" s="70"/>
      <c r="I501" s="49"/>
    </row>
    <row r="502" spans="1:9" ht="15.75">
      <c r="A502" s="4">
        <v>501</v>
      </c>
      <c r="B502" s="4">
        <f>ROUNDUP(A502/12,0)</f>
        <v>42</v>
      </c>
      <c r="C502" s="49" t="s">
        <v>1047</v>
      </c>
      <c r="D502" s="49" t="s">
        <v>1173</v>
      </c>
      <c r="E502" s="49" t="s">
        <v>41</v>
      </c>
      <c r="F502" s="49" t="s">
        <v>22</v>
      </c>
      <c r="G502" s="48">
        <v>0</v>
      </c>
      <c r="H502" s="70"/>
      <c r="I502" s="49"/>
    </row>
    <row r="503" spans="1:9" ht="15.75">
      <c r="A503" s="4">
        <v>502</v>
      </c>
      <c r="B503" s="4">
        <f>ROUNDUP(A503/12,0)</f>
        <v>42</v>
      </c>
      <c r="C503" s="49" t="s">
        <v>1047</v>
      </c>
      <c r="D503" s="49" t="s">
        <v>1173</v>
      </c>
      <c r="E503" s="49" t="s">
        <v>42</v>
      </c>
      <c r="F503" s="49" t="s">
        <v>23</v>
      </c>
      <c r="G503" s="48">
        <v>0</v>
      </c>
      <c r="H503" s="70"/>
      <c r="I503" s="49"/>
    </row>
    <row r="504" spans="1:9" ht="15.75">
      <c r="A504" s="4">
        <v>503</v>
      </c>
      <c r="B504" s="4">
        <f>ROUNDUP(A504/12,0)</f>
        <v>42</v>
      </c>
      <c r="C504" s="49" t="s">
        <v>1047</v>
      </c>
      <c r="D504" s="49" t="s">
        <v>1173</v>
      </c>
      <c r="E504" s="49" t="s">
        <v>43</v>
      </c>
      <c r="F504" s="49" t="s">
        <v>24</v>
      </c>
      <c r="G504" s="48">
        <v>0</v>
      </c>
      <c r="H504" s="70"/>
      <c r="I504" s="49"/>
    </row>
    <row r="505" spans="1:9" ht="15.75">
      <c r="A505" s="4">
        <v>504</v>
      </c>
      <c r="B505" s="4">
        <f>ROUNDUP(A505/12,0)</f>
        <v>42</v>
      </c>
      <c r="C505" s="49" t="s">
        <v>1047</v>
      </c>
      <c r="D505" s="49" t="s">
        <v>1173</v>
      </c>
      <c r="E505" s="49" t="s">
        <v>44</v>
      </c>
      <c r="F505" s="49" t="s">
        <v>25</v>
      </c>
      <c r="G505" s="48">
        <v>0</v>
      </c>
      <c r="H505" s="70"/>
      <c r="I505" s="49"/>
    </row>
    <row r="506" spans="1:9" ht="189">
      <c r="A506" s="4">
        <v>505</v>
      </c>
      <c r="B506" s="4">
        <f>ROUNDUP(A506/12,0)</f>
        <v>43</v>
      </c>
      <c r="C506" s="49" t="s">
        <v>1043</v>
      </c>
      <c r="D506" s="69" t="s">
        <v>1171</v>
      </c>
      <c r="E506" s="49" t="s">
        <v>34</v>
      </c>
      <c r="F506" s="49" t="s">
        <v>14</v>
      </c>
      <c r="G506" s="48">
        <v>0</v>
      </c>
      <c r="H506" s="70"/>
      <c r="I506" s="49"/>
    </row>
    <row r="507" spans="1:9" ht="189">
      <c r="A507" s="4">
        <v>506</v>
      </c>
      <c r="B507" s="4">
        <f>ROUNDUP(A507/12,0)</f>
        <v>43</v>
      </c>
      <c r="C507" s="49" t="s">
        <v>1043</v>
      </c>
      <c r="D507" s="69" t="s">
        <v>1171</v>
      </c>
      <c r="E507" s="49" t="s">
        <v>35</v>
      </c>
      <c r="F507" s="49" t="s">
        <v>15</v>
      </c>
      <c r="G507" s="48">
        <v>0</v>
      </c>
      <c r="H507" s="70"/>
      <c r="I507" s="49"/>
    </row>
    <row r="508" spans="1:9" ht="189">
      <c r="A508" s="4">
        <v>507</v>
      </c>
      <c r="B508" s="4">
        <f>ROUNDUP(A508/12,0)</f>
        <v>43</v>
      </c>
      <c r="C508" s="49" t="s">
        <v>1043</v>
      </c>
      <c r="D508" s="69" t="s">
        <v>1171</v>
      </c>
      <c r="E508" s="49" t="s">
        <v>36</v>
      </c>
      <c r="F508" s="49" t="s">
        <v>16</v>
      </c>
      <c r="G508" s="48">
        <v>0</v>
      </c>
      <c r="H508" s="70"/>
      <c r="I508" s="49"/>
    </row>
    <row r="509" spans="1:9" ht="189">
      <c r="A509" s="4">
        <v>508</v>
      </c>
      <c r="B509" s="4">
        <f>ROUNDUP(A509/12,0)</f>
        <v>43</v>
      </c>
      <c r="C509" s="49" t="s">
        <v>1043</v>
      </c>
      <c r="D509" s="69" t="s">
        <v>1171</v>
      </c>
      <c r="E509" s="49" t="s">
        <v>37</v>
      </c>
      <c r="F509" s="49" t="s">
        <v>17</v>
      </c>
      <c r="G509" s="48">
        <v>1</v>
      </c>
      <c r="H509" s="70">
        <v>46018</v>
      </c>
      <c r="I509" s="49" t="s">
        <v>1044</v>
      </c>
    </row>
    <row r="510" spans="1:9" ht="189">
      <c r="A510" s="4">
        <v>509</v>
      </c>
      <c r="B510" s="4">
        <f>ROUNDUP(A510/12,0)</f>
        <v>43</v>
      </c>
      <c r="C510" s="49" t="s">
        <v>1043</v>
      </c>
      <c r="D510" s="69" t="s">
        <v>1171</v>
      </c>
      <c r="E510" s="49" t="s">
        <v>38</v>
      </c>
      <c r="F510" s="49" t="s">
        <v>18</v>
      </c>
      <c r="G510" s="48">
        <v>0</v>
      </c>
      <c r="H510" s="70"/>
      <c r="I510" s="49"/>
    </row>
    <row r="511" spans="1:9" ht="189">
      <c r="A511" s="4">
        <v>510</v>
      </c>
      <c r="B511" s="4">
        <f>ROUNDUP(A511/12,0)</f>
        <v>43</v>
      </c>
      <c r="C511" s="49" t="s">
        <v>1043</v>
      </c>
      <c r="D511" s="69" t="s">
        <v>1171</v>
      </c>
      <c r="E511" s="49" t="s">
        <v>39</v>
      </c>
      <c r="F511" s="49" t="s">
        <v>19</v>
      </c>
      <c r="G511" s="48">
        <v>0</v>
      </c>
      <c r="H511" s="70"/>
      <c r="I511" s="49"/>
    </row>
    <row r="512" spans="1:9" ht="189">
      <c r="A512" s="4">
        <v>511</v>
      </c>
      <c r="B512" s="4">
        <f>ROUNDUP(A512/12,0)</f>
        <v>43</v>
      </c>
      <c r="C512" s="49" t="s">
        <v>1043</v>
      </c>
      <c r="D512" s="69" t="s">
        <v>1171</v>
      </c>
      <c r="E512" s="49" t="s">
        <v>40</v>
      </c>
      <c r="F512" s="49" t="s">
        <v>20</v>
      </c>
      <c r="G512" s="48">
        <v>0</v>
      </c>
      <c r="H512" s="70"/>
      <c r="I512" s="49"/>
    </row>
    <row r="513" spans="1:9" ht="189">
      <c r="A513" s="4">
        <v>512</v>
      </c>
      <c r="B513" s="4">
        <f>ROUNDUP(A513/12,0)</f>
        <v>43</v>
      </c>
      <c r="C513" s="49" t="s">
        <v>1043</v>
      </c>
      <c r="D513" s="69" t="s">
        <v>1171</v>
      </c>
      <c r="E513" s="49" t="s">
        <v>40</v>
      </c>
      <c r="F513" s="49" t="s">
        <v>21</v>
      </c>
      <c r="G513" s="48">
        <v>0</v>
      </c>
      <c r="H513" s="70"/>
      <c r="I513" s="49"/>
    </row>
    <row r="514" spans="1:9" ht="189">
      <c r="A514" s="4">
        <v>513</v>
      </c>
      <c r="B514" s="4">
        <f>ROUNDUP(A514/12,0)</f>
        <v>43</v>
      </c>
      <c r="C514" s="49" t="s">
        <v>1043</v>
      </c>
      <c r="D514" s="69" t="s">
        <v>1171</v>
      </c>
      <c r="E514" s="49" t="s">
        <v>41</v>
      </c>
      <c r="F514" s="49" t="s">
        <v>22</v>
      </c>
      <c r="G514" s="48">
        <v>0</v>
      </c>
      <c r="H514" s="70"/>
      <c r="I514" s="49"/>
    </row>
    <row r="515" spans="1:9" ht="189">
      <c r="A515" s="4">
        <v>514</v>
      </c>
      <c r="B515" s="4">
        <f>ROUNDUP(A515/12,0)</f>
        <v>43</v>
      </c>
      <c r="C515" s="49" t="s">
        <v>1043</v>
      </c>
      <c r="D515" s="69" t="s">
        <v>1171</v>
      </c>
      <c r="E515" s="49" t="s">
        <v>42</v>
      </c>
      <c r="F515" s="49" t="s">
        <v>23</v>
      </c>
      <c r="G515" s="48">
        <v>0</v>
      </c>
      <c r="H515" s="70"/>
      <c r="I515" s="49"/>
    </row>
    <row r="516" spans="1:9" ht="189">
      <c r="A516" s="4">
        <v>515</v>
      </c>
      <c r="B516" s="4">
        <f>ROUNDUP(A516/12,0)</f>
        <v>43</v>
      </c>
      <c r="C516" s="49" t="s">
        <v>1043</v>
      </c>
      <c r="D516" s="69" t="s">
        <v>1171</v>
      </c>
      <c r="E516" s="49" t="s">
        <v>43</v>
      </c>
      <c r="F516" s="49" t="s">
        <v>24</v>
      </c>
      <c r="G516" s="48">
        <v>0</v>
      </c>
      <c r="H516" s="70"/>
      <c r="I516" s="49"/>
    </row>
    <row r="517" spans="1:9" ht="189">
      <c r="A517" s="4">
        <v>516</v>
      </c>
      <c r="B517" s="4">
        <f>ROUNDUP(A517/12,0)</f>
        <v>43</v>
      </c>
      <c r="C517" s="49" t="s">
        <v>1043</v>
      </c>
      <c r="D517" s="69" t="s">
        <v>1171</v>
      </c>
      <c r="E517" s="49" t="s">
        <v>44</v>
      </c>
      <c r="F517" s="49" t="s">
        <v>25</v>
      </c>
      <c r="G517" s="48">
        <v>0</v>
      </c>
      <c r="H517" s="70"/>
      <c r="I517" s="49"/>
    </row>
    <row r="518" spans="1:9" ht="189">
      <c r="A518" s="4">
        <v>517</v>
      </c>
      <c r="B518" s="4">
        <f>ROUNDUP(A518/12,0)</f>
        <v>44</v>
      </c>
      <c r="C518" s="49" t="s">
        <v>1037</v>
      </c>
      <c r="D518" s="69" t="s">
        <v>1168</v>
      </c>
      <c r="E518" s="49" t="s">
        <v>34</v>
      </c>
      <c r="F518" s="49" t="s">
        <v>14</v>
      </c>
      <c r="G518" s="48">
        <v>0</v>
      </c>
      <c r="H518" s="70"/>
      <c r="I518" s="49"/>
    </row>
    <row r="519" spans="1:9" ht="189">
      <c r="A519" s="4">
        <v>518</v>
      </c>
      <c r="B519" s="4">
        <f>ROUNDUP(A519/12,0)</f>
        <v>44</v>
      </c>
      <c r="C519" s="49" t="s">
        <v>1037</v>
      </c>
      <c r="D519" s="69" t="s">
        <v>1168</v>
      </c>
      <c r="E519" s="49" t="s">
        <v>35</v>
      </c>
      <c r="F519" s="49" t="s">
        <v>15</v>
      </c>
      <c r="G519" s="48">
        <v>0</v>
      </c>
      <c r="H519" s="70"/>
      <c r="I519" s="49"/>
    </row>
    <row r="520" spans="1:9" ht="189">
      <c r="A520" s="4">
        <v>519</v>
      </c>
      <c r="B520" s="4">
        <f>ROUNDUP(A520/12,0)</f>
        <v>44</v>
      </c>
      <c r="C520" s="49" t="s">
        <v>1037</v>
      </c>
      <c r="D520" s="69" t="s">
        <v>1168</v>
      </c>
      <c r="E520" s="49" t="s">
        <v>36</v>
      </c>
      <c r="F520" s="49" t="s">
        <v>16</v>
      </c>
      <c r="G520" s="48">
        <v>0</v>
      </c>
      <c r="H520" s="70"/>
      <c r="I520" s="49"/>
    </row>
    <row r="521" spans="1:9" ht="189">
      <c r="A521" s="4">
        <v>520</v>
      </c>
      <c r="B521" s="4">
        <f>ROUNDUP(A521/12,0)</f>
        <v>44</v>
      </c>
      <c r="C521" s="49" t="s">
        <v>1037</v>
      </c>
      <c r="D521" s="69" t="s">
        <v>1168</v>
      </c>
      <c r="E521" s="49" t="s">
        <v>37</v>
      </c>
      <c r="F521" s="49" t="s">
        <v>17</v>
      </c>
      <c r="G521" s="48">
        <v>1</v>
      </c>
      <c r="H521" s="70">
        <v>46022</v>
      </c>
      <c r="I521" s="49" t="s">
        <v>1038</v>
      </c>
    </row>
    <row r="522" spans="1:9" ht="189">
      <c r="A522" s="4">
        <v>521</v>
      </c>
      <c r="B522" s="4">
        <f>ROUNDUP(A522/12,0)</f>
        <v>44</v>
      </c>
      <c r="C522" s="49" t="s">
        <v>1037</v>
      </c>
      <c r="D522" s="69" t="s">
        <v>1168</v>
      </c>
      <c r="E522" s="49" t="s">
        <v>38</v>
      </c>
      <c r="F522" s="49" t="s">
        <v>18</v>
      </c>
      <c r="G522" s="48">
        <v>0</v>
      </c>
      <c r="H522" s="70"/>
      <c r="I522" s="49"/>
    </row>
    <row r="523" spans="1:9" ht="189">
      <c r="A523" s="4">
        <v>522</v>
      </c>
      <c r="B523" s="4">
        <f>ROUNDUP(A523/12,0)</f>
        <v>44</v>
      </c>
      <c r="C523" s="49" t="s">
        <v>1037</v>
      </c>
      <c r="D523" s="69" t="s">
        <v>1168</v>
      </c>
      <c r="E523" s="49" t="s">
        <v>39</v>
      </c>
      <c r="F523" s="49" t="s">
        <v>19</v>
      </c>
      <c r="G523" s="48">
        <v>0</v>
      </c>
      <c r="H523" s="70"/>
      <c r="I523" s="49"/>
    </row>
    <row r="524" spans="1:9" ht="189">
      <c r="A524" s="4">
        <v>523</v>
      </c>
      <c r="B524" s="4">
        <f>ROUNDUP(A524/12,0)</f>
        <v>44</v>
      </c>
      <c r="C524" s="49" t="s">
        <v>1037</v>
      </c>
      <c r="D524" s="69" t="s">
        <v>1168</v>
      </c>
      <c r="E524" s="49" t="s">
        <v>40</v>
      </c>
      <c r="F524" s="49" t="s">
        <v>20</v>
      </c>
      <c r="G524" s="48">
        <v>0</v>
      </c>
      <c r="H524" s="70"/>
      <c r="I524" s="49"/>
    </row>
    <row r="525" spans="1:9" ht="189">
      <c r="A525" s="4">
        <v>524</v>
      </c>
      <c r="B525" s="4">
        <f>ROUNDUP(A525/12,0)</f>
        <v>44</v>
      </c>
      <c r="C525" s="49" t="s">
        <v>1037</v>
      </c>
      <c r="D525" s="69" t="s">
        <v>1168</v>
      </c>
      <c r="E525" s="49" t="s">
        <v>40</v>
      </c>
      <c r="F525" s="49" t="s">
        <v>21</v>
      </c>
      <c r="G525" s="48">
        <v>0</v>
      </c>
      <c r="H525" s="70"/>
      <c r="I525" s="49"/>
    </row>
    <row r="526" spans="1:9" ht="189">
      <c r="A526" s="4">
        <v>525</v>
      </c>
      <c r="B526" s="4">
        <f>ROUNDUP(A526/12,0)</f>
        <v>44</v>
      </c>
      <c r="C526" s="49" t="s">
        <v>1037</v>
      </c>
      <c r="D526" s="69" t="s">
        <v>1168</v>
      </c>
      <c r="E526" s="49" t="s">
        <v>41</v>
      </c>
      <c r="F526" s="49" t="s">
        <v>22</v>
      </c>
      <c r="G526" s="48">
        <v>0</v>
      </c>
      <c r="H526" s="70"/>
      <c r="I526" s="49"/>
    </row>
    <row r="527" spans="1:9" ht="189">
      <c r="A527" s="4">
        <v>526</v>
      </c>
      <c r="B527" s="4">
        <f>ROUNDUP(A527/12,0)</f>
        <v>44</v>
      </c>
      <c r="C527" s="49" t="s">
        <v>1037</v>
      </c>
      <c r="D527" s="69" t="s">
        <v>1168</v>
      </c>
      <c r="E527" s="49" t="s">
        <v>42</v>
      </c>
      <c r="F527" s="49" t="s">
        <v>23</v>
      </c>
      <c r="G527" s="48">
        <v>0</v>
      </c>
      <c r="H527" s="70"/>
      <c r="I527" s="49"/>
    </row>
    <row r="528" spans="1:9" ht="189">
      <c r="A528" s="4">
        <v>527</v>
      </c>
      <c r="B528" s="4">
        <f>ROUNDUP(A528/12,0)</f>
        <v>44</v>
      </c>
      <c r="C528" s="49" t="s">
        <v>1037</v>
      </c>
      <c r="D528" s="69" t="s">
        <v>1168</v>
      </c>
      <c r="E528" s="49" t="s">
        <v>43</v>
      </c>
      <c r="F528" s="49" t="s">
        <v>24</v>
      </c>
      <c r="G528" s="48">
        <v>0</v>
      </c>
      <c r="H528" s="70"/>
      <c r="I528" s="49"/>
    </row>
    <row r="529" spans="1:9" ht="189">
      <c r="A529" s="4">
        <v>528</v>
      </c>
      <c r="B529" s="4">
        <f>ROUNDUP(A529/12,0)</f>
        <v>44</v>
      </c>
      <c r="C529" s="49" t="s">
        <v>1037</v>
      </c>
      <c r="D529" s="69" t="s">
        <v>1168</v>
      </c>
      <c r="E529" s="49" t="s">
        <v>44</v>
      </c>
      <c r="F529" s="49" t="s">
        <v>25</v>
      </c>
      <c r="G529" s="48">
        <v>0</v>
      </c>
      <c r="H529" s="70"/>
      <c r="I529" s="49"/>
    </row>
    <row r="530" spans="1:9" ht="204.75">
      <c r="A530" s="4">
        <v>529</v>
      </c>
      <c r="B530" s="4">
        <f>ROUNDUP(A530/12,0)</f>
        <v>45</v>
      </c>
      <c r="C530" s="49" t="s">
        <v>1033</v>
      </c>
      <c r="D530" s="69" t="s">
        <v>1166</v>
      </c>
      <c r="E530" s="49" t="s">
        <v>34</v>
      </c>
      <c r="F530" s="49" t="s">
        <v>14</v>
      </c>
      <c r="G530" s="48">
        <v>0</v>
      </c>
      <c r="H530" s="70"/>
      <c r="I530" s="49"/>
    </row>
    <row r="531" spans="1:9" ht="204.75">
      <c r="A531" s="4">
        <v>530</v>
      </c>
      <c r="B531" s="4">
        <f>ROUNDUP(A531/12,0)</f>
        <v>45</v>
      </c>
      <c r="C531" s="49" t="s">
        <v>1033</v>
      </c>
      <c r="D531" s="69" t="s">
        <v>1166</v>
      </c>
      <c r="E531" s="49" t="s">
        <v>35</v>
      </c>
      <c r="F531" s="49" t="s">
        <v>15</v>
      </c>
      <c r="G531" s="48">
        <v>0</v>
      </c>
      <c r="H531" s="70"/>
      <c r="I531" s="49"/>
    </row>
    <row r="532" spans="1:9" ht="204.75">
      <c r="A532" s="4">
        <v>531</v>
      </c>
      <c r="B532" s="4">
        <f>ROUNDUP(A532/12,0)</f>
        <v>45</v>
      </c>
      <c r="C532" s="49" t="s">
        <v>1033</v>
      </c>
      <c r="D532" s="69" t="s">
        <v>1166</v>
      </c>
      <c r="E532" s="49" t="s">
        <v>36</v>
      </c>
      <c r="F532" s="49" t="s">
        <v>16</v>
      </c>
      <c r="G532" s="48">
        <v>0</v>
      </c>
      <c r="H532" s="70"/>
      <c r="I532" s="49"/>
    </row>
    <row r="533" spans="1:9" ht="204.75">
      <c r="A533" s="4">
        <v>532</v>
      </c>
      <c r="B533" s="4">
        <f>ROUNDUP(A533/12,0)</f>
        <v>45</v>
      </c>
      <c r="C533" s="49" t="s">
        <v>1033</v>
      </c>
      <c r="D533" s="69" t="s">
        <v>1166</v>
      </c>
      <c r="E533" s="49" t="s">
        <v>37</v>
      </c>
      <c r="F533" s="49" t="s">
        <v>17</v>
      </c>
      <c r="G533" s="48">
        <v>1</v>
      </c>
      <c r="H533" s="70">
        <v>46023</v>
      </c>
      <c r="I533" s="49" t="s">
        <v>1034</v>
      </c>
    </row>
    <row r="534" spans="1:9" ht="204.75">
      <c r="A534" s="4">
        <v>533</v>
      </c>
      <c r="B534" s="4">
        <f>ROUNDUP(A534/12,0)</f>
        <v>45</v>
      </c>
      <c r="C534" s="49" t="s">
        <v>1033</v>
      </c>
      <c r="D534" s="69" t="s">
        <v>1166</v>
      </c>
      <c r="E534" s="49" t="s">
        <v>38</v>
      </c>
      <c r="F534" s="49" t="s">
        <v>18</v>
      </c>
      <c r="G534" s="48">
        <v>0</v>
      </c>
      <c r="H534" s="70"/>
      <c r="I534" s="49"/>
    </row>
    <row r="535" spans="1:9" ht="204.75">
      <c r="A535" s="4">
        <v>534</v>
      </c>
      <c r="B535" s="4">
        <f>ROUNDUP(A535/12,0)</f>
        <v>45</v>
      </c>
      <c r="C535" s="49" t="s">
        <v>1033</v>
      </c>
      <c r="D535" s="69" t="s">
        <v>1166</v>
      </c>
      <c r="E535" s="49" t="s">
        <v>39</v>
      </c>
      <c r="F535" s="49" t="s">
        <v>19</v>
      </c>
      <c r="G535" s="48">
        <v>0</v>
      </c>
      <c r="H535" s="70"/>
      <c r="I535" s="49"/>
    </row>
    <row r="536" spans="1:9" ht="204.75">
      <c r="A536" s="4">
        <v>535</v>
      </c>
      <c r="B536" s="4">
        <f>ROUNDUP(A536/12,0)</f>
        <v>45</v>
      </c>
      <c r="C536" s="49" t="s">
        <v>1033</v>
      </c>
      <c r="D536" s="69" t="s">
        <v>1166</v>
      </c>
      <c r="E536" s="49" t="s">
        <v>40</v>
      </c>
      <c r="F536" s="49" t="s">
        <v>20</v>
      </c>
      <c r="G536" s="48">
        <v>0</v>
      </c>
      <c r="H536" s="70"/>
      <c r="I536" s="49"/>
    </row>
    <row r="537" spans="1:9" ht="204.75">
      <c r="A537" s="4">
        <v>536</v>
      </c>
      <c r="B537" s="4">
        <f>ROUNDUP(A537/12,0)</f>
        <v>45</v>
      </c>
      <c r="C537" s="49" t="s">
        <v>1033</v>
      </c>
      <c r="D537" s="69" t="s">
        <v>1166</v>
      </c>
      <c r="E537" s="49" t="s">
        <v>40</v>
      </c>
      <c r="F537" s="49" t="s">
        <v>21</v>
      </c>
      <c r="G537" s="48">
        <v>0</v>
      </c>
      <c r="H537" s="70"/>
      <c r="I537" s="49"/>
    </row>
    <row r="538" spans="1:9" ht="204.75">
      <c r="A538" s="4">
        <v>537</v>
      </c>
      <c r="B538" s="4">
        <f>ROUNDUP(A538/12,0)</f>
        <v>45</v>
      </c>
      <c r="C538" s="49" t="s">
        <v>1033</v>
      </c>
      <c r="D538" s="69" t="s">
        <v>1166</v>
      </c>
      <c r="E538" s="49" t="s">
        <v>41</v>
      </c>
      <c r="F538" s="49" t="s">
        <v>22</v>
      </c>
      <c r="G538" s="48">
        <v>0</v>
      </c>
      <c r="H538" s="70"/>
      <c r="I538" s="49"/>
    </row>
    <row r="539" spans="1:9" ht="204.75">
      <c r="A539" s="4">
        <v>538</v>
      </c>
      <c r="B539" s="4">
        <f>ROUNDUP(A539/12,0)</f>
        <v>45</v>
      </c>
      <c r="C539" s="49" t="s">
        <v>1033</v>
      </c>
      <c r="D539" s="69" t="s">
        <v>1166</v>
      </c>
      <c r="E539" s="49" t="s">
        <v>42</v>
      </c>
      <c r="F539" s="49" t="s">
        <v>23</v>
      </c>
      <c r="G539" s="48">
        <v>0</v>
      </c>
      <c r="H539" s="70"/>
      <c r="I539" s="49"/>
    </row>
    <row r="540" spans="1:9" ht="204.75">
      <c r="A540" s="4">
        <v>539</v>
      </c>
      <c r="B540" s="4">
        <f>ROUNDUP(A540/12,0)</f>
        <v>45</v>
      </c>
      <c r="C540" s="49" t="s">
        <v>1033</v>
      </c>
      <c r="D540" s="69" t="s">
        <v>1166</v>
      </c>
      <c r="E540" s="49" t="s">
        <v>43</v>
      </c>
      <c r="F540" s="49" t="s">
        <v>24</v>
      </c>
      <c r="G540" s="48">
        <v>0</v>
      </c>
      <c r="H540" s="70"/>
      <c r="I540" s="49"/>
    </row>
    <row r="541" spans="1:9" ht="204.75">
      <c r="A541" s="4">
        <v>540</v>
      </c>
      <c r="B541" s="4">
        <f>ROUNDUP(A541/12,0)</f>
        <v>45</v>
      </c>
      <c r="C541" s="49" t="s">
        <v>1033</v>
      </c>
      <c r="D541" s="69" t="s">
        <v>1166</v>
      </c>
      <c r="E541" s="49" t="s">
        <v>44</v>
      </c>
      <c r="F541" s="49" t="s">
        <v>25</v>
      </c>
      <c r="G541" s="48">
        <v>0</v>
      </c>
      <c r="H541" s="70"/>
      <c r="I541" s="49"/>
    </row>
    <row r="542" spans="1:9" ht="126">
      <c r="A542" s="4">
        <v>541</v>
      </c>
      <c r="B542" s="4">
        <f>ROUNDUP(A542/12,0)</f>
        <v>46</v>
      </c>
      <c r="C542" s="49" t="s">
        <v>1055</v>
      </c>
      <c r="D542" s="69" t="s">
        <v>1177</v>
      </c>
      <c r="E542" s="49" t="s">
        <v>34</v>
      </c>
      <c r="F542" s="49" t="s">
        <v>14</v>
      </c>
      <c r="G542" s="48">
        <v>0</v>
      </c>
      <c r="H542" s="70"/>
      <c r="I542" s="49"/>
    </row>
    <row r="543" spans="1:9" ht="126">
      <c r="A543" s="4">
        <v>542</v>
      </c>
      <c r="B543" s="4">
        <f>ROUNDUP(A543/12,0)</f>
        <v>46</v>
      </c>
      <c r="C543" s="49" t="s">
        <v>1055</v>
      </c>
      <c r="D543" s="69" t="s">
        <v>1177</v>
      </c>
      <c r="E543" s="49" t="s">
        <v>35</v>
      </c>
      <c r="F543" s="49" t="s">
        <v>15</v>
      </c>
      <c r="G543" s="48">
        <v>0</v>
      </c>
      <c r="H543" s="70"/>
      <c r="I543" s="49"/>
    </row>
    <row r="544" spans="1:9" ht="126">
      <c r="A544" s="4">
        <v>543</v>
      </c>
      <c r="B544" s="4">
        <f>ROUNDUP(A544/12,0)</f>
        <v>46</v>
      </c>
      <c r="C544" s="49" t="s">
        <v>1055</v>
      </c>
      <c r="D544" s="69" t="s">
        <v>1177</v>
      </c>
      <c r="E544" s="49" t="s">
        <v>36</v>
      </c>
      <c r="F544" s="49" t="s">
        <v>16</v>
      </c>
      <c r="G544" s="48">
        <v>0</v>
      </c>
      <c r="H544" s="70"/>
      <c r="I544" s="49"/>
    </row>
    <row r="545" spans="1:9" ht="126">
      <c r="A545" s="4">
        <v>544</v>
      </c>
      <c r="B545" s="4">
        <f>ROUNDUP(A545/12,0)</f>
        <v>46</v>
      </c>
      <c r="C545" s="49" t="s">
        <v>1055</v>
      </c>
      <c r="D545" s="69" t="s">
        <v>1177</v>
      </c>
      <c r="E545" s="49" t="s">
        <v>37</v>
      </c>
      <c r="F545" s="49" t="s">
        <v>17</v>
      </c>
      <c r="G545" s="48">
        <v>1</v>
      </c>
      <c r="H545" s="70">
        <v>46001</v>
      </c>
      <c r="I545" s="49" t="s">
        <v>1056</v>
      </c>
    </row>
    <row r="546" spans="1:9" ht="126">
      <c r="A546" s="4">
        <v>545</v>
      </c>
      <c r="B546" s="4">
        <f>ROUNDUP(A546/12,0)</f>
        <v>46</v>
      </c>
      <c r="C546" s="49" t="s">
        <v>1055</v>
      </c>
      <c r="D546" s="69" t="s">
        <v>1177</v>
      </c>
      <c r="E546" s="49" t="s">
        <v>38</v>
      </c>
      <c r="F546" s="49" t="s">
        <v>18</v>
      </c>
      <c r="G546" s="48">
        <v>0</v>
      </c>
      <c r="H546" s="70"/>
      <c r="I546" s="49"/>
    </row>
    <row r="547" spans="1:9" ht="126">
      <c r="A547" s="4">
        <v>546</v>
      </c>
      <c r="B547" s="4">
        <f>ROUNDUP(A547/12,0)</f>
        <v>46</v>
      </c>
      <c r="C547" s="49" t="s">
        <v>1055</v>
      </c>
      <c r="D547" s="69" t="s">
        <v>1177</v>
      </c>
      <c r="E547" s="49" t="s">
        <v>39</v>
      </c>
      <c r="F547" s="49" t="s">
        <v>19</v>
      </c>
      <c r="G547" s="48">
        <v>0</v>
      </c>
      <c r="H547" s="70"/>
      <c r="I547" s="49"/>
    </row>
    <row r="548" spans="1:9" ht="126">
      <c r="A548" s="4">
        <v>547</v>
      </c>
      <c r="B548" s="4">
        <f>ROUNDUP(A548/12,0)</f>
        <v>46</v>
      </c>
      <c r="C548" s="49" t="s">
        <v>1055</v>
      </c>
      <c r="D548" s="69" t="s">
        <v>1177</v>
      </c>
      <c r="E548" s="49" t="s">
        <v>40</v>
      </c>
      <c r="F548" s="49" t="s">
        <v>20</v>
      </c>
      <c r="G548" s="48">
        <v>0</v>
      </c>
      <c r="H548" s="70"/>
      <c r="I548" s="49"/>
    </row>
    <row r="549" spans="1:9" ht="126">
      <c r="A549" s="4">
        <v>548</v>
      </c>
      <c r="B549" s="4">
        <f>ROUNDUP(A549/12,0)</f>
        <v>46</v>
      </c>
      <c r="C549" s="49" t="s">
        <v>1055</v>
      </c>
      <c r="D549" s="69" t="s">
        <v>1177</v>
      </c>
      <c r="E549" s="49" t="s">
        <v>40</v>
      </c>
      <c r="F549" s="49" t="s">
        <v>21</v>
      </c>
      <c r="G549" s="48">
        <v>0</v>
      </c>
      <c r="H549" s="70"/>
      <c r="I549" s="49"/>
    </row>
    <row r="550" spans="1:9" ht="126">
      <c r="A550" s="4">
        <v>549</v>
      </c>
      <c r="B550" s="4">
        <f>ROUNDUP(A550/12,0)</f>
        <v>46</v>
      </c>
      <c r="C550" s="49" t="s">
        <v>1055</v>
      </c>
      <c r="D550" s="69" t="s">
        <v>1177</v>
      </c>
      <c r="E550" s="49" t="s">
        <v>41</v>
      </c>
      <c r="F550" s="49" t="s">
        <v>22</v>
      </c>
      <c r="G550" s="48">
        <v>0</v>
      </c>
      <c r="H550" s="70"/>
      <c r="I550" s="49"/>
    </row>
    <row r="551" spans="1:9" ht="126">
      <c r="A551" s="4">
        <v>550</v>
      </c>
      <c r="B551" s="4">
        <f>ROUNDUP(A551/12,0)</f>
        <v>46</v>
      </c>
      <c r="C551" s="49" t="s">
        <v>1055</v>
      </c>
      <c r="D551" s="69" t="s">
        <v>1177</v>
      </c>
      <c r="E551" s="49" t="s">
        <v>42</v>
      </c>
      <c r="F551" s="49" t="s">
        <v>23</v>
      </c>
      <c r="G551" s="48">
        <v>0</v>
      </c>
      <c r="H551" s="70"/>
      <c r="I551" s="49"/>
    </row>
    <row r="552" spans="1:9" ht="126">
      <c r="A552" s="4">
        <v>551</v>
      </c>
      <c r="B552" s="4">
        <f>ROUNDUP(A552/12,0)</f>
        <v>46</v>
      </c>
      <c r="C552" s="49" t="s">
        <v>1055</v>
      </c>
      <c r="D552" s="69" t="s">
        <v>1177</v>
      </c>
      <c r="E552" s="49" t="s">
        <v>43</v>
      </c>
      <c r="F552" s="49" t="s">
        <v>24</v>
      </c>
      <c r="G552" s="48">
        <v>0</v>
      </c>
      <c r="H552" s="70"/>
      <c r="I552" s="49"/>
    </row>
    <row r="553" spans="1:9" ht="126">
      <c r="A553" s="4">
        <v>552</v>
      </c>
      <c r="B553" s="4">
        <f>ROUNDUP(A553/12,0)</f>
        <v>46</v>
      </c>
      <c r="C553" s="49" t="s">
        <v>1055</v>
      </c>
      <c r="D553" s="69" t="s">
        <v>1177</v>
      </c>
      <c r="E553" s="49" t="s">
        <v>44</v>
      </c>
      <c r="F553" s="49" t="s">
        <v>25</v>
      </c>
      <c r="G553" s="48">
        <v>0</v>
      </c>
      <c r="H553" s="70"/>
      <c r="I553" s="49"/>
    </row>
    <row r="554" spans="1:9" ht="236.25">
      <c r="A554" s="4">
        <v>553</v>
      </c>
      <c r="B554" s="4">
        <f>ROUNDUP(A554/12,0)</f>
        <v>47</v>
      </c>
      <c r="C554" s="49" t="s">
        <v>1032</v>
      </c>
      <c r="D554" s="69" t="s">
        <v>1165</v>
      </c>
      <c r="E554" s="49" t="s">
        <v>34</v>
      </c>
      <c r="F554" s="49" t="s">
        <v>14</v>
      </c>
      <c r="G554" s="48">
        <v>0</v>
      </c>
      <c r="H554" s="70"/>
      <c r="I554" s="49"/>
    </row>
    <row r="555" spans="1:9" ht="236.25">
      <c r="A555" s="4">
        <v>554</v>
      </c>
      <c r="B555" s="4">
        <f>ROUNDUP(A555/12,0)</f>
        <v>47</v>
      </c>
      <c r="C555" s="49" t="s">
        <v>1032</v>
      </c>
      <c r="D555" s="69" t="s">
        <v>1165</v>
      </c>
      <c r="E555" s="49" t="s">
        <v>35</v>
      </c>
      <c r="F555" s="49" t="s">
        <v>15</v>
      </c>
      <c r="G555" s="48">
        <v>0</v>
      </c>
      <c r="H555" s="70"/>
      <c r="I555" s="49"/>
    </row>
    <row r="556" spans="1:9" ht="236.25">
      <c r="A556" s="4">
        <v>555</v>
      </c>
      <c r="B556" s="4">
        <f>ROUNDUP(A556/12,0)</f>
        <v>47</v>
      </c>
      <c r="C556" s="49" t="s">
        <v>1032</v>
      </c>
      <c r="D556" s="69" t="s">
        <v>1165</v>
      </c>
      <c r="E556" s="49" t="s">
        <v>36</v>
      </c>
      <c r="F556" s="49" t="s">
        <v>16</v>
      </c>
      <c r="G556" s="48">
        <v>0</v>
      </c>
      <c r="H556" s="70"/>
      <c r="I556" s="49"/>
    </row>
    <row r="557" spans="1:9" ht="236.25">
      <c r="A557" s="4">
        <v>556</v>
      </c>
      <c r="B557" s="4">
        <f>ROUNDUP(A557/12,0)</f>
        <v>47</v>
      </c>
      <c r="C557" s="49" t="s">
        <v>1032</v>
      </c>
      <c r="D557" s="69" t="s">
        <v>1165</v>
      </c>
      <c r="E557" s="49" t="s">
        <v>37</v>
      </c>
      <c r="F557" s="49" t="s">
        <v>17</v>
      </c>
      <c r="G557" s="48">
        <v>1</v>
      </c>
      <c r="H557" s="70">
        <v>46026</v>
      </c>
      <c r="I557" s="49" t="s">
        <v>70</v>
      </c>
    </row>
    <row r="558" spans="1:9" ht="236.25">
      <c r="A558" s="4">
        <v>557</v>
      </c>
      <c r="B558" s="4">
        <f>ROUNDUP(A558/12,0)</f>
        <v>47</v>
      </c>
      <c r="C558" s="49" t="s">
        <v>1032</v>
      </c>
      <c r="D558" s="69" t="s">
        <v>1165</v>
      </c>
      <c r="E558" s="49" t="s">
        <v>38</v>
      </c>
      <c r="F558" s="49" t="s">
        <v>18</v>
      </c>
      <c r="G558" s="48">
        <v>0</v>
      </c>
      <c r="H558" s="70"/>
      <c r="I558" s="49"/>
    </row>
    <row r="559" spans="1:9" ht="236.25">
      <c r="A559" s="4">
        <v>558</v>
      </c>
      <c r="B559" s="4">
        <f>ROUNDUP(A559/12,0)</f>
        <v>47</v>
      </c>
      <c r="C559" s="49" t="s">
        <v>1032</v>
      </c>
      <c r="D559" s="69" t="s">
        <v>1165</v>
      </c>
      <c r="E559" s="49" t="s">
        <v>39</v>
      </c>
      <c r="F559" s="49" t="s">
        <v>19</v>
      </c>
      <c r="G559" s="48">
        <v>0</v>
      </c>
      <c r="H559" s="70"/>
      <c r="I559" s="49"/>
    </row>
    <row r="560" spans="1:9" ht="236.25">
      <c r="A560" s="4">
        <v>559</v>
      </c>
      <c r="B560" s="4">
        <f>ROUNDUP(A560/12,0)</f>
        <v>47</v>
      </c>
      <c r="C560" s="49" t="s">
        <v>1032</v>
      </c>
      <c r="D560" s="69" t="s">
        <v>1165</v>
      </c>
      <c r="E560" s="49" t="s">
        <v>40</v>
      </c>
      <c r="F560" s="49" t="s">
        <v>20</v>
      </c>
      <c r="G560" s="48">
        <v>0</v>
      </c>
      <c r="H560" s="70"/>
      <c r="I560" s="49"/>
    </row>
    <row r="561" spans="1:9" ht="236.25">
      <c r="A561" s="4">
        <v>560</v>
      </c>
      <c r="B561" s="4">
        <f>ROUNDUP(A561/12,0)</f>
        <v>47</v>
      </c>
      <c r="C561" s="49" t="s">
        <v>1032</v>
      </c>
      <c r="D561" s="69" t="s">
        <v>1165</v>
      </c>
      <c r="E561" s="49" t="s">
        <v>40</v>
      </c>
      <c r="F561" s="49" t="s">
        <v>21</v>
      </c>
      <c r="G561" s="48">
        <v>0</v>
      </c>
      <c r="H561" s="70"/>
      <c r="I561" s="49"/>
    </row>
    <row r="562" spans="1:9" ht="236.25">
      <c r="A562" s="4">
        <v>561</v>
      </c>
      <c r="B562" s="4">
        <f>ROUNDUP(A562/12,0)</f>
        <v>47</v>
      </c>
      <c r="C562" s="49" t="s">
        <v>1032</v>
      </c>
      <c r="D562" s="69" t="s">
        <v>1165</v>
      </c>
      <c r="E562" s="49" t="s">
        <v>41</v>
      </c>
      <c r="F562" s="49" t="s">
        <v>22</v>
      </c>
      <c r="G562" s="48">
        <v>0</v>
      </c>
      <c r="H562" s="70"/>
      <c r="I562" s="49"/>
    </row>
    <row r="563" spans="1:9" ht="236.25">
      <c r="A563" s="4">
        <v>562</v>
      </c>
      <c r="B563" s="4">
        <f>ROUNDUP(A563/12,0)</f>
        <v>47</v>
      </c>
      <c r="C563" s="49" t="s">
        <v>1032</v>
      </c>
      <c r="D563" s="69" t="s">
        <v>1165</v>
      </c>
      <c r="E563" s="49" t="s">
        <v>42</v>
      </c>
      <c r="F563" s="49" t="s">
        <v>23</v>
      </c>
      <c r="G563" s="48">
        <v>0</v>
      </c>
      <c r="H563" s="70"/>
      <c r="I563" s="49"/>
    </row>
    <row r="564" spans="1:9" ht="236.25">
      <c r="A564" s="4">
        <v>563</v>
      </c>
      <c r="B564" s="4">
        <f>ROUNDUP(A564/12,0)</f>
        <v>47</v>
      </c>
      <c r="C564" s="49" t="s">
        <v>1032</v>
      </c>
      <c r="D564" s="69" t="s">
        <v>1165</v>
      </c>
      <c r="E564" s="49" t="s">
        <v>43</v>
      </c>
      <c r="F564" s="49" t="s">
        <v>24</v>
      </c>
      <c r="G564" s="48">
        <v>0</v>
      </c>
      <c r="H564" s="70"/>
      <c r="I564" s="49"/>
    </row>
    <row r="565" spans="1:9" ht="236.25">
      <c r="A565" s="4">
        <v>564</v>
      </c>
      <c r="B565" s="4">
        <f>ROUNDUP(A565/12,0)</f>
        <v>47</v>
      </c>
      <c r="C565" s="49" t="s">
        <v>1032</v>
      </c>
      <c r="D565" s="69" t="s">
        <v>1165</v>
      </c>
      <c r="E565" s="49" t="s">
        <v>44</v>
      </c>
      <c r="F565" s="49" t="s">
        <v>25</v>
      </c>
      <c r="G565" s="48">
        <v>0</v>
      </c>
      <c r="H565" s="70"/>
      <c r="I565" s="49"/>
    </row>
    <row r="566" spans="1:9" ht="409.5">
      <c r="A566" s="4">
        <v>565</v>
      </c>
      <c r="B566" s="4">
        <f>ROUNDUP(A566/12,0)</f>
        <v>48</v>
      </c>
      <c r="C566" s="49" t="s">
        <v>1030</v>
      </c>
      <c r="D566" s="69" t="s">
        <v>1164</v>
      </c>
      <c r="E566" s="49" t="s">
        <v>34</v>
      </c>
      <c r="F566" s="49" t="s">
        <v>14</v>
      </c>
      <c r="G566" s="48">
        <v>0</v>
      </c>
      <c r="H566" s="70"/>
      <c r="I566" s="49"/>
    </row>
    <row r="567" spans="1:9" ht="409.5">
      <c r="A567" s="4">
        <v>566</v>
      </c>
      <c r="B567" s="4">
        <f>ROUNDUP(A567/12,0)</f>
        <v>48</v>
      </c>
      <c r="C567" s="49" t="s">
        <v>1030</v>
      </c>
      <c r="D567" s="69" t="s">
        <v>1164</v>
      </c>
      <c r="E567" s="49" t="s">
        <v>35</v>
      </c>
      <c r="F567" s="49" t="s">
        <v>15</v>
      </c>
      <c r="G567" s="48">
        <v>0</v>
      </c>
      <c r="H567" s="70"/>
      <c r="I567" s="49"/>
    </row>
    <row r="568" spans="1:9" ht="409.5">
      <c r="A568" s="4">
        <v>567</v>
      </c>
      <c r="B568" s="4">
        <f>ROUNDUP(A568/12,0)</f>
        <v>48</v>
      </c>
      <c r="C568" s="49" t="s">
        <v>1030</v>
      </c>
      <c r="D568" s="69" t="s">
        <v>1164</v>
      </c>
      <c r="E568" s="49" t="s">
        <v>36</v>
      </c>
      <c r="F568" s="49" t="s">
        <v>16</v>
      </c>
      <c r="G568" s="48">
        <v>0</v>
      </c>
      <c r="H568" s="70"/>
      <c r="I568" s="49"/>
    </row>
    <row r="569" spans="1:9" ht="409.5">
      <c r="A569" s="4">
        <v>568</v>
      </c>
      <c r="B569" s="4">
        <f>ROUNDUP(A569/12,0)</f>
        <v>48</v>
      </c>
      <c r="C569" s="49" t="s">
        <v>1030</v>
      </c>
      <c r="D569" s="69" t="s">
        <v>1164</v>
      </c>
      <c r="E569" s="49" t="s">
        <v>37</v>
      </c>
      <c r="F569" s="49" t="s">
        <v>17</v>
      </c>
      <c r="G569" s="48">
        <v>1</v>
      </c>
      <c r="H569" s="70">
        <v>46029</v>
      </c>
      <c r="I569" s="49" t="s">
        <v>1031</v>
      </c>
    </row>
    <row r="570" spans="1:9" ht="409.5">
      <c r="A570" s="4">
        <v>569</v>
      </c>
      <c r="B570" s="4">
        <f>ROUNDUP(A570/12,0)</f>
        <v>48</v>
      </c>
      <c r="C570" s="49" t="s">
        <v>1030</v>
      </c>
      <c r="D570" s="69" t="s">
        <v>1164</v>
      </c>
      <c r="E570" s="49" t="s">
        <v>38</v>
      </c>
      <c r="F570" s="49" t="s">
        <v>18</v>
      </c>
      <c r="G570" s="48">
        <v>0</v>
      </c>
      <c r="H570" s="70"/>
      <c r="I570" s="49"/>
    </row>
    <row r="571" spans="1:9" ht="409.5">
      <c r="A571" s="4">
        <v>570</v>
      </c>
      <c r="B571" s="4">
        <f>ROUNDUP(A571/12,0)</f>
        <v>48</v>
      </c>
      <c r="C571" s="49" t="s">
        <v>1030</v>
      </c>
      <c r="D571" s="69" t="s">
        <v>1164</v>
      </c>
      <c r="E571" s="49" t="s">
        <v>39</v>
      </c>
      <c r="F571" s="49" t="s">
        <v>19</v>
      </c>
      <c r="G571" s="48">
        <v>0</v>
      </c>
      <c r="H571" s="70"/>
      <c r="I571" s="49"/>
    </row>
    <row r="572" spans="1:9" ht="409.5">
      <c r="A572" s="4">
        <v>571</v>
      </c>
      <c r="B572" s="4">
        <f>ROUNDUP(A572/12,0)</f>
        <v>48</v>
      </c>
      <c r="C572" s="49" t="s">
        <v>1030</v>
      </c>
      <c r="D572" s="69" t="s">
        <v>1164</v>
      </c>
      <c r="E572" s="49" t="s">
        <v>40</v>
      </c>
      <c r="F572" s="49" t="s">
        <v>20</v>
      </c>
      <c r="G572" s="48">
        <v>0</v>
      </c>
      <c r="H572" s="70"/>
      <c r="I572" s="49"/>
    </row>
    <row r="573" spans="1:9" ht="409.5">
      <c r="A573" s="4">
        <v>572</v>
      </c>
      <c r="B573" s="4">
        <f>ROUNDUP(A573/12,0)</f>
        <v>48</v>
      </c>
      <c r="C573" s="49" t="s">
        <v>1030</v>
      </c>
      <c r="D573" s="69" t="s">
        <v>1164</v>
      </c>
      <c r="E573" s="49" t="s">
        <v>40</v>
      </c>
      <c r="F573" s="49" t="s">
        <v>21</v>
      </c>
      <c r="G573" s="48">
        <v>0</v>
      </c>
      <c r="H573" s="70"/>
      <c r="I573" s="49"/>
    </row>
    <row r="574" spans="1:9" ht="409.5">
      <c r="A574" s="4">
        <v>573</v>
      </c>
      <c r="B574" s="4">
        <f>ROUNDUP(A574/12,0)</f>
        <v>48</v>
      </c>
      <c r="C574" s="49" t="s">
        <v>1030</v>
      </c>
      <c r="D574" s="69" t="s">
        <v>1164</v>
      </c>
      <c r="E574" s="49" t="s">
        <v>41</v>
      </c>
      <c r="F574" s="49" t="s">
        <v>22</v>
      </c>
      <c r="G574" s="48">
        <v>0</v>
      </c>
      <c r="H574" s="70"/>
      <c r="I574" s="49"/>
    </row>
    <row r="575" spans="1:9" ht="409.5">
      <c r="A575" s="4">
        <v>574</v>
      </c>
      <c r="B575" s="4">
        <f>ROUNDUP(A575/12,0)</f>
        <v>48</v>
      </c>
      <c r="C575" s="49" t="s">
        <v>1030</v>
      </c>
      <c r="D575" s="69" t="s">
        <v>1164</v>
      </c>
      <c r="E575" s="49" t="s">
        <v>42</v>
      </c>
      <c r="F575" s="49" t="s">
        <v>23</v>
      </c>
      <c r="G575" s="48">
        <v>0</v>
      </c>
      <c r="H575" s="70"/>
      <c r="I575" s="49"/>
    </row>
    <row r="576" spans="1:9" ht="409.5">
      <c r="A576" s="4">
        <v>575</v>
      </c>
      <c r="B576" s="4">
        <f>ROUNDUP(A576/12,0)</f>
        <v>48</v>
      </c>
      <c r="C576" s="49" t="s">
        <v>1030</v>
      </c>
      <c r="D576" s="69" t="s">
        <v>1164</v>
      </c>
      <c r="E576" s="49" t="s">
        <v>43</v>
      </c>
      <c r="F576" s="49" t="s">
        <v>24</v>
      </c>
      <c r="G576" s="48">
        <v>0</v>
      </c>
      <c r="H576" s="70"/>
      <c r="I576" s="49"/>
    </row>
    <row r="577" spans="1:9" ht="409.5">
      <c r="A577" s="4">
        <v>576</v>
      </c>
      <c r="B577" s="4">
        <f>ROUNDUP(A577/12,0)</f>
        <v>48</v>
      </c>
      <c r="C577" s="49" t="s">
        <v>1030</v>
      </c>
      <c r="D577" s="69" t="s">
        <v>1164</v>
      </c>
      <c r="E577" s="49" t="s">
        <v>44</v>
      </c>
      <c r="F577" s="49" t="s">
        <v>25</v>
      </c>
      <c r="G577" s="48">
        <v>0</v>
      </c>
      <c r="H577" s="70"/>
      <c r="I577" s="49"/>
    </row>
    <row r="578" spans="1:9" ht="157.5">
      <c r="A578" s="4">
        <v>577</v>
      </c>
      <c r="B578" s="4">
        <f>ROUNDUP(A578/12,0)</f>
        <v>49</v>
      </c>
      <c r="C578" s="49" t="s">
        <v>1045</v>
      </c>
      <c r="D578" s="69" t="s">
        <v>1172</v>
      </c>
      <c r="E578" s="49" t="s">
        <v>34</v>
      </c>
      <c r="F578" s="49" t="s">
        <v>14</v>
      </c>
      <c r="G578" s="48">
        <v>0</v>
      </c>
      <c r="H578" s="70"/>
      <c r="I578" s="49"/>
    </row>
    <row r="579" spans="1:9" ht="157.5">
      <c r="A579" s="4">
        <v>578</v>
      </c>
      <c r="B579" s="4">
        <f>ROUNDUP(A579/12,0)</f>
        <v>49</v>
      </c>
      <c r="C579" s="49" t="s">
        <v>1045</v>
      </c>
      <c r="D579" s="69" t="s">
        <v>1172</v>
      </c>
      <c r="E579" s="49" t="s">
        <v>35</v>
      </c>
      <c r="F579" s="49" t="s">
        <v>15</v>
      </c>
      <c r="G579" s="48">
        <v>0</v>
      </c>
      <c r="H579" s="70"/>
      <c r="I579" s="49"/>
    </row>
    <row r="580" spans="1:9" ht="157.5">
      <c r="A580" s="4">
        <v>579</v>
      </c>
      <c r="B580" s="4">
        <f>ROUNDUP(A580/12,0)</f>
        <v>49</v>
      </c>
      <c r="C580" s="49" t="s">
        <v>1045</v>
      </c>
      <c r="D580" s="69" t="s">
        <v>1172</v>
      </c>
      <c r="E580" s="49" t="s">
        <v>36</v>
      </c>
      <c r="F580" s="49" t="s">
        <v>16</v>
      </c>
      <c r="G580" s="48">
        <v>0</v>
      </c>
      <c r="H580" s="70"/>
      <c r="I580" s="49"/>
    </row>
    <row r="581" spans="1:9" ht="157.5">
      <c r="A581" s="4">
        <v>580</v>
      </c>
      <c r="B581" s="4">
        <f>ROUNDUP(A581/12,0)</f>
        <v>49</v>
      </c>
      <c r="C581" s="49" t="s">
        <v>1045</v>
      </c>
      <c r="D581" s="69" t="s">
        <v>1172</v>
      </c>
      <c r="E581" s="49" t="s">
        <v>37</v>
      </c>
      <c r="F581" s="49" t="s">
        <v>17</v>
      </c>
      <c r="G581" s="48">
        <v>1</v>
      </c>
      <c r="H581" s="70">
        <v>46018</v>
      </c>
      <c r="I581" s="49" t="s">
        <v>1046</v>
      </c>
    </row>
    <row r="582" spans="1:9" ht="157.5">
      <c r="A582" s="4">
        <v>581</v>
      </c>
      <c r="B582" s="4">
        <f>ROUNDUP(A582/12,0)</f>
        <v>49</v>
      </c>
      <c r="C582" s="49" t="s">
        <v>1045</v>
      </c>
      <c r="D582" s="69" t="s">
        <v>1172</v>
      </c>
      <c r="E582" s="49" t="s">
        <v>38</v>
      </c>
      <c r="F582" s="49" t="s">
        <v>18</v>
      </c>
      <c r="G582" s="48">
        <v>0</v>
      </c>
      <c r="H582" s="70"/>
      <c r="I582" s="49"/>
    </row>
    <row r="583" spans="1:9" ht="157.5">
      <c r="A583" s="4">
        <v>582</v>
      </c>
      <c r="B583" s="4">
        <f>ROUNDUP(A583/12,0)</f>
        <v>49</v>
      </c>
      <c r="C583" s="49" t="s">
        <v>1045</v>
      </c>
      <c r="D583" s="69" t="s">
        <v>1172</v>
      </c>
      <c r="E583" s="49" t="s">
        <v>39</v>
      </c>
      <c r="F583" s="49" t="s">
        <v>19</v>
      </c>
      <c r="G583" s="48">
        <v>0</v>
      </c>
      <c r="H583" s="70"/>
      <c r="I583" s="49"/>
    </row>
    <row r="584" spans="1:9" ht="157.5">
      <c r="A584" s="4">
        <v>583</v>
      </c>
      <c r="B584" s="4">
        <f>ROUNDUP(A584/12,0)</f>
        <v>49</v>
      </c>
      <c r="C584" s="49" t="s">
        <v>1045</v>
      </c>
      <c r="D584" s="69" t="s">
        <v>1172</v>
      </c>
      <c r="E584" s="49" t="s">
        <v>40</v>
      </c>
      <c r="F584" s="49" t="s">
        <v>20</v>
      </c>
      <c r="G584" s="48">
        <v>0</v>
      </c>
      <c r="H584" s="70"/>
      <c r="I584" s="49"/>
    </row>
    <row r="585" spans="1:9" ht="157.5">
      <c r="A585" s="4">
        <v>584</v>
      </c>
      <c r="B585" s="4">
        <f>ROUNDUP(A585/12,0)</f>
        <v>49</v>
      </c>
      <c r="C585" s="49" t="s">
        <v>1045</v>
      </c>
      <c r="D585" s="69" t="s">
        <v>1172</v>
      </c>
      <c r="E585" s="49" t="s">
        <v>40</v>
      </c>
      <c r="F585" s="49" t="s">
        <v>21</v>
      </c>
      <c r="G585" s="48">
        <v>0</v>
      </c>
      <c r="H585" s="70"/>
      <c r="I585" s="49"/>
    </row>
    <row r="586" spans="1:9" ht="157.5">
      <c r="A586" s="4">
        <v>585</v>
      </c>
      <c r="B586" s="4">
        <f>ROUNDUP(A586/12,0)</f>
        <v>49</v>
      </c>
      <c r="C586" s="49" t="s">
        <v>1045</v>
      </c>
      <c r="D586" s="69" t="s">
        <v>1172</v>
      </c>
      <c r="E586" s="49" t="s">
        <v>41</v>
      </c>
      <c r="F586" s="49" t="s">
        <v>22</v>
      </c>
      <c r="G586" s="48">
        <v>0</v>
      </c>
      <c r="H586" s="70"/>
      <c r="I586" s="49"/>
    </row>
    <row r="587" spans="1:9" ht="157.5">
      <c r="A587" s="4">
        <v>586</v>
      </c>
      <c r="B587" s="4">
        <f>ROUNDUP(A587/12,0)</f>
        <v>49</v>
      </c>
      <c r="C587" s="49" t="s">
        <v>1045</v>
      </c>
      <c r="D587" s="69" t="s">
        <v>1172</v>
      </c>
      <c r="E587" s="49" t="s">
        <v>42</v>
      </c>
      <c r="F587" s="49" t="s">
        <v>23</v>
      </c>
      <c r="G587" s="48">
        <v>0</v>
      </c>
      <c r="H587" s="70"/>
      <c r="I587" s="49"/>
    </row>
    <row r="588" spans="1:9" ht="157.5">
      <c r="A588" s="4">
        <v>587</v>
      </c>
      <c r="B588" s="4">
        <f>ROUNDUP(A588/12,0)</f>
        <v>49</v>
      </c>
      <c r="C588" s="49" t="s">
        <v>1045</v>
      </c>
      <c r="D588" s="69" t="s">
        <v>1172</v>
      </c>
      <c r="E588" s="49" t="s">
        <v>43</v>
      </c>
      <c r="F588" s="49" t="s">
        <v>24</v>
      </c>
      <c r="G588" s="48">
        <v>0</v>
      </c>
      <c r="H588" s="70"/>
      <c r="I588" s="49"/>
    </row>
    <row r="589" spans="1:9" ht="157.5">
      <c r="A589" s="4">
        <v>588</v>
      </c>
      <c r="B589" s="4">
        <f>ROUNDUP(A589/12,0)</f>
        <v>49</v>
      </c>
      <c r="C589" s="49" t="s">
        <v>1045</v>
      </c>
      <c r="D589" s="69" t="s">
        <v>1172</v>
      </c>
      <c r="E589" s="49" t="s">
        <v>44</v>
      </c>
      <c r="F589" s="49" t="s">
        <v>25</v>
      </c>
      <c r="G589" s="48">
        <v>0</v>
      </c>
      <c r="H589" s="70"/>
      <c r="I589" s="49"/>
    </row>
  </sheetData>
  <autoFilter ref="A1:I109" xr:uid="{00000000-0001-0000-01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E91"/>
  <sheetViews>
    <sheetView showGridLines="0" workbookViewId="0">
      <pane xSplit="3" topLeftCell="D1" activePane="topRight" state="frozen"/>
      <selection pane="topRight" activeCell="C5" sqref="C5"/>
    </sheetView>
  </sheetViews>
  <sheetFormatPr defaultRowHeight="14.25"/>
  <cols>
    <col min="1" max="1" width="4" style="34" customWidth="1"/>
    <col min="2" max="2" width="23.625" style="34" bestFit="1" customWidth="1"/>
    <col min="3" max="3" width="80.9375" style="34" bestFit="1" customWidth="1"/>
    <col min="4" max="4" width="11.6875" style="34" customWidth="1"/>
    <col min="5" max="16" width="8.6875" style="34" customWidth="1"/>
    <col min="17" max="28" width="15" style="34" customWidth="1"/>
    <col min="29" max="16384" width="9" style="34"/>
  </cols>
  <sheetData>
    <row r="1" spans="1:31" ht="26" customHeight="1">
      <c r="A1" s="61" t="s">
        <v>1137</v>
      </c>
      <c r="B1" s="62"/>
      <c r="C1" s="62"/>
      <c r="D1" s="62"/>
      <c r="E1" s="62"/>
      <c r="F1" s="62"/>
      <c r="G1" s="62"/>
      <c r="H1" s="62"/>
      <c r="I1" s="62"/>
      <c r="J1" s="62"/>
      <c r="K1" s="62"/>
      <c r="L1" s="62"/>
    </row>
    <row r="2" spans="1:31" ht="28.5">
      <c r="A2" s="35" t="s">
        <v>27</v>
      </c>
      <c r="B2" s="36" t="s">
        <v>1099</v>
      </c>
      <c r="C2" s="36" t="s">
        <v>28</v>
      </c>
      <c r="D2" s="36" t="s">
        <v>4</v>
      </c>
      <c r="E2" s="36" t="s">
        <v>14</v>
      </c>
      <c r="F2" s="36" t="s">
        <v>15</v>
      </c>
      <c r="G2" s="36" t="s">
        <v>16</v>
      </c>
      <c r="H2" s="36" t="s">
        <v>17</v>
      </c>
      <c r="I2" s="36" t="s">
        <v>18</v>
      </c>
      <c r="J2" s="36" t="s">
        <v>19</v>
      </c>
      <c r="K2" s="36" t="s">
        <v>20</v>
      </c>
      <c r="L2" s="36" t="s">
        <v>21</v>
      </c>
      <c r="M2" s="36" t="s">
        <v>22</v>
      </c>
      <c r="N2" s="36" t="s">
        <v>23</v>
      </c>
      <c r="O2" s="36" t="s">
        <v>24</v>
      </c>
      <c r="P2" s="36" t="s">
        <v>25</v>
      </c>
      <c r="Q2" s="36" t="s">
        <v>1138</v>
      </c>
      <c r="R2" s="36" t="s">
        <v>1139</v>
      </c>
      <c r="S2" s="36" t="s">
        <v>1140</v>
      </c>
      <c r="T2" s="36" t="s">
        <v>1141</v>
      </c>
      <c r="U2" s="36" t="s">
        <v>1142</v>
      </c>
      <c r="V2" s="36" t="s">
        <v>1143</v>
      </c>
      <c r="W2" s="36" t="s">
        <v>1144</v>
      </c>
      <c r="X2" s="36" t="s">
        <v>1145</v>
      </c>
      <c r="Y2" s="36" t="s">
        <v>1146</v>
      </c>
      <c r="Z2" s="36" t="s">
        <v>1147</v>
      </c>
      <c r="AA2" s="36" t="s">
        <v>1148</v>
      </c>
      <c r="AB2" s="37" t="s">
        <v>1149</v>
      </c>
      <c r="AD2" s="47" t="s">
        <v>13</v>
      </c>
      <c r="AE2" s="47" t="s">
        <v>1112</v>
      </c>
    </row>
    <row r="3" spans="1:31">
      <c r="A3" s="38" cm="1">
        <f t="array" ref="A3">INDEX(Produção!B$2:B$109,(ROW()-3)*12+1)</f>
        <v>1</v>
      </c>
      <c r="B3" s="39" t="str" cm="1">
        <f t="array" ref="B3">INDEX(Produção!C$2:C$109,(ROW()-3)*12+1)</f>
        <v>Estatística e Probabilidade</v>
      </c>
      <c r="C3" s="39" t="str" cm="1">
        <f t="array" ref="C3">INDEX(Produção!D$2:D$109,(ROW()-3)*12+1)</f>
        <v>Teste de Wilcoxon: quando usar estatística não paramétrica</v>
      </c>
      <c r="D3" s="40">
        <f>SUM($E3:$P3)</f>
        <v>0</v>
      </c>
      <c r="E3" s="41">
        <f>SUMIFS(Produção!$G$2:$G$109,Produção!$B$2:$B$109,$A3,Produção!$F$2:$F$109,E$2)</f>
        <v>0</v>
      </c>
      <c r="F3" s="41">
        <f>SUMIFS(Produção!$G$2:$G$109,Produção!$B$2:$B$109,$A3,Produção!$F$2:$F$109,F$2)</f>
        <v>0</v>
      </c>
      <c r="G3" s="41">
        <f>SUMIFS(Produção!$G$2:$G$109,Produção!$B$2:$B$109,$A3,Produção!$F$2:$F$109,G$2)</f>
        <v>0</v>
      </c>
      <c r="H3" s="41">
        <f>SUMIFS(Produção!$G$2:$G$109,Produção!$B$2:$B$109,$A3,Produção!$F$2:$F$109,H$2)</f>
        <v>0</v>
      </c>
      <c r="I3" s="41">
        <f>SUMIFS(Produção!$G$2:$G$109,Produção!$B$2:$B$109,$A3,Produção!$F$2:$F$109,I$2)</f>
        <v>0</v>
      </c>
      <c r="J3" s="41">
        <f>SUMIFS(Produção!$G$2:$G$109,Produção!$B$2:$B$109,$A3,Produção!$F$2:$F$109,J$2)</f>
        <v>0</v>
      </c>
      <c r="K3" s="41">
        <f>SUMIFS(Produção!$G$2:$G$109,Produção!$B$2:$B$109,$A3,Produção!$F$2:$F$109,K$2)</f>
        <v>0</v>
      </c>
      <c r="L3" s="41">
        <f>SUMIFS(Produção!$G$2:$G$109,Produção!$B$2:$B$109,$A3,Produção!$F$2:$F$109,L$2)</f>
        <v>0</v>
      </c>
      <c r="M3" s="41">
        <f>SUMIFS(Produção!$G$2:$G$109,Produção!$B$2:$B$109,$A3,Produção!$F$2:$F$109,M$2)</f>
        <v>0</v>
      </c>
      <c r="N3" s="41">
        <f>SUMIFS(Produção!$G$2:$G$109,Produção!$B$2:$B$109,$A3,Produção!$F$2:$F$109,N$2)</f>
        <v>0</v>
      </c>
      <c r="O3" s="41">
        <f>SUMIFS(Produção!$G$2:$G$109,Produção!$B$2:$B$109,$A3,Produção!$F$2:$F$109,O$2)</f>
        <v>0</v>
      </c>
      <c r="P3" s="41">
        <f>SUMIFS(Produção!$G$2:$G$109,Produção!$B$2:$B$109,$A3,Produção!$F$2:$F$109,P$2)</f>
        <v>0</v>
      </c>
      <c r="Q3" s="42" t="str" cm="1">
        <f t="array" ref="Q3">_xlfn.LET(_xlpm.canal,INDEX($E$2:$P$2,COLUMN()-COLUMN($Q$2)+1),_xlpm.pos,SUMPRODUCT((Produção!$B$2:$B$109=$A3)*(Produção!$F$2:$F$109=_xlpm.canal)*ROW(Produção!$I$2:$I$109))-1,IF(_xlpm.pos&lt;1,"-------",IF(INDEX(Produção!$I$2:$I$109,_xlpm.pos)="","-------",INDEX(Produção!$I$2:$I$109,_xlpm.pos))))</f>
        <v>-------</v>
      </c>
      <c r="R3" s="42" t="str" cm="1">
        <f t="array" ref="R3">_xlfn.LET(_xlpm.canal,INDEX($E$2:$P$2,COLUMN()-COLUMN($Q$2)+1),_xlpm.pos,SUMPRODUCT((Produção!$B$2:$B$109=$A3)*(Produção!$F$2:$F$109=_xlpm.canal)*ROW(Produção!$I$2:$I$109))-1,IF(_xlpm.pos&lt;1,"-------",IF(INDEX(Produção!$I$2:$I$109,_xlpm.pos)="","-------",INDEX(Produção!$I$2:$I$109,_xlpm.pos))))</f>
        <v>-------</v>
      </c>
      <c r="S3" s="42" t="str" cm="1">
        <f t="array" ref="S3">_xlfn.LET(_xlpm.canal,INDEX($E$2:$P$2,COLUMN()-COLUMN($Q$2)+1),_xlpm.pos,SUMPRODUCT((Produção!$B$2:$B$109=$A3)*(Produção!$F$2:$F$109=_xlpm.canal)*ROW(Produção!$I$2:$I$109))-1,IF(_xlpm.pos&lt;1,"-------",IF(INDEX(Produção!$I$2:$I$109,_xlpm.pos)="","-------",INDEX(Produção!$I$2:$I$109,_xlpm.pos))))</f>
        <v>-------</v>
      </c>
      <c r="T3" s="42" t="str" cm="1">
        <f t="array" ref="T3">_xlfn.LET(_xlpm.canal,INDEX($E$2:$P$2,COLUMN()-COLUMN($Q$2)+1),_xlpm.pos,SUMPRODUCT((Produção!$B$2:$B$109=$A3)*(Produção!$F$2:$F$109=_xlpm.canal)*ROW(Produção!$I$2:$I$109))-1,IF(_xlpm.pos&lt;1,"-------",IF(INDEX(Produção!$I$2:$I$109,_xlpm.pos)="","-------",INDEX(Produção!$I$2:$I$109,_xlpm.pos))))</f>
        <v>-------</v>
      </c>
      <c r="U3" s="42" t="str" cm="1">
        <f t="array" ref="U3">_xlfn.LET(_xlpm.canal,INDEX($E$2:$P$2,COLUMN()-COLUMN($Q$2)+1),_xlpm.pos,SUMPRODUCT((Produção!$B$2:$B$109=$A3)*(Produção!$F$2:$F$109=_xlpm.canal)*ROW(Produção!$I$2:$I$109))-1,IF(_xlpm.pos&lt;1,"-------",IF(INDEX(Produção!$I$2:$I$109,_xlpm.pos)="","-------",INDEX(Produção!$I$2:$I$109,_xlpm.pos))))</f>
        <v>-------</v>
      </c>
      <c r="V3" s="42" t="str" cm="1">
        <f t="array" ref="V3">_xlfn.LET(_xlpm.canal,INDEX($E$2:$P$2,COLUMN()-COLUMN($Q$2)+1),_xlpm.pos,SUMPRODUCT((Produção!$B$2:$B$109=$A3)*(Produção!$F$2:$F$109=_xlpm.canal)*ROW(Produção!$I$2:$I$109))-1,IF(_xlpm.pos&lt;1,"-------",IF(INDEX(Produção!$I$2:$I$109,_xlpm.pos)="","-------",INDEX(Produção!$I$2:$I$109,_xlpm.pos))))</f>
        <v>-------</v>
      </c>
      <c r="W3" s="42" t="str" cm="1">
        <f t="array" ref="W3">_xlfn.LET(_xlpm.canal,INDEX($E$2:$P$2,COLUMN()-COLUMN($Q$2)+1),_xlpm.pos,SUMPRODUCT((Produção!$B$2:$B$109=$A3)*(Produção!$F$2:$F$109=_xlpm.canal)*ROW(Produção!$I$2:$I$109))-1,IF(_xlpm.pos&lt;1,"-------",IF(INDEX(Produção!$I$2:$I$109,_xlpm.pos)="","-------",INDEX(Produção!$I$2:$I$109,_xlpm.pos))))</f>
        <v>-------</v>
      </c>
      <c r="X3" s="42" t="str" cm="1">
        <f t="array" ref="X3">_xlfn.LET(_xlpm.canal,INDEX($E$2:$P$2,COLUMN()-COLUMN($Q$2)+1),_xlpm.pos,SUMPRODUCT((Produção!$B$2:$B$109=$A3)*(Produção!$F$2:$F$109=_xlpm.canal)*ROW(Produção!$I$2:$I$109))-1,IF(_xlpm.pos&lt;1,"-------",IF(INDEX(Produção!$I$2:$I$109,_xlpm.pos)="","-------",INDEX(Produção!$I$2:$I$109,_xlpm.pos))))</f>
        <v>-------</v>
      </c>
      <c r="Y3" s="42" t="str" cm="1">
        <f t="array" ref="Y3">_xlfn.LET(_xlpm.canal,INDEX($E$2:$P$2,COLUMN()-COLUMN($Q$2)+1),_xlpm.pos,SUMPRODUCT((Produção!$B$2:$B$109=$A3)*(Produção!$F$2:$F$109=_xlpm.canal)*ROW(Produção!$I$2:$I$109))-1,IF(_xlpm.pos&lt;1,"-------",IF(INDEX(Produção!$I$2:$I$109,_xlpm.pos)="","-------",INDEX(Produção!$I$2:$I$109,_xlpm.pos))))</f>
        <v>-------</v>
      </c>
      <c r="Z3" s="42" t="str" cm="1">
        <f t="array" ref="Z3">_xlfn.LET(_xlpm.canal,INDEX($E$2:$P$2,COLUMN()-COLUMN($Q$2)+1),_xlpm.pos,SUMPRODUCT((Produção!$B$2:$B$109=$A3)*(Produção!$F$2:$F$109=_xlpm.canal)*ROW(Produção!$I$2:$I$109))-1,IF(_xlpm.pos&lt;1,"-------",IF(INDEX(Produção!$I$2:$I$109,_xlpm.pos)="","-------",INDEX(Produção!$I$2:$I$109,_xlpm.pos))))</f>
        <v>-------</v>
      </c>
      <c r="AA3" s="42" t="str" cm="1">
        <f t="array" ref="AA3">_xlfn.LET(_xlpm.canal,INDEX($E$2:$P$2,COLUMN()-COLUMN($Q$2)+1),_xlpm.pos,SUMPRODUCT((Produção!$B$2:$B$109=$A3)*(Produção!$F$2:$F$109=_xlpm.canal)*ROW(Produção!$I$2:$I$109))-1,IF(_xlpm.pos&lt;1,"-------",IF(INDEX(Produção!$I$2:$I$109,_xlpm.pos)="","-------",INDEX(Produção!$I$2:$I$109,_xlpm.pos))))</f>
        <v>-------</v>
      </c>
      <c r="AB3" s="42" t="str" cm="1">
        <f t="array" ref="AB3">_xlfn.LET(_xlpm.canal,INDEX($E$2:$P$2,COLUMN()-COLUMN($Q$2)+1),_xlpm.pos,SUMPRODUCT((Produção!$B$2:$B$109=$A3)*(Produção!$F$2:$F$109=_xlpm.canal)*ROW(Produção!$I$2:$I$109))-1,IF(_xlpm.pos&lt;1,"-------",IF(INDEX(Produção!$I$2:$I$109,_xlpm.pos)="","-------",INDEX(Produção!$I$2:$I$109,_xlpm.pos))))</f>
        <v>-------</v>
      </c>
      <c r="AD3" s="34" cm="1">
        <f t="array" ref="AD3">SUMPRODUCT(($Q3:$AB3&lt;&gt;"-------")*1)</f>
        <v>0</v>
      </c>
      <c r="AE3" s="34">
        <f>RANK($D3,$D$3:$D$90)+COUNTIF($D$3:$D3,$D3)-1</f>
        <v>9</v>
      </c>
    </row>
    <row r="4" spans="1:31">
      <c r="A4" s="38" cm="1">
        <f t="array" ref="A4">INDEX(Produção!B$2:B$109,(ROW()-3)*12+1)</f>
        <v>2</v>
      </c>
      <c r="B4" s="39" t="str" cm="1">
        <f t="array" ref="B4">INDEX(Produção!C$2:C$109,(ROW()-3)*12+1)</f>
        <v>Física Clássica</v>
      </c>
      <c r="C4" s="39" t="str" cm="1">
        <f t="array" ref="C4">INDEX(Produção!D$2:D$109,(ROW()-3)*12+1)</f>
        <v>O problema do SAT que todos erraram: paradoxo das moedas e roda de Aristóteles</v>
      </c>
      <c r="D4" s="40">
        <f t="shared" ref="D4:D67" si="0">SUM($E4:$P4)</f>
        <v>5</v>
      </c>
      <c r="E4" s="41">
        <f>SUMIFS(Produção!$G$2:$G$109,Produção!$B$2:$B$109,$A4,Produção!$F$2:$F$109,E$2)</f>
        <v>1</v>
      </c>
      <c r="F4" s="41">
        <f>SUMIFS(Produção!$G$2:$G$109,Produção!$B$2:$B$109,$A4,Produção!$F$2:$F$109,F$2)</f>
        <v>1</v>
      </c>
      <c r="G4" s="41">
        <f>SUMIFS(Produção!$G$2:$G$109,Produção!$B$2:$B$109,$A4,Produção!$F$2:$F$109,G$2)</f>
        <v>1</v>
      </c>
      <c r="H4" s="41">
        <f>SUMIFS(Produção!$G$2:$G$109,Produção!$B$2:$B$109,$A4,Produção!$F$2:$F$109,H$2)</f>
        <v>0</v>
      </c>
      <c r="I4" s="41">
        <f>SUMIFS(Produção!$G$2:$G$109,Produção!$B$2:$B$109,$A4,Produção!$F$2:$F$109,I$2)</f>
        <v>1</v>
      </c>
      <c r="J4" s="41">
        <f>SUMIFS(Produção!$G$2:$G$109,Produção!$B$2:$B$109,$A4,Produção!$F$2:$F$109,J$2)</f>
        <v>0</v>
      </c>
      <c r="K4" s="41">
        <f>SUMIFS(Produção!$G$2:$G$109,Produção!$B$2:$B$109,$A4,Produção!$F$2:$F$109,K$2)</f>
        <v>0</v>
      </c>
      <c r="L4" s="41">
        <f>SUMIFS(Produção!$G$2:$G$109,Produção!$B$2:$B$109,$A4,Produção!$F$2:$F$109,L$2)</f>
        <v>0</v>
      </c>
      <c r="M4" s="41">
        <f>SUMIFS(Produção!$G$2:$G$109,Produção!$B$2:$B$109,$A4,Produção!$F$2:$F$109,M$2)</f>
        <v>1</v>
      </c>
      <c r="N4" s="41">
        <f>SUMIFS(Produção!$G$2:$G$109,Produção!$B$2:$B$109,$A4,Produção!$F$2:$F$109,N$2)</f>
        <v>0</v>
      </c>
      <c r="O4" s="41">
        <f>SUMIFS(Produção!$G$2:$G$109,Produção!$B$2:$B$109,$A4,Produção!$F$2:$F$109,O$2)</f>
        <v>0</v>
      </c>
      <c r="P4" s="41">
        <f>SUMIFS(Produção!$G$2:$G$109,Produção!$B$2:$B$109,$A4,Produção!$F$2:$F$109,P$2)</f>
        <v>0</v>
      </c>
      <c r="Q4" s="42" t="str" cm="1">
        <f t="array" ref="Q4">_xlfn.LET(_xlpm.canal,INDEX($E$2:$P$2,COLUMN()-COLUMN($Q$2)+1),_xlpm.pos,SUMPRODUCT((Produção!$B$2:$B$109=$A4)*(Produção!$F$2:$F$109=_xlpm.canal)*ROW(Produção!$I$2:$I$109))-1,IF(_xlpm.pos&lt;1,"-------",IF(INDEX(Produção!$I$2:$I$109,_xlpm.pos)="","-------",INDEX(Produção!$I$2:$I$109,_xlpm.pos))))</f>
        <v>https://arxiv.org/abs/2512.00123</v>
      </c>
      <c r="R4" s="42" t="str" cm="1">
        <f t="array" ref="R4">_xlfn.LET(_xlpm.canal,INDEX($E$2:$P$2,COLUMN()-COLUMN($Q$2)+1),_xlpm.pos,SUMPRODUCT((Produção!$B$2:$B$109=$A4)*(Produção!$F$2:$F$109=_xlpm.canal)*ROW(Produção!$I$2:$I$109))-1,IF(_xlpm.pos&lt;1,"-------",IF(INDEX(Produção!$I$2:$I$109,_xlpm.pos)="","-------",INDEX(Produção!$I$2:$I$109,_xlpm.pos))))</f>
        <v>https://doi.org/10.1590/1806-9126-RBEF-2025-0401</v>
      </c>
      <c r="S4" s="42" t="str" cm="1">
        <f t="array" ref="S4">_xlfn.LET(_xlpm.canal,INDEX($E$2:$P$2,COLUMN()-COLUMN($Q$2)+1),_xlpm.pos,SUMPRODUCT((Produção!$B$2:$B$109=$A4)*(Produção!$F$2:$F$109=_xlpm.canal)*ROW(Produção!$I$2:$I$109))-1,IF(_xlpm.pos&lt;1,"-------",IF(INDEX(Produção!$I$2:$I$109,_xlpm.pos)="","-------",INDEX(Produção!$I$2:$I$109,_xlpm.pos))))</f>
        <v>-------</v>
      </c>
      <c r="T4" s="42" t="str" cm="1">
        <f t="array" ref="T4">_xlfn.LET(_xlpm.canal,INDEX($E$2:$P$2,COLUMN()-COLUMN($Q$2)+1),_xlpm.pos,SUMPRODUCT((Produção!$B$2:$B$109=$A4)*(Produção!$F$2:$F$109=_xlpm.canal)*ROW(Produção!$I$2:$I$109))-1,IF(_xlpm.pos&lt;1,"-------",IF(INDEX(Produção!$I$2:$I$109,_xlpm.pos)="","-------",INDEX(Produção!$I$2:$I$109,_xlpm.pos))))</f>
        <v>-------</v>
      </c>
      <c r="U4" s="42" t="str" cm="1">
        <f t="array" ref="U4">_xlfn.LET(_xlpm.canal,INDEX($E$2:$P$2,COLUMN()-COLUMN($Q$2)+1),_xlpm.pos,SUMPRODUCT((Produção!$B$2:$B$109=$A4)*(Produção!$F$2:$F$109=_xlpm.canal)*ROW(Produção!$I$2:$I$109))-1,IF(_xlpm.pos&lt;1,"-------",IF(INDEX(Produção!$I$2:$I$109,_xlpm.pos)="","-------",INDEX(Produção!$I$2:$I$109,_xlpm.pos))))</f>
        <v>https://www.tiktok.com/@olsp1982/video/7591487240614858005</v>
      </c>
      <c r="V4" s="42" t="str" cm="1">
        <f t="array" ref="V4">_xlfn.LET(_xlpm.canal,INDEX($E$2:$P$2,COLUMN()-COLUMN($Q$2)+1),_xlpm.pos,SUMPRODUCT((Produção!$B$2:$B$109=$A4)*(Produção!$F$2:$F$109=_xlpm.canal)*ROW(Produção!$I$2:$I$109))-1,IF(_xlpm.pos&lt;1,"-------",IF(INDEX(Produção!$I$2:$I$109,_xlpm.pos)="","-------",INDEX(Produção!$I$2:$I$109,_xlpm.pos))))</f>
        <v>-------</v>
      </c>
      <c r="W4" s="42" t="str" cm="1">
        <f t="array" ref="W4">_xlfn.LET(_xlpm.canal,INDEX($E$2:$P$2,COLUMN()-COLUMN($Q$2)+1),_xlpm.pos,SUMPRODUCT((Produção!$B$2:$B$109=$A4)*(Produção!$F$2:$F$109=_xlpm.canal)*ROW(Produção!$I$2:$I$109))-1,IF(_xlpm.pos&lt;1,"-------",IF(INDEX(Produção!$I$2:$I$109,_xlpm.pos)="","-------",INDEX(Produção!$I$2:$I$109,_xlpm.pos))))</f>
        <v>-------</v>
      </c>
      <c r="X4" s="42" t="str" cm="1">
        <f t="array" ref="X4">_xlfn.LET(_xlpm.canal,INDEX($E$2:$P$2,COLUMN()-COLUMN($Q$2)+1),_xlpm.pos,SUMPRODUCT((Produção!$B$2:$B$109=$A4)*(Produção!$F$2:$F$109=_xlpm.canal)*ROW(Produção!$I$2:$I$109))-1,IF(_xlpm.pos&lt;1,"-------",IF(INDEX(Produção!$I$2:$I$109,_xlpm.pos)="","-------",INDEX(Produção!$I$2:$I$109,_xlpm.pos))))</f>
        <v>-------</v>
      </c>
      <c r="Y4" s="42" t="str" cm="1">
        <f t="array" ref="Y4">_xlfn.LET(_xlpm.canal,INDEX($E$2:$P$2,COLUMN()-COLUMN($Q$2)+1),_xlpm.pos,SUMPRODUCT((Produção!$B$2:$B$109=$A4)*(Produção!$F$2:$F$109=_xlpm.canal)*ROW(Produção!$I$2:$I$109))-1,IF(_xlpm.pos&lt;1,"-------",IF(INDEX(Produção!$I$2:$I$109,_xlpm.pos)="","-------",INDEX(Produção!$I$2:$I$109,_xlpm.pos))))</f>
        <v>-------</v>
      </c>
      <c r="Z4" s="42" t="str" cm="1">
        <f t="array" ref="Z4">_xlfn.LET(_xlpm.canal,INDEX($E$2:$P$2,COLUMN()-COLUMN($Q$2)+1),_xlpm.pos,SUMPRODUCT((Produção!$B$2:$B$109=$A4)*(Produção!$F$2:$F$109=_xlpm.canal)*ROW(Produção!$I$2:$I$109))-1,IF(_xlpm.pos&lt;1,"-------",IF(INDEX(Produção!$I$2:$I$109,_xlpm.pos)="","-------",INDEX(Produção!$I$2:$I$109,_xlpm.pos))))</f>
        <v>-------</v>
      </c>
      <c r="AA4" s="42" t="str" cm="1">
        <f t="array" ref="AA4">_xlfn.LET(_xlpm.canal,INDEX($E$2:$P$2,COLUMN()-COLUMN($Q$2)+1),_xlpm.pos,SUMPRODUCT((Produção!$B$2:$B$109=$A4)*(Produção!$F$2:$F$109=_xlpm.canal)*ROW(Produção!$I$2:$I$109))-1,IF(_xlpm.pos&lt;1,"-------",IF(INDEX(Produção!$I$2:$I$109,_xlpm.pos)="","-------",INDEX(Produção!$I$2:$I$109,_xlpm.pos))))</f>
        <v>-------</v>
      </c>
      <c r="AB4" s="42" t="str" cm="1">
        <f t="array" ref="AB4">_xlfn.LET(_xlpm.canal,INDEX($E$2:$P$2,COLUMN()-COLUMN($Q$2)+1),_xlpm.pos,SUMPRODUCT((Produção!$B$2:$B$109=$A4)*(Produção!$F$2:$F$109=_xlpm.canal)*ROW(Produção!$I$2:$I$109))-1,IF(_xlpm.pos&lt;1,"-------",IF(INDEX(Produção!$I$2:$I$109,_xlpm.pos)="","-------",INDEX(Produção!$I$2:$I$109,_xlpm.pos))))</f>
        <v>-------</v>
      </c>
      <c r="AD4" s="34" cm="1">
        <f t="array" ref="AD4">SUMPRODUCT(($Q4:$AB4&lt;&gt;"-------")*1)</f>
        <v>3</v>
      </c>
      <c r="AE4" s="34">
        <f>RANK($D4,$D$3:$D$90)+COUNTIF($D$3:$D4,$D4)-1</f>
        <v>1</v>
      </c>
    </row>
    <row r="5" spans="1:31">
      <c r="A5" s="38" cm="1">
        <f t="array" ref="A5">INDEX(Produção!B$2:B$109,(ROW()-3)*12+1)</f>
        <v>3</v>
      </c>
      <c r="B5" s="39" t="str" cm="1">
        <f t="array" ref="B5">INDEX(Produção!C$2:C$109,(ROW()-3)*12+1)</f>
        <v>Física Clássica</v>
      </c>
      <c r="C5" s="39" t="str" cm="1">
        <f t="array" ref="C5">INDEX(Produção!D$2:D$109,(ROW()-3)*12+1)</f>
        <v>Experimento de medição da densidade da água</v>
      </c>
      <c r="D5" s="40">
        <f t="shared" si="0"/>
        <v>4</v>
      </c>
      <c r="E5" s="41">
        <f>SUMIFS(Produção!$G$2:$G$109,Produção!$B$2:$B$109,$A5,Produção!$F$2:$F$109,E$2)</f>
        <v>1</v>
      </c>
      <c r="F5" s="41">
        <f>SUMIFS(Produção!$G$2:$G$109,Produção!$B$2:$B$109,$A5,Produção!$F$2:$F$109,F$2)</f>
        <v>1</v>
      </c>
      <c r="G5" s="41">
        <f>SUMIFS(Produção!$G$2:$G$109,Produção!$B$2:$B$109,$A5,Produção!$F$2:$F$109,G$2)</f>
        <v>1</v>
      </c>
      <c r="H5" s="41">
        <f>SUMIFS(Produção!$G$2:$G$109,Produção!$B$2:$B$109,$A5,Produção!$F$2:$F$109,H$2)</f>
        <v>0</v>
      </c>
      <c r="I5" s="41">
        <f>SUMIFS(Produção!$G$2:$G$109,Produção!$B$2:$B$109,$A5,Produção!$F$2:$F$109,I$2)</f>
        <v>0</v>
      </c>
      <c r="J5" s="41">
        <f>SUMIFS(Produção!$G$2:$G$109,Produção!$B$2:$B$109,$A5,Produção!$F$2:$F$109,J$2)</f>
        <v>0</v>
      </c>
      <c r="K5" s="41">
        <f>SUMIFS(Produção!$G$2:$G$109,Produção!$B$2:$B$109,$A5,Produção!$F$2:$F$109,K$2)</f>
        <v>0</v>
      </c>
      <c r="L5" s="41">
        <f>SUMIFS(Produção!$G$2:$G$109,Produção!$B$2:$B$109,$A5,Produção!$F$2:$F$109,L$2)</f>
        <v>0</v>
      </c>
      <c r="M5" s="41">
        <f>SUMIFS(Produção!$G$2:$G$109,Produção!$B$2:$B$109,$A5,Produção!$F$2:$F$109,M$2)</f>
        <v>1</v>
      </c>
      <c r="N5" s="41">
        <f>SUMIFS(Produção!$G$2:$G$109,Produção!$B$2:$B$109,$A5,Produção!$F$2:$F$109,N$2)</f>
        <v>0</v>
      </c>
      <c r="O5" s="41">
        <f>SUMIFS(Produção!$G$2:$G$109,Produção!$B$2:$B$109,$A5,Produção!$F$2:$F$109,O$2)</f>
        <v>0</v>
      </c>
      <c r="P5" s="41">
        <f>SUMIFS(Produção!$G$2:$G$109,Produção!$B$2:$B$109,$A5,Produção!$F$2:$F$109,P$2)</f>
        <v>0</v>
      </c>
      <c r="Q5" s="42" t="str" cm="1">
        <f t="array" ref="Q5">_xlfn.LET(_xlpm.canal,INDEX($E$2:$P$2,COLUMN()-COLUMN($Q$2)+1),_xlpm.pos,SUMPRODUCT((Produção!$B$2:$B$109=$A5)*(Produção!$F$2:$F$109=_xlpm.canal)*ROW(Produção!$I$2:$I$109))-1,IF(_xlpm.pos&lt;1,"-------",IF(INDEX(Produção!$I$2:$I$109,_xlpm.pos)="","-------",INDEX(Produção!$I$2:$I$109,_xlpm.pos))))</f>
        <v>https://arxiv.org/abs/2508.02682</v>
      </c>
      <c r="R5" s="42" t="str" cm="1">
        <f t="array" ref="R5">_xlfn.LET(_xlpm.canal,INDEX($E$2:$P$2,COLUMN()-COLUMN($Q$2)+1),_xlpm.pos,SUMPRODUCT((Produção!$B$2:$B$109=$A5)*(Produção!$F$2:$F$109=_xlpm.canal)*ROW(Produção!$I$2:$I$109))-1,IF(_xlpm.pos&lt;1,"-------",IF(INDEX(Produção!$I$2:$I$109,_xlpm.pos)="","-------",INDEX(Produção!$I$2:$I$109,_xlpm.pos))))</f>
        <v>https://doi.org/10.1590/1806-9126-RBEF-2025-0044</v>
      </c>
      <c r="S5" s="42" t="str" cm="1">
        <f t="array" ref="S5">_xlfn.LET(_xlpm.canal,INDEX($E$2:$P$2,COLUMN()-COLUMN($Q$2)+1),_xlpm.pos,SUMPRODUCT((Produção!$B$2:$B$109=$A5)*(Produção!$F$2:$F$109=_xlpm.canal)*ROW(Produção!$I$2:$I$109))-1,IF(_xlpm.pos&lt;1,"-------",IF(INDEX(Produção!$I$2:$I$109,_xlpm.pos)="","-------",INDEX(Produção!$I$2:$I$109,_xlpm.pos))))</f>
        <v>-------</v>
      </c>
      <c r="T5" s="42" t="str" cm="1">
        <f t="array" ref="T5">_xlfn.LET(_xlpm.canal,INDEX($E$2:$P$2,COLUMN()-COLUMN($Q$2)+1),_xlpm.pos,SUMPRODUCT((Produção!$B$2:$B$109=$A5)*(Produção!$F$2:$F$109=_xlpm.canal)*ROW(Produção!$I$2:$I$109))-1,IF(_xlpm.pos&lt;1,"-------",IF(INDEX(Produção!$I$2:$I$109,_xlpm.pos)="","-------",INDEX(Produção!$I$2:$I$109,_xlpm.pos))))</f>
        <v>-------</v>
      </c>
      <c r="U5" s="42" t="str" cm="1">
        <f t="array" ref="U5">_xlfn.LET(_xlpm.canal,INDEX($E$2:$P$2,COLUMN()-COLUMN($Q$2)+1),_xlpm.pos,SUMPRODUCT((Produção!$B$2:$B$109=$A5)*(Produção!$F$2:$F$109=_xlpm.canal)*ROW(Produção!$I$2:$I$109))-1,IF(_xlpm.pos&lt;1,"-------",IF(INDEX(Produção!$I$2:$I$109,_xlpm.pos)="","-------",INDEX(Produção!$I$2:$I$109,_xlpm.pos))))</f>
        <v>-------</v>
      </c>
      <c r="V5" s="42" t="str" cm="1">
        <f t="array" ref="V5">_xlfn.LET(_xlpm.canal,INDEX($E$2:$P$2,COLUMN()-COLUMN($Q$2)+1),_xlpm.pos,SUMPRODUCT((Produção!$B$2:$B$109=$A5)*(Produção!$F$2:$F$109=_xlpm.canal)*ROW(Produção!$I$2:$I$109))-1,IF(_xlpm.pos&lt;1,"-------",IF(INDEX(Produção!$I$2:$I$109,_xlpm.pos)="","-------",INDEX(Produção!$I$2:$I$109,_xlpm.pos))))</f>
        <v>-------</v>
      </c>
      <c r="W5" s="42" t="str" cm="1">
        <f t="array" ref="W5">_xlfn.LET(_xlpm.canal,INDEX($E$2:$P$2,COLUMN()-COLUMN($Q$2)+1),_xlpm.pos,SUMPRODUCT((Produção!$B$2:$B$109=$A5)*(Produção!$F$2:$F$109=_xlpm.canal)*ROW(Produção!$I$2:$I$109))-1,IF(_xlpm.pos&lt;1,"-------",IF(INDEX(Produção!$I$2:$I$109,_xlpm.pos)="","-------",INDEX(Produção!$I$2:$I$109,_xlpm.pos))))</f>
        <v>-------</v>
      </c>
      <c r="X5" s="42" t="str" cm="1">
        <f t="array" ref="X5">_xlfn.LET(_xlpm.canal,INDEX($E$2:$P$2,COLUMN()-COLUMN($Q$2)+1),_xlpm.pos,SUMPRODUCT((Produção!$B$2:$B$109=$A5)*(Produção!$F$2:$F$109=_xlpm.canal)*ROW(Produção!$I$2:$I$109))-1,IF(_xlpm.pos&lt;1,"-------",IF(INDEX(Produção!$I$2:$I$109,_xlpm.pos)="","-------",INDEX(Produção!$I$2:$I$109,_xlpm.pos))))</f>
        <v>-------</v>
      </c>
      <c r="Y5" s="42" t="str" cm="1">
        <f t="array" ref="Y5">_xlfn.LET(_xlpm.canal,INDEX($E$2:$P$2,COLUMN()-COLUMN($Q$2)+1),_xlpm.pos,SUMPRODUCT((Produção!$B$2:$B$109=$A5)*(Produção!$F$2:$F$109=_xlpm.canal)*ROW(Produção!$I$2:$I$109))-1,IF(_xlpm.pos&lt;1,"-------",IF(INDEX(Produção!$I$2:$I$109,_xlpm.pos)="","-------",INDEX(Produção!$I$2:$I$109,_xlpm.pos))))</f>
        <v>-------</v>
      </c>
      <c r="Z5" s="42" t="str" cm="1">
        <f t="array" ref="Z5">_xlfn.LET(_xlpm.canal,INDEX($E$2:$P$2,COLUMN()-COLUMN($Q$2)+1),_xlpm.pos,SUMPRODUCT((Produção!$B$2:$B$109=$A5)*(Produção!$F$2:$F$109=_xlpm.canal)*ROW(Produção!$I$2:$I$109))-1,IF(_xlpm.pos&lt;1,"-------",IF(INDEX(Produção!$I$2:$I$109,_xlpm.pos)="","-------",INDEX(Produção!$I$2:$I$109,_xlpm.pos))))</f>
        <v>-------</v>
      </c>
      <c r="AA5" s="42" t="str" cm="1">
        <f t="array" ref="AA5">_xlfn.LET(_xlpm.canal,INDEX($E$2:$P$2,COLUMN()-COLUMN($Q$2)+1),_xlpm.pos,SUMPRODUCT((Produção!$B$2:$B$109=$A5)*(Produção!$F$2:$F$109=_xlpm.canal)*ROW(Produção!$I$2:$I$109))-1,IF(_xlpm.pos&lt;1,"-------",IF(INDEX(Produção!$I$2:$I$109,_xlpm.pos)="","-------",INDEX(Produção!$I$2:$I$109,_xlpm.pos))))</f>
        <v>-------</v>
      </c>
      <c r="AB5" s="42" t="str" cm="1">
        <f t="array" ref="AB5">_xlfn.LET(_xlpm.canal,INDEX($E$2:$P$2,COLUMN()-COLUMN($Q$2)+1),_xlpm.pos,SUMPRODUCT((Produção!$B$2:$B$109=$A5)*(Produção!$F$2:$F$109=_xlpm.canal)*ROW(Produção!$I$2:$I$109))-1,IF(_xlpm.pos&lt;1,"-------",IF(INDEX(Produção!$I$2:$I$109,_xlpm.pos)="","-------",INDEX(Produção!$I$2:$I$109,_xlpm.pos))))</f>
        <v>-------</v>
      </c>
      <c r="AD5" s="34" cm="1">
        <f t="array" ref="AD5">SUMPRODUCT(($Q5:$AB5&lt;&gt;"-------")*1)</f>
        <v>2</v>
      </c>
      <c r="AE5" s="34">
        <f>RANK($D5,$D$3:$D$90)+COUNTIF($D$3:$D5,$D5)-1</f>
        <v>2</v>
      </c>
    </row>
    <row r="6" spans="1:31">
      <c r="A6" s="38" cm="1">
        <f t="array" ref="A6">INDEX(Produção!B$2:B$109,(ROW()-3)*12+1)</f>
        <v>4</v>
      </c>
      <c r="B6" s="39" t="str" cm="1">
        <f t="array" ref="B6">INDEX(Produção!C$2:C$109,(ROW()-3)*12+1)</f>
        <v>Geometria</v>
      </c>
      <c r="C6" s="39" t="str" cm="1">
        <f t="array" ref="C6">INDEX(Produção!D$2:D$109,(ROW()-3)*12+1)</f>
        <v>Vídeo falando sobre a questão #160 do Enem 2025 e a resolução</v>
      </c>
      <c r="D6" s="40">
        <f t="shared" si="0"/>
        <v>1</v>
      </c>
      <c r="E6" s="41">
        <f>SUMIFS(Produção!$G$2:$G$109,Produção!$B$2:$B$109,$A6,Produção!$F$2:$F$109,E$2)</f>
        <v>0</v>
      </c>
      <c r="F6" s="41">
        <f>SUMIFS(Produção!$G$2:$G$109,Produção!$B$2:$B$109,$A6,Produção!$F$2:$F$109,F$2)</f>
        <v>0</v>
      </c>
      <c r="G6" s="41">
        <f>SUMIFS(Produção!$G$2:$G$109,Produção!$B$2:$B$109,$A6,Produção!$F$2:$F$109,G$2)</f>
        <v>0</v>
      </c>
      <c r="H6" s="41">
        <f>SUMIFS(Produção!$G$2:$G$109,Produção!$B$2:$B$109,$A6,Produção!$F$2:$F$109,H$2)</f>
        <v>0</v>
      </c>
      <c r="I6" s="41">
        <f>SUMIFS(Produção!$G$2:$G$109,Produção!$B$2:$B$109,$A6,Produção!$F$2:$F$109,I$2)</f>
        <v>1</v>
      </c>
      <c r="J6" s="41">
        <f>SUMIFS(Produção!$G$2:$G$109,Produção!$B$2:$B$109,$A6,Produção!$F$2:$F$109,J$2)</f>
        <v>0</v>
      </c>
      <c r="K6" s="41">
        <f>SUMIFS(Produção!$G$2:$G$109,Produção!$B$2:$B$109,$A6,Produção!$F$2:$F$109,K$2)</f>
        <v>0</v>
      </c>
      <c r="L6" s="41">
        <f>SUMIFS(Produção!$G$2:$G$109,Produção!$B$2:$B$109,$A6,Produção!$F$2:$F$109,L$2)</f>
        <v>0</v>
      </c>
      <c r="M6" s="41">
        <f>SUMIFS(Produção!$G$2:$G$109,Produção!$B$2:$B$109,$A6,Produção!$F$2:$F$109,M$2)</f>
        <v>0</v>
      </c>
      <c r="N6" s="41">
        <f>SUMIFS(Produção!$G$2:$G$109,Produção!$B$2:$B$109,$A6,Produção!$F$2:$F$109,N$2)</f>
        <v>0</v>
      </c>
      <c r="O6" s="41">
        <f>SUMIFS(Produção!$G$2:$G$109,Produção!$B$2:$B$109,$A6,Produção!$F$2:$F$109,O$2)</f>
        <v>0</v>
      </c>
      <c r="P6" s="41">
        <f>SUMIFS(Produção!$G$2:$G$109,Produção!$B$2:$B$109,$A6,Produção!$F$2:$F$109,P$2)</f>
        <v>0</v>
      </c>
      <c r="Q6" s="42" t="str" cm="1">
        <f t="array" ref="Q6">_xlfn.LET(_xlpm.canal,INDEX($E$2:$P$2,COLUMN()-COLUMN($Q$2)+1),_xlpm.pos,SUMPRODUCT((Produção!$B$2:$B$109=$A6)*(Produção!$F$2:$F$109=_xlpm.canal)*ROW(Produção!$I$2:$I$109))-1,IF(_xlpm.pos&lt;1,"-------",IF(INDEX(Produção!$I$2:$I$109,_xlpm.pos)="","-------",INDEX(Produção!$I$2:$I$109,_xlpm.pos))))</f>
        <v>-------</v>
      </c>
      <c r="R6" s="42" t="str" cm="1">
        <f t="array" ref="R6">_xlfn.LET(_xlpm.canal,INDEX($E$2:$P$2,COLUMN()-COLUMN($Q$2)+1),_xlpm.pos,SUMPRODUCT((Produção!$B$2:$B$109=$A6)*(Produção!$F$2:$F$109=_xlpm.canal)*ROW(Produção!$I$2:$I$109))-1,IF(_xlpm.pos&lt;1,"-------",IF(INDEX(Produção!$I$2:$I$109,_xlpm.pos)="","-------",INDEX(Produção!$I$2:$I$109,_xlpm.pos))))</f>
        <v>-------</v>
      </c>
      <c r="S6" s="42" t="str" cm="1">
        <f t="array" ref="S6">_xlfn.LET(_xlpm.canal,INDEX($E$2:$P$2,COLUMN()-COLUMN($Q$2)+1),_xlpm.pos,SUMPRODUCT((Produção!$B$2:$B$109=$A6)*(Produção!$F$2:$F$109=_xlpm.canal)*ROW(Produção!$I$2:$I$109))-1,IF(_xlpm.pos&lt;1,"-------",IF(INDEX(Produção!$I$2:$I$109,_xlpm.pos)="","-------",INDEX(Produção!$I$2:$I$109,_xlpm.pos))))</f>
        <v>-------</v>
      </c>
      <c r="T6" s="42" t="str" cm="1">
        <f t="array" ref="T6">_xlfn.LET(_xlpm.canal,INDEX($E$2:$P$2,COLUMN()-COLUMN($Q$2)+1),_xlpm.pos,SUMPRODUCT((Produção!$B$2:$B$109=$A6)*(Produção!$F$2:$F$109=_xlpm.canal)*ROW(Produção!$I$2:$I$109))-1,IF(_xlpm.pos&lt;1,"-------",IF(INDEX(Produção!$I$2:$I$109,_xlpm.pos)="","-------",INDEX(Produção!$I$2:$I$109,_xlpm.pos))))</f>
        <v>-------</v>
      </c>
      <c r="U6" s="42" t="str" cm="1">
        <f t="array" ref="U6">_xlfn.LET(_xlpm.canal,INDEX($E$2:$P$2,COLUMN()-COLUMN($Q$2)+1),_xlpm.pos,SUMPRODUCT((Produção!$B$2:$B$109=$A6)*(Produção!$F$2:$F$109=_xlpm.canal)*ROW(Produção!$I$2:$I$109))-1,IF(_xlpm.pos&lt;1,"-------",IF(INDEX(Produção!$I$2:$I$109,_xlpm.pos)="","-------",INDEX(Produção!$I$2:$I$109,_xlpm.pos))))</f>
        <v>https://www.tiktok.com/@olsp1982/video/7575534029655608583?is_from_webapp=1&amp;sender_device=pc&amp;web_id=7580439068664989205</v>
      </c>
      <c r="V6" s="42" t="str" cm="1">
        <f t="array" ref="V6">_xlfn.LET(_xlpm.canal,INDEX($E$2:$P$2,COLUMN()-COLUMN($Q$2)+1),_xlpm.pos,SUMPRODUCT((Produção!$B$2:$B$109=$A6)*(Produção!$F$2:$F$109=_xlpm.canal)*ROW(Produção!$I$2:$I$109))-1,IF(_xlpm.pos&lt;1,"-------",IF(INDEX(Produção!$I$2:$I$109,_xlpm.pos)="","-------",INDEX(Produção!$I$2:$I$109,_xlpm.pos))))</f>
        <v>-------</v>
      </c>
      <c r="W6" s="42" t="str" cm="1">
        <f t="array" ref="W6">_xlfn.LET(_xlpm.canal,INDEX($E$2:$P$2,COLUMN()-COLUMN($Q$2)+1),_xlpm.pos,SUMPRODUCT((Produção!$B$2:$B$109=$A6)*(Produção!$F$2:$F$109=_xlpm.canal)*ROW(Produção!$I$2:$I$109))-1,IF(_xlpm.pos&lt;1,"-------",IF(INDEX(Produção!$I$2:$I$109,_xlpm.pos)="","-------",INDEX(Produção!$I$2:$I$109,_xlpm.pos))))</f>
        <v>-------</v>
      </c>
      <c r="X6" s="42" t="str" cm="1">
        <f t="array" ref="X6">_xlfn.LET(_xlpm.canal,INDEX($E$2:$P$2,COLUMN()-COLUMN($Q$2)+1),_xlpm.pos,SUMPRODUCT((Produção!$B$2:$B$109=$A6)*(Produção!$F$2:$F$109=_xlpm.canal)*ROW(Produção!$I$2:$I$109))-1,IF(_xlpm.pos&lt;1,"-------",IF(INDEX(Produção!$I$2:$I$109,_xlpm.pos)="","-------",INDEX(Produção!$I$2:$I$109,_xlpm.pos))))</f>
        <v>-------</v>
      </c>
      <c r="Y6" s="42" t="str" cm="1">
        <f t="array" ref="Y6">_xlfn.LET(_xlpm.canal,INDEX($E$2:$P$2,COLUMN()-COLUMN($Q$2)+1),_xlpm.pos,SUMPRODUCT((Produção!$B$2:$B$109=$A6)*(Produção!$F$2:$F$109=_xlpm.canal)*ROW(Produção!$I$2:$I$109))-1,IF(_xlpm.pos&lt;1,"-------",IF(INDEX(Produção!$I$2:$I$109,_xlpm.pos)="","-------",INDEX(Produção!$I$2:$I$109,_xlpm.pos))))</f>
        <v>-------</v>
      </c>
      <c r="Z6" s="42" t="str" cm="1">
        <f t="array" ref="Z6">_xlfn.LET(_xlpm.canal,INDEX($E$2:$P$2,COLUMN()-COLUMN($Q$2)+1),_xlpm.pos,SUMPRODUCT((Produção!$B$2:$B$109=$A6)*(Produção!$F$2:$F$109=_xlpm.canal)*ROW(Produção!$I$2:$I$109))-1,IF(_xlpm.pos&lt;1,"-------",IF(INDEX(Produção!$I$2:$I$109,_xlpm.pos)="","-------",INDEX(Produção!$I$2:$I$109,_xlpm.pos))))</f>
        <v>-------</v>
      </c>
      <c r="AA6" s="42" t="str" cm="1">
        <f t="array" ref="AA6">_xlfn.LET(_xlpm.canal,INDEX($E$2:$P$2,COLUMN()-COLUMN($Q$2)+1),_xlpm.pos,SUMPRODUCT((Produção!$B$2:$B$109=$A6)*(Produção!$F$2:$F$109=_xlpm.canal)*ROW(Produção!$I$2:$I$109))-1,IF(_xlpm.pos&lt;1,"-------",IF(INDEX(Produção!$I$2:$I$109,_xlpm.pos)="","-------",INDEX(Produção!$I$2:$I$109,_xlpm.pos))))</f>
        <v>-------</v>
      </c>
      <c r="AB6" s="42" t="str" cm="1">
        <f t="array" ref="AB6">_xlfn.LET(_xlpm.canal,INDEX($E$2:$P$2,COLUMN()-COLUMN($Q$2)+1),_xlpm.pos,SUMPRODUCT((Produção!$B$2:$B$109=$A6)*(Produção!$F$2:$F$109=_xlpm.canal)*ROW(Produção!$I$2:$I$109))-1,IF(_xlpm.pos&lt;1,"-------",IF(INDEX(Produção!$I$2:$I$109,_xlpm.pos)="","-------",INDEX(Produção!$I$2:$I$109,_xlpm.pos))))</f>
        <v>-------</v>
      </c>
      <c r="AD6" s="34" cm="1">
        <f t="array" ref="AD6">SUMPRODUCT(($Q6:$AB6&lt;&gt;"-------")*1)</f>
        <v>1</v>
      </c>
      <c r="AE6" s="34">
        <f>RANK($D6,$D$3:$D$90)+COUNTIF($D$3:$D6,$D6)-1</f>
        <v>8</v>
      </c>
    </row>
    <row r="7" spans="1:31">
      <c r="A7" s="38" cm="1">
        <f t="array" ref="A7">INDEX(Produção!B$2:B$109,(ROW()-3)*12+1)</f>
        <v>5</v>
      </c>
      <c r="B7" s="39" t="str" cm="1">
        <f t="array" ref="B7">INDEX(Produção!C$2:C$109,(ROW()-3)*12+1)</f>
        <v>Relatividade e Warp Drive</v>
      </c>
      <c r="C7" s="39" t="str" cm="1">
        <f t="array" ref="C7">INDEX(Produção!D$2:D$109,(ROW()-3)*12+1)</f>
        <v>Dust content content solutions for the Alcubierre warp drive spacetime.</v>
      </c>
      <c r="D7" s="40">
        <f t="shared" si="0"/>
        <v>3</v>
      </c>
      <c r="E7" s="41">
        <f>SUMIFS(Produção!$G$2:$G$109,Produção!$B$2:$B$109,$A7,Produção!$F$2:$F$109,E$2)</f>
        <v>1</v>
      </c>
      <c r="F7" s="41">
        <f>SUMIFS(Produção!$G$2:$G$109,Produção!$B$2:$B$109,$A7,Produção!$F$2:$F$109,F$2)</f>
        <v>1</v>
      </c>
      <c r="G7" s="41">
        <f>SUMIFS(Produção!$G$2:$G$109,Produção!$B$2:$B$109,$A7,Produção!$F$2:$F$109,G$2)</f>
        <v>1</v>
      </c>
      <c r="H7" s="41">
        <f>SUMIFS(Produção!$G$2:$G$109,Produção!$B$2:$B$109,$A7,Produção!$F$2:$F$109,H$2)</f>
        <v>0</v>
      </c>
      <c r="I7" s="41">
        <f>SUMIFS(Produção!$G$2:$G$109,Produção!$B$2:$B$109,$A7,Produção!$F$2:$F$109,I$2)</f>
        <v>0</v>
      </c>
      <c r="J7" s="41">
        <f>SUMIFS(Produção!$G$2:$G$109,Produção!$B$2:$B$109,$A7,Produção!$F$2:$F$109,J$2)</f>
        <v>0</v>
      </c>
      <c r="K7" s="41">
        <f>SUMIFS(Produção!$G$2:$G$109,Produção!$B$2:$B$109,$A7,Produção!$F$2:$F$109,K$2)</f>
        <v>0</v>
      </c>
      <c r="L7" s="41">
        <f>SUMIFS(Produção!$G$2:$G$109,Produção!$B$2:$B$109,$A7,Produção!$F$2:$F$109,L$2)</f>
        <v>0</v>
      </c>
      <c r="M7" s="41">
        <f>SUMIFS(Produção!$G$2:$G$109,Produção!$B$2:$B$109,$A7,Produção!$F$2:$F$109,M$2)</f>
        <v>0</v>
      </c>
      <c r="N7" s="41">
        <f>SUMIFS(Produção!$G$2:$G$109,Produção!$B$2:$B$109,$A7,Produção!$F$2:$F$109,N$2)</f>
        <v>0</v>
      </c>
      <c r="O7" s="41">
        <f>SUMIFS(Produção!$G$2:$G$109,Produção!$B$2:$B$109,$A7,Produção!$F$2:$F$109,O$2)</f>
        <v>0</v>
      </c>
      <c r="P7" s="41">
        <f>SUMIFS(Produção!$G$2:$G$109,Produção!$B$2:$B$109,$A7,Produção!$F$2:$F$109,P$2)</f>
        <v>0</v>
      </c>
      <c r="Q7" s="42" t="str" cm="1">
        <f t="array" ref="Q7">_xlfn.LET(_xlpm.canal,INDEX($E$2:$P$2,COLUMN()-COLUMN($Q$2)+1),_xlpm.pos,SUMPRODUCT((Produção!$B$2:$B$109=$A7)*(Produção!$F$2:$F$109=_xlpm.canal)*ROW(Produção!$I$2:$I$109))-1,IF(_xlpm.pos&lt;1,"-------",IF(INDEX(Produção!$I$2:$I$109,_xlpm.pos)="","-------",INDEX(Produção!$I$2:$I$109,_xlpm.pos))))</f>
        <v>https://arxiv.org/abs/2008.06560</v>
      </c>
      <c r="R7" s="42" t="str" cm="1">
        <f t="array" ref="R7">_xlfn.LET(_xlpm.canal,INDEX($E$2:$P$2,COLUMN()-COLUMN($Q$2)+1),_xlpm.pos,SUMPRODUCT((Produção!$B$2:$B$109=$A7)*(Produção!$F$2:$F$109=_xlpm.canal)*ROW(Produção!$I$2:$I$109))-1,IF(_xlpm.pos&lt;1,"-------",IF(INDEX(Produção!$I$2:$I$109,_xlpm.pos)="","-------",INDEX(Produção!$I$2:$I$109,_xlpm.pos))))</f>
        <v>https://doi.org/10.1140/epjc/s10052-020-8355-2</v>
      </c>
      <c r="S7" s="42" t="str" cm="1">
        <f t="array" ref="S7">_xlfn.LET(_xlpm.canal,INDEX($E$2:$P$2,COLUMN()-COLUMN($Q$2)+1),_xlpm.pos,SUMPRODUCT((Produção!$B$2:$B$109=$A7)*(Produção!$F$2:$F$109=_xlpm.canal)*ROW(Produção!$I$2:$I$109))-1,IF(_xlpm.pos&lt;1,"-------",IF(INDEX(Produção!$I$2:$I$109,_xlpm.pos)="","-------",INDEX(Produção!$I$2:$I$109,_xlpm.pos))))</f>
        <v>-------</v>
      </c>
      <c r="T7" s="42" t="str" cm="1">
        <f t="array" ref="T7">_xlfn.LET(_xlpm.canal,INDEX($E$2:$P$2,COLUMN()-COLUMN($Q$2)+1),_xlpm.pos,SUMPRODUCT((Produção!$B$2:$B$109=$A7)*(Produção!$F$2:$F$109=_xlpm.canal)*ROW(Produção!$I$2:$I$109))-1,IF(_xlpm.pos&lt;1,"-------",IF(INDEX(Produção!$I$2:$I$109,_xlpm.pos)="","-------",INDEX(Produção!$I$2:$I$109,_xlpm.pos))))</f>
        <v>-------</v>
      </c>
      <c r="U7" s="42" t="str" cm="1">
        <f t="array" ref="U7">_xlfn.LET(_xlpm.canal,INDEX($E$2:$P$2,COLUMN()-COLUMN($Q$2)+1),_xlpm.pos,SUMPRODUCT((Produção!$B$2:$B$109=$A7)*(Produção!$F$2:$F$109=_xlpm.canal)*ROW(Produção!$I$2:$I$109))-1,IF(_xlpm.pos&lt;1,"-------",IF(INDEX(Produção!$I$2:$I$109,_xlpm.pos)="","-------",INDEX(Produção!$I$2:$I$109,_xlpm.pos))))</f>
        <v>-------</v>
      </c>
      <c r="V7" s="42" t="str" cm="1">
        <f t="array" ref="V7">_xlfn.LET(_xlpm.canal,INDEX($E$2:$P$2,COLUMN()-COLUMN($Q$2)+1),_xlpm.pos,SUMPRODUCT((Produção!$B$2:$B$109=$A7)*(Produção!$F$2:$F$109=_xlpm.canal)*ROW(Produção!$I$2:$I$109))-1,IF(_xlpm.pos&lt;1,"-------",IF(INDEX(Produção!$I$2:$I$109,_xlpm.pos)="","-------",INDEX(Produção!$I$2:$I$109,_xlpm.pos))))</f>
        <v>-------</v>
      </c>
      <c r="W7" s="42" t="str" cm="1">
        <f t="array" ref="W7">_xlfn.LET(_xlpm.canal,INDEX($E$2:$P$2,COLUMN()-COLUMN($Q$2)+1),_xlpm.pos,SUMPRODUCT((Produção!$B$2:$B$109=$A7)*(Produção!$F$2:$F$109=_xlpm.canal)*ROW(Produção!$I$2:$I$109))-1,IF(_xlpm.pos&lt;1,"-------",IF(INDEX(Produção!$I$2:$I$109,_xlpm.pos)="","-------",INDEX(Produção!$I$2:$I$109,_xlpm.pos))))</f>
        <v>-------</v>
      </c>
      <c r="X7" s="42" t="str" cm="1">
        <f t="array" ref="X7">_xlfn.LET(_xlpm.canal,INDEX($E$2:$P$2,COLUMN()-COLUMN($Q$2)+1),_xlpm.pos,SUMPRODUCT((Produção!$B$2:$B$109=$A7)*(Produção!$F$2:$F$109=_xlpm.canal)*ROW(Produção!$I$2:$I$109))-1,IF(_xlpm.pos&lt;1,"-------",IF(INDEX(Produção!$I$2:$I$109,_xlpm.pos)="","-------",INDEX(Produção!$I$2:$I$109,_xlpm.pos))))</f>
        <v>-------</v>
      </c>
      <c r="Y7" s="42" t="str" cm="1">
        <f t="array" ref="Y7">_xlfn.LET(_xlpm.canal,INDEX($E$2:$P$2,COLUMN()-COLUMN($Q$2)+1),_xlpm.pos,SUMPRODUCT((Produção!$B$2:$B$109=$A7)*(Produção!$F$2:$F$109=_xlpm.canal)*ROW(Produção!$I$2:$I$109))-1,IF(_xlpm.pos&lt;1,"-------",IF(INDEX(Produção!$I$2:$I$109,_xlpm.pos)="","-------",INDEX(Produção!$I$2:$I$109,_xlpm.pos))))</f>
        <v>-------</v>
      </c>
      <c r="Z7" s="42" t="str" cm="1">
        <f t="array" ref="Z7">_xlfn.LET(_xlpm.canal,INDEX($E$2:$P$2,COLUMN()-COLUMN($Q$2)+1),_xlpm.pos,SUMPRODUCT((Produção!$B$2:$B$109=$A7)*(Produção!$F$2:$F$109=_xlpm.canal)*ROW(Produção!$I$2:$I$109))-1,IF(_xlpm.pos&lt;1,"-------",IF(INDEX(Produção!$I$2:$I$109,_xlpm.pos)="","-------",INDEX(Produção!$I$2:$I$109,_xlpm.pos))))</f>
        <v>-------</v>
      </c>
      <c r="AA7" s="42" t="str" cm="1">
        <f t="array" ref="AA7">_xlfn.LET(_xlpm.canal,INDEX($E$2:$P$2,COLUMN()-COLUMN($Q$2)+1),_xlpm.pos,SUMPRODUCT((Produção!$B$2:$B$109=$A7)*(Produção!$F$2:$F$109=_xlpm.canal)*ROW(Produção!$I$2:$I$109))-1,IF(_xlpm.pos&lt;1,"-------",IF(INDEX(Produção!$I$2:$I$109,_xlpm.pos)="","-------",INDEX(Produção!$I$2:$I$109,_xlpm.pos))))</f>
        <v>-------</v>
      </c>
      <c r="AB7" s="42" t="str" cm="1">
        <f t="array" ref="AB7">_xlfn.LET(_xlpm.canal,INDEX($E$2:$P$2,COLUMN()-COLUMN($Q$2)+1),_xlpm.pos,SUMPRODUCT((Produção!$B$2:$B$109=$A7)*(Produção!$F$2:$F$109=_xlpm.canal)*ROW(Produção!$I$2:$I$109))-1,IF(_xlpm.pos&lt;1,"-------",IF(INDEX(Produção!$I$2:$I$109,_xlpm.pos)="","-------",INDEX(Produção!$I$2:$I$109,_xlpm.pos))))</f>
        <v>-------</v>
      </c>
      <c r="AD7" s="34" cm="1">
        <f t="array" ref="AD7">SUMPRODUCT(($Q7:$AB7&lt;&gt;"-------")*1)</f>
        <v>2</v>
      </c>
      <c r="AE7" s="34">
        <f>RANK($D7,$D$3:$D$90)+COUNTIF($D$3:$D7,$D7)-1</f>
        <v>7</v>
      </c>
    </row>
    <row r="8" spans="1:31">
      <c r="A8" s="38" cm="1">
        <f t="array" ref="A8">INDEX(Produção!B$2:B$109,(ROW()-3)*12+1)</f>
        <v>6</v>
      </c>
      <c r="B8" s="39" t="str" cm="1">
        <f t="array" ref="B8">INDEX(Produção!C$2:C$109,(ROW()-3)*12+1)</f>
        <v>Relatividade e Warp Drive</v>
      </c>
      <c r="C8" s="39" t="str" cm="1">
        <f t="array" ref="C8">INDEX(Produção!D$2:D$109,(ROW()-3)*12+1)</f>
        <v>Fluid dynamics in the warp drive spacetime geometry</v>
      </c>
      <c r="D8" s="40">
        <f t="shared" si="0"/>
        <v>4</v>
      </c>
      <c r="E8" s="41">
        <f>SUMIFS(Produção!$G$2:$G$109,Produção!$B$2:$B$109,$A8,Produção!$F$2:$F$109,E$2)</f>
        <v>1</v>
      </c>
      <c r="F8" s="41">
        <f>SUMIFS(Produção!$G$2:$G$109,Produção!$B$2:$B$109,$A8,Produção!$F$2:$F$109,F$2)</f>
        <v>1</v>
      </c>
      <c r="G8" s="41">
        <f>SUMIFS(Produção!$G$2:$G$109,Produção!$B$2:$B$109,$A8,Produção!$F$2:$F$109,G$2)</f>
        <v>1</v>
      </c>
      <c r="H8" s="41">
        <f>SUMIFS(Produção!$G$2:$G$109,Produção!$B$2:$B$109,$A8,Produção!$F$2:$F$109,H$2)</f>
        <v>0</v>
      </c>
      <c r="I8" s="41">
        <f>SUMIFS(Produção!$G$2:$G$109,Produção!$B$2:$B$109,$A8,Produção!$F$2:$F$109,I$2)</f>
        <v>0</v>
      </c>
      <c r="J8" s="41">
        <f>SUMIFS(Produção!$G$2:$G$109,Produção!$B$2:$B$109,$A8,Produção!$F$2:$F$109,J$2)</f>
        <v>0</v>
      </c>
      <c r="K8" s="41">
        <f>SUMIFS(Produção!$G$2:$G$109,Produção!$B$2:$B$109,$A8,Produção!$F$2:$F$109,K$2)</f>
        <v>0</v>
      </c>
      <c r="L8" s="41">
        <f>SUMIFS(Produção!$G$2:$G$109,Produção!$B$2:$B$109,$A8,Produção!$F$2:$F$109,L$2)</f>
        <v>0</v>
      </c>
      <c r="M8" s="41">
        <f>SUMIFS(Produção!$G$2:$G$109,Produção!$B$2:$B$109,$A8,Produção!$F$2:$F$109,M$2)</f>
        <v>1</v>
      </c>
      <c r="N8" s="41">
        <f>SUMIFS(Produção!$G$2:$G$109,Produção!$B$2:$B$109,$A8,Produção!$F$2:$F$109,N$2)</f>
        <v>0</v>
      </c>
      <c r="O8" s="41">
        <f>SUMIFS(Produção!$G$2:$G$109,Produção!$B$2:$B$109,$A8,Produção!$F$2:$F$109,O$2)</f>
        <v>0</v>
      </c>
      <c r="P8" s="41">
        <f>SUMIFS(Produção!$G$2:$G$109,Produção!$B$2:$B$109,$A8,Produção!$F$2:$F$109,P$2)</f>
        <v>0</v>
      </c>
      <c r="Q8" s="42" t="str" cm="1">
        <f t="array" ref="Q8">_xlfn.LET(_xlpm.canal,INDEX($E$2:$P$2,COLUMN()-COLUMN($Q$2)+1),_xlpm.pos,SUMPRODUCT((Produção!$B$2:$B$109=$A8)*(Produção!$F$2:$F$109=_xlpm.canal)*ROW(Produção!$I$2:$I$109))-1,IF(_xlpm.pos&lt;1,"-------",IF(INDEX(Produção!$I$2:$I$109,_xlpm.pos)="","-------",INDEX(Produção!$I$2:$I$109,_xlpm.pos))))</f>
        <v>https://arxiv.org/abs/2101.11467</v>
      </c>
      <c r="R8" s="42" t="str" cm="1">
        <f t="array" ref="R8">_xlfn.LET(_xlpm.canal,INDEX($E$2:$P$2,COLUMN()-COLUMN($Q$2)+1),_xlpm.pos,SUMPRODUCT((Produção!$B$2:$B$109=$A8)*(Produção!$F$2:$F$109=_xlpm.canal)*ROW(Produção!$I$2:$I$109))-1,IF(_xlpm.pos&lt;1,"-------",IF(INDEX(Produção!$I$2:$I$109,_xlpm.pos)="","-------",INDEX(Produção!$I$2:$I$109,_xlpm.pos))))</f>
        <v>https://doi.org/10.1140/epjc/s10052-021-08921-3</v>
      </c>
      <c r="S8" s="42" t="str" cm="1">
        <f t="array" ref="S8">_xlfn.LET(_xlpm.canal,INDEX($E$2:$P$2,COLUMN()-COLUMN($Q$2)+1),_xlpm.pos,SUMPRODUCT((Produção!$B$2:$B$109=$A8)*(Produção!$F$2:$F$109=_xlpm.canal)*ROW(Produção!$I$2:$I$109))-1,IF(_xlpm.pos&lt;1,"-------",IF(INDEX(Produção!$I$2:$I$109,_xlpm.pos)="","-------",INDEX(Produção!$I$2:$I$109,_xlpm.pos))))</f>
        <v>-------</v>
      </c>
      <c r="T8" s="42" t="str" cm="1">
        <f t="array" ref="T8">_xlfn.LET(_xlpm.canal,INDEX($E$2:$P$2,COLUMN()-COLUMN($Q$2)+1),_xlpm.pos,SUMPRODUCT((Produção!$B$2:$B$109=$A8)*(Produção!$F$2:$F$109=_xlpm.canal)*ROW(Produção!$I$2:$I$109))-1,IF(_xlpm.pos&lt;1,"-------",IF(INDEX(Produção!$I$2:$I$109,_xlpm.pos)="","-------",INDEX(Produção!$I$2:$I$109,_xlpm.pos))))</f>
        <v>-------</v>
      </c>
      <c r="U8" s="42" t="str" cm="1">
        <f t="array" ref="U8">_xlfn.LET(_xlpm.canal,INDEX($E$2:$P$2,COLUMN()-COLUMN($Q$2)+1),_xlpm.pos,SUMPRODUCT((Produção!$B$2:$B$109=$A8)*(Produção!$F$2:$F$109=_xlpm.canal)*ROW(Produção!$I$2:$I$109))-1,IF(_xlpm.pos&lt;1,"-------",IF(INDEX(Produção!$I$2:$I$109,_xlpm.pos)="","-------",INDEX(Produção!$I$2:$I$109,_xlpm.pos))))</f>
        <v>-------</v>
      </c>
      <c r="V8" s="42" t="str" cm="1">
        <f t="array" ref="V8">_xlfn.LET(_xlpm.canal,INDEX($E$2:$P$2,COLUMN()-COLUMN($Q$2)+1),_xlpm.pos,SUMPRODUCT((Produção!$B$2:$B$109=$A8)*(Produção!$F$2:$F$109=_xlpm.canal)*ROW(Produção!$I$2:$I$109))-1,IF(_xlpm.pos&lt;1,"-------",IF(INDEX(Produção!$I$2:$I$109,_xlpm.pos)="","-------",INDEX(Produção!$I$2:$I$109,_xlpm.pos))))</f>
        <v>-------</v>
      </c>
      <c r="W8" s="42" t="str" cm="1">
        <f t="array" ref="W8">_xlfn.LET(_xlpm.canal,INDEX($E$2:$P$2,COLUMN()-COLUMN($Q$2)+1),_xlpm.pos,SUMPRODUCT((Produção!$B$2:$B$109=$A8)*(Produção!$F$2:$F$109=_xlpm.canal)*ROW(Produção!$I$2:$I$109))-1,IF(_xlpm.pos&lt;1,"-------",IF(INDEX(Produção!$I$2:$I$109,_xlpm.pos)="","-------",INDEX(Produção!$I$2:$I$109,_xlpm.pos))))</f>
        <v>-------</v>
      </c>
      <c r="X8" s="42" t="str" cm="1">
        <f t="array" ref="X8">_xlfn.LET(_xlpm.canal,INDEX($E$2:$P$2,COLUMN()-COLUMN($Q$2)+1),_xlpm.pos,SUMPRODUCT((Produção!$B$2:$B$109=$A8)*(Produção!$F$2:$F$109=_xlpm.canal)*ROW(Produção!$I$2:$I$109))-1,IF(_xlpm.pos&lt;1,"-------",IF(INDEX(Produção!$I$2:$I$109,_xlpm.pos)="","-------",INDEX(Produção!$I$2:$I$109,_xlpm.pos))))</f>
        <v>-------</v>
      </c>
      <c r="Y8" s="42" t="str" cm="1">
        <f t="array" ref="Y8">_xlfn.LET(_xlpm.canal,INDEX($E$2:$P$2,COLUMN()-COLUMN($Q$2)+1),_xlpm.pos,SUMPRODUCT((Produção!$B$2:$B$109=$A8)*(Produção!$F$2:$F$109=_xlpm.canal)*ROW(Produção!$I$2:$I$109))-1,IF(_xlpm.pos&lt;1,"-------",IF(INDEX(Produção!$I$2:$I$109,_xlpm.pos)="","-------",INDEX(Produção!$I$2:$I$109,_xlpm.pos))))</f>
        <v>-------</v>
      </c>
      <c r="Z8" s="42" t="str" cm="1">
        <f t="array" ref="Z8">_xlfn.LET(_xlpm.canal,INDEX($E$2:$P$2,COLUMN()-COLUMN($Q$2)+1),_xlpm.pos,SUMPRODUCT((Produção!$B$2:$B$109=$A8)*(Produção!$F$2:$F$109=_xlpm.canal)*ROW(Produção!$I$2:$I$109))-1,IF(_xlpm.pos&lt;1,"-------",IF(INDEX(Produção!$I$2:$I$109,_xlpm.pos)="","-------",INDEX(Produção!$I$2:$I$109,_xlpm.pos))))</f>
        <v>-------</v>
      </c>
      <c r="AA8" s="42" t="str" cm="1">
        <f t="array" ref="AA8">_xlfn.LET(_xlpm.canal,INDEX($E$2:$P$2,COLUMN()-COLUMN($Q$2)+1),_xlpm.pos,SUMPRODUCT((Produção!$B$2:$B$109=$A8)*(Produção!$F$2:$F$109=_xlpm.canal)*ROW(Produção!$I$2:$I$109))-1,IF(_xlpm.pos&lt;1,"-------",IF(INDEX(Produção!$I$2:$I$109,_xlpm.pos)="","-------",INDEX(Produção!$I$2:$I$109,_xlpm.pos))))</f>
        <v>-------</v>
      </c>
      <c r="AB8" s="42" t="str" cm="1">
        <f t="array" ref="AB8">_xlfn.LET(_xlpm.canal,INDEX($E$2:$P$2,COLUMN()-COLUMN($Q$2)+1),_xlpm.pos,SUMPRODUCT((Produção!$B$2:$B$109=$A8)*(Produção!$F$2:$F$109=_xlpm.canal)*ROW(Produção!$I$2:$I$109))-1,IF(_xlpm.pos&lt;1,"-------",IF(INDEX(Produção!$I$2:$I$109,_xlpm.pos)="","-------",INDEX(Produção!$I$2:$I$109,_xlpm.pos))))</f>
        <v>-------</v>
      </c>
      <c r="AD8" s="34" cm="1">
        <f t="array" ref="AD8">SUMPRODUCT(($Q8:$AB8&lt;&gt;"-------")*1)</f>
        <v>2</v>
      </c>
      <c r="AE8" s="34">
        <f>RANK($D8,$D$3:$D$90)+COUNTIF($D$3:$D8,$D8)-1</f>
        <v>3</v>
      </c>
    </row>
    <row r="9" spans="1:31">
      <c r="A9" s="38" cm="1">
        <f t="array" ref="A9">INDEX(Produção!B$2:B$109,(ROW()-3)*12+1)</f>
        <v>7</v>
      </c>
      <c r="B9" s="39" t="str" cm="1">
        <f t="array" ref="B9">INDEX(Produção!C$2:C$109,(ROW()-3)*12+1)</f>
        <v>Relatividade e Warp Drive</v>
      </c>
      <c r="C9" s="39" t="str" cm="1">
        <f t="array" ref="C9">INDEX(Produção!D$2:D$109,(ROW()-3)*12+1)</f>
        <v>Charged dust solutions for the warp drive spacetime</v>
      </c>
      <c r="D9" s="40">
        <f t="shared" si="0"/>
        <v>4</v>
      </c>
      <c r="E9" s="41">
        <f>SUMIFS(Produção!$G$2:$G$109,Produção!$B$2:$B$109,$A9,Produção!$F$2:$F$109,E$2)</f>
        <v>1</v>
      </c>
      <c r="F9" s="41">
        <f>SUMIFS(Produção!$G$2:$G$109,Produção!$B$2:$B$109,$A9,Produção!$F$2:$F$109,F$2)</f>
        <v>1</v>
      </c>
      <c r="G9" s="41">
        <f>SUMIFS(Produção!$G$2:$G$109,Produção!$B$2:$B$109,$A9,Produção!$F$2:$F$109,G$2)</f>
        <v>1</v>
      </c>
      <c r="H9" s="41">
        <f>SUMIFS(Produção!$G$2:$G$109,Produção!$B$2:$B$109,$A9,Produção!$F$2:$F$109,H$2)</f>
        <v>0</v>
      </c>
      <c r="I9" s="41">
        <f>SUMIFS(Produção!$G$2:$G$109,Produção!$B$2:$B$109,$A9,Produção!$F$2:$F$109,I$2)</f>
        <v>0</v>
      </c>
      <c r="J9" s="41">
        <f>SUMIFS(Produção!$G$2:$G$109,Produção!$B$2:$B$109,$A9,Produção!$F$2:$F$109,J$2)</f>
        <v>0</v>
      </c>
      <c r="K9" s="41">
        <f>SUMIFS(Produção!$G$2:$G$109,Produção!$B$2:$B$109,$A9,Produção!$F$2:$F$109,K$2)</f>
        <v>0</v>
      </c>
      <c r="L9" s="41">
        <f>SUMIFS(Produção!$G$2:$G$109,Produção!$B$2:$B$109,$A9,Produção!$F$2:$F$109,L$2)</f>
        <v>0</v>
      </c>
      <c r="M9" s="41">
        <f>SUMIFS(Produção!$G$2:$G$109,Produção!$B$2:$B$109,$A9,Produção!$F$2:$F$109,M$2)</f>
        <v>1</v>
      </c>
      <c r="N9" s="41">
        <f>SUMIFS(Produção!$G$2:$G$109,Produção!$B$2:$B$109,$A9,Produção!$F$2:$F$109,N$2)</f>
        <v>0</v>
      </c>
      <c r="O9" s="41">
        <f>SUMIFS(Produção!$G$2:$G$109,Produção!$B$2:$B$109,$A9,Produção!$F$2:$F$109,O$2)</f>
        <v>0</v>
      </c>
      <c r="P9" s="41">
        <f>SUMIFS(Produção!$G$2:$G$109,Produção!$B$2:$B$109,$A9,Produção!$F$2:$F$109,P$2)</f>
        <v>0</v>
      </c>
      <c r="Q9" s="42" t="str" cm="1">
        <f t="array" ref="Q9">_xlfn.LET(_xlpm.canal,INDEX($E$2:$P$2,COLUMN()-COLUMN($Q$2)+1),_xlpm.pos,SUMPRODUCT((Produção!$B$2:$B$109=$A9)*(Produção!$F$2:$F$109=_xlpm.canal)*ROW(Produção!$I$2:$I$109))-1,IF(_xlpm.pos&lt;1,"-------",IF(INDEX(Produção!$I$2:$I$109,_xlpm.pos)="","-------",INDEX(Produção!$I$2:$I$109,_xlpm.pos))))</f>
        <v>https://arxiv.org/abs/2102.05119</v>
      </c>
      <c r="R9" s="42" t="str" cm="1">
        <f t="array" ref="R9">_xlfn.LET(_xlpm.canal,INDEX($E$2:$P$2,COLUMN()-COLUMN($Q$2)+1),_xlpm.pos,SUMPRODUCT((Produção!$B$2:$B$109=$A9)*(Produção!$F$2:$F$109=_xlpm.canal)*ROW(Produção!$I$2:$I$109))-1,IF(_xlpm.pos&lt;1,"-------",IF(INDEX(Produção!$I$2:$I$109,_xlpm.pos)="","-------",INDEX(Produção!$I$2:$I$109,_xlpm.pos))))</f>
        <v>https://doi.org/10.1007/s10714-021-02799-y</v>
      </c>
      <c r="S9" s="42" t="str" cm="1">
        <f t="array" ref="S9">_xlfn.LET(_xlpm.canal,INDEX($E$2:$P$2,COLUMN()-COLUMN($Q$2)+1),_xlpm.pos,SUMPRODUCT((Produção!$B$2:$B$109=$A9)*(Produção!$F$2:$F$109=_xlpm.canal)*ROW(Produção!$I$2:$I$109))-1,IF(_xlpm.pos&lt;1,"-------",IF(INDEX(Produção!$I$2:$I$109,_xlpm.pos)="","-------",INDEX(Produção!$I$2:$I$109,_xlpm.pos))))</f>
        <v>-------</v>
      </c>
      <c r="T9" s="42" t="str" cm="1">
        <f t="array" ref="T9">_xlfn.LET(_xlpm.canal,INDEX($E$2:$P$2,COLUMN()-COLUMN($Q$2)+1),_xlpm.pos,SUMPRODUCT((Produção!$B$2:$B$109=$A9)*(Produção!$F$2:$F$109=_xlpm.canal)*ROW(Produção!$I$2:$I$109))-1,IF(_xlpm.pos&lt;1,"-------",IF(INDEX(Produção!$I$2:$I$109,_xlpm.pos)="","-------",INDEX(Produção!$I$2:$I$109,_xlpm.pos))))</f>
        <v>-------</v>
      </c>
      <c r="U9" s="42" t="str" cm="1">
        <f t="array" ref="U9">_xlfn.LET(_xlpm.canal,INDEX($E$2:$P$2,COLUMN()-COLUMN($Q$2)+1),_xlpm.pos,SUMPRODUCT((Produção!$B$2:$B$109=$A9)*(Produção!$F$2:$F$109=_xlpm.canal)*ROW(Produção!$I$2:$I$109))-1,IF(_xlpm.pos&lt;1,"-------",IF(INDEX(Produção!$I$2:$I$109,_xlpm.pos)="","-------",INDEX(Produção!$I$2:$I$109,_xlpm.pos))))</f>
        <v>-------</v>
      </c>
      <c r="V9" s="42" t="str" cm="1">
        <f t="array" ref="V9">_xlfn.LET(_xlpm.canal,INDEX($E$2:$P$2,COLUMN()-COLUMN($Q$2)+1),_xlpm.pos,SUMPRODUCT((Produção!$B$2:$B$109=$A9)*(Produção!$F$2:$F$109=_xlpm.canal)*ROW(Produção!$I$2:$I$109))-1,IF(_xlpm.pos&lt;1,"-------",IF(INDEX(Produção!$I$2:$I$109,_xlpm.pos)="","-------",INDEX(Produção!$I$2:$I$109,_xlpm.pos))))</f>
        <v>-------</v>
      </c>
      <c r="W9" s="42" t="str" cm="1">
        <f t="array" ref="W9">_xlfn.LET(_xlpm.canal,INDEX($E$2:$P$2,COLUMN()-COLUMN($Q$2)+1),_xlpm.pos,SUMPRODUCT((Produção!$B$2:$B$109=$A9)*(Produção!$F$2:$F$109=_xlpm.canal)*ROW(Produção!$I$2:$I$109))-1,IF(_xlpm.pos&lt;1,"-------",IF(INDEX(Produção!$I$2:$I$109,_xlpm.pos)="","-------",INDEX(Produção!$I$2:$I$109,_xlpm.pos))))</f>
        <v>-------</v>
      </c>
      <c r="X9" s="42" t="str" cm="1">
        <f t="array" ref="X9">_xlfn.LET(_xlpm.canal,INDEX($E$2:$P$2,COLUMN()-COLUMN($Q$2)+1),_xlpm.pos,SUMPRODUCT((Produção!$B$2:$B$109=$A9)*(Produção!$F$2:$F$109=_xlpm.canal)*ROW(Produção!$I$2:$I$109))-1,IF(_xlpm.pos&lt;1,"-------",IF(INDEX(Produção!$I$2:$I$109,_xlpm.pos)="","-------",INDEX(Produção!$I$2:$I$109,_xlpm.pos))))</f>
        <v>-------</v>
      </c>
      <c r="Y9" s="42" t="str" cm="1">
        <f t="array" ref="Y9">_xlfn.LET(_xlpm.canal,INDEX($E$2:$P$2,COLUMN()-COLUMN($Q$2)+1),_xlpm.pos,SUMPRODUCT((Produção!$B$2:$B$109=$A9)*(Produção!$F$2:$F$109=_xlpm.canal)*ROW(Produção!$I$2:$I$109))-1,IF(_xlpm.pos&lt;1,"-------",IF(INDEX(Produção!$I$2:$I$109,_xlpm.pos)="","-------",INDEX(Produção!$I$2:$I$109,_xlpm.pos))))</f>
        <v>-------</v>
      </c>
      <c r="Z9" s="42" t="str" cm="1">
        <f t="array" ref="Z9">_xlfn.LET(_xlpm.canal,INDEX($E$2:$P$2,COLUMN()-COLUMN($Q$2)+1),_xlpm.pos,SUMPRODUCT((Produção!$B$2:$B$109=$A9)*(Produção!$F$2:$F$109=_xlpm.canal)*ROW(Produção!$I$2:$I$109))-1,IF(_xlpm.pos&lt;1,"-------",IF(INDEX(Produção!$I$2:$I$109,_xlpm.pos)="","-------",INDEX(Produção!$I$2:$I$109,_xlpm.pos))))</f>
        <v>-------</v>
      </c>
      <c r="AA9" s="42" t="str" cm="1">
        <f t="array" ref="AA9">_xlfn.LET(_xlpm.canal,INDEX($E$2:$P$2,COLUMN()-COLUMN($Q$2)+1),_xlpm.pos,SUMPRODUCT((Produção!$B$2:$B$109=$A9)*(Produção!$F$2:$F$109=_xlpm.canal)*ROW(Produção!$I$2:$I$109))-1,IF(_xlpm.pos&lt;1,"-------",IF(INDEX(Produção!$I$2:$I$109,_xlpm.pos)="","-------",INDEX(Produção!$I$2:$I$109,_xlpm.pos))))</f>
        <v>-------</v>
      </c>
      <c r="AB9" s="42" t="str" cm="1">
        <f t="array" ref="AB9">_xlfn.LET(_xlpm.canal,INDEX($E$2:$P$2,COLUMN()-COLUMN($Q$2)+1),_xlpm.pos,SUMPRODUCT((Produção!$B$2:$B$109=$A9)*(Produção!$F$2:$F$109=_xlpm.canal)*ROW(Produção!$I$2:$I$109))-1,IF(_xlpm.pos&lt;1,"-------",IF(INDEX(Produção!$I$2:$I$109,_xlpm.pos)="","-------",INDEX(Produção!$I$2:$I$109,_xlpm.pos))))</f>
        <v>-------</v>
      </c>
      <c r="AD9" s="34" cm="1">
        <f t="array" ref="AD9">SUMPRODUCT(($Q9:$AB9&lt;&gt;"-------")*1)</f>
        <v>2</v>
      </c>
      <c r="AE9" s="34">
        <f>RANK($D9,$D$3:$D$90)+COUNTIF($D$3:$D9,$D9)-1</f>
        <v>4</v>
      </c>
    </row>
    <row r="10" spans="1:31">
      <c r="A10" s="38" cm="1">
        <f t="array" ref="A10">INDEX(Produção!B$2:B$109,(ROW()-3)*12+1)</f>
        <v>8</v>
      </c>
      <c r="B10" s="39" t="str" cm="1">
        <f t="array" ref="B10">INDEX(Produção!C$2:C$109,(ROW()-3)*12+1)</f>
        <v>Relatividade e Warp Drive</v>
      </c>
      <c r="C10" s="39" t="str" cm="1">
        <f t="array" ref="C10">INDEX(Produção!D$2:D$109,(ROW()-3)*12+1)</f>
        <v>Perfect fluid warp drive solutions with the cosmological constant</v>
      </c>
      <c r="D10" s="40">
        <f t="shared" si="0"/>
        <v>4</v>
      </c>
      <c r="E10" s="41">
        <f>SUMIFS(Produção!$G$2:$G$109,Produção!$B$2:$B$109,$A10,Produção!$F$2:$F$109,E$2)</f>
        <v>1</v>
      </c>
      <c r="F10" s="41">
        <f>SUMIFS(Produção!$G$2:$G$109,Produção!$B$2:$B$109,$A10,Produção!$F$2:$F$109,F$2)</f>
        <v>1</v>
      </c>
      <c r="G10" s="41">
        <f>SUMIFS(Produção!$G$2:$G$109,Produção!$B$2:$B$109,$A10,Produção!$F$2:$F$109,G$2)</f>
        <v>1</v>
      </c>
      <c r="H10" s="41">
        <f>SUMIFS(Produção!$G$2:$G$109,Produção!$B$2:$B$109,$A10,Produção!$F$2:$F$109,H$2)</f>
        <v>0</v>
      </c>
      <c r="I10" s="41">
        <f>SUMIFS(Produção!$G$2:$G$109,Produção!$B$2:$B$109,$A10,Produção!$F$2:$F$109,I$2)</f>
        <v>0</v>
      </c>
      <c r="J10" s="41">
        <f>SUMIFS(Produção!$G$2:$G$109,Produção!$B$2:$B$109,$A10,Produção!$F$2:$F$109,J$2)</f>
        <v>0</v>
      </c>
      <c r="K10" s="41">
        <f>SUMIFS(Produção!$G$2:$G$109,Produção!$B$2:$B$109,$A10,Produção!$F$2:$F$109,K$2)</f>
        <v>0</v>
      </c>
      <c r="L10" s="41">
        <f>SUMIFS(Produção!$G$2:$G$109,Produção!$B$2:$B$109,$A10,Produção!$F$2:$F$109,L$2)</f>
        <v>0</v>
      </c>
      <c r="M10" s="41">
        <f>SUMIFS(Produção!$G$2:$G$109,Produção!$B$2:$B$109,$A10,Produção!$F$2:$F$109,M$2)</f>
        <v>1</v>
      </c>
      <c r="N10" s="41">
        <f>SUMIFS(Produção!$G$2:$G$109,Produção!$B$2:$B$109,$A10,Produção!$F$2:$F$109,N$2)</f>
        <v>0</v>
      </c>
      <c r="O10" s="41">
        <f>SUMIFS(Produção!$G$2:$G$109,Produção!$B$2:$B$109,$A10,Produção!$F$2:$F$109,O$2)</f>
        <v>0</v>
      </c>
      <c r="P10" s="41">
        <f>SUMIFS(Produção!$G$2:$G$109,Produção!$B$2:$B$109,$A10,Produção!$F$2:$F$109,P$2)</f>
        <v>0</v>
      </c>
      <c r="Q10" s="42" t="str" cm="1">
        <f t="array" ref="Q10">_xlfn.LET(_xlpm.canal,INDEX($E$2:$P$2,COLUMN()-COLUMN($Q$2)+1),_xlpm.pos,SUMPRODUCT((Produção!$B$2:$B$109=$A10)*(Produção!$F$2:$F$109=_xlpm.canal)*ROW(Produção!$I$2:$I$109))-1,IF(_xlpm.pos&lt;1,"-------",IF(INDEX(Produção!$I$2:$I$109,_xlpm.pos)="","-------",INDEX(Produção!$I$2:$I$109,_xlpm.pos))))</f>
        <v>https://arxiv.org/abs/2108.10960v1</v>
      </c>
      <c r="R10" s="42" t="str" cm="1">
        <f t="array" ref="R10">_xlfn.LET(_xlpm.canal,INDEX($E$2:$P$2,COLUMN()-COLUMN($Q$2)+1),_xlpm.pos,SUMPRODUCT((Produção!$B$2:$B$109=$A10)*(Produção!$F$2:$F$109=_xlpm.canal)*ROW(Produção!$I$2:$I$109))-1,IF(_xlpm.pos&lt;1,"-------",IF(INDEX(Produção!$I$2:$I$109,_xlpm.pos)="","-------",INDEX(Produção!$I$2:$I$109,_xlpm.pos))))</f>
        <v>https://doi.org/10.1140/epjp/s13360-021-01899-7</v>
      </c>
      <c r="S10" s="42" t="str" cm="1">
        <f t="array" ref="S10">_xlfn.LET(_xlpm.canal,INDEX($E$2:$P$2,COLUMN()-COLUMN($Q$2)+1),_xlpm.pos,SUMPRODUCT((Produção!$B$2:$B$109=$A10)*(Produção!$F$2:$F$109=_xlpm.canal)*ROW(Produção!$I$2:$I$109))-1,IF(_xlpm.pos&lt;1,"-------",IF(INDEX(Produção!$I$2:$I$109,_xlpm.pos)="","-------",INDEX(Produção!$I$2:$I$109,_xlpm.pos))))</f>
        <v>-------</v>
      </c>
      <c r="T10" s="42" t="str" cm="1">
        <f t="array" ref="T10">_xlfn.LET(_xlpm.canal,INDEX($E$2:$P$2,COLUMN()-COLUMN($Q$2)+1),_xlpm.pos,SUMPRODUCT((Produção!$B$2:$B$109=$A10)*(Produção!$F$2:$F$109=_xlpm.canal)*ROW(Produção!$I$2:$I$109))-1,IF(_xlpm.pos&lt;1,"-------",IF(INDEX(Produção!$I$2:$I$109,_xlpm.pos)="","-------",INDEX(Produção!$I$2:$I$109,_xlpm.pos))))</f>
        <v>-------</v>
      </c>
      <c r="U10" s="42" t="str" cm="1">
        <f t="array" ref="U10">_xlfn.LET(_xlpm.canal,INDEX($E$2:$P$2,COLUMN()-COLUMN($Q$2)+1),_xlpm.pos,SUMPRODUCT((Produção!$B$2:$B$109=$A10)*(Produção!$F$2:$F$109=_xlpm.canal)*ROW(Produção!$I$2:$I$109))-1,IF(_xlpm.pos&lt;1,"-------",IF(INDEX(Produção!$I$2:$I$109,_xlpm.pos)="","-------",INDEX(Produção!$I$2:$I$109,_xlpm.pos))))</f>
        <v>-------</v>
      </c>
      <c r="V10" s="42" t="str" cm="1">
        <f t="array" ref="V10">_xlfn.LET(_xlpm.canal,INDEX($E$2:$P$2,COLUMN()-COLUMN($Q$2)+1),_xlpm.pos,SUMPRODUCT((Produção!$B$2:$B$109=$A10)*(Produção!$F$2:$F$109=_xlpm.canal)*ROW(Produção!$I$2:$I$109))-1,IF(_xlpm.pos&lt;1,"-------",IF(INDEX(Produção!$I$2:$I$109,_xlpm.pos)="","-------",INDEX(Produção!$I$2:$I$109,_xlpm.pos))))</f>
        <v>-------</v>
      </c>
      <c r="W10" s="42" t="str" cm="1">
        <f t="array" ref="W10">_xlfn.LET(_xlpm.canal,INDEX($E$2:$P$2,COLUMN()-COLUMN($Q$2)+1),_xlpm.pos,SUMPRODUCT((Produção!$B$2:$B$109=$A10)*(Produção!$F$2:$F$109=_xlpm.canal)*ROW(Produção!$I$2:$I$109))-1,IF(_xlpm.pos&lt;1,"-------",IF(INDEX(Produção!$I$2:$I$109,_xlpm.pos)="","-------",INDEX(Produção!$I$2:$I$109,_xlpm.pos))))</f>
        <v>-------</v>
      </c>
      <c r="X10" s="42" t="str" cm="1">
        <f t="array" ref="X10">_xlfn.LET(_xlpm.canal,INDEX($E$2:$P$2,COLUMN()-COLUMN($Q$2)+1),_xlpm.pos,SUMPRODUCT((Produção!$B$2:$B$109=$A10)*(Produção!$F$2:$F$109=_xlpm.canal)*ROW(Produção!$I$2:$I$109))-1,IF(_xlpm.pos&lt;1,"-------",IF(INDEX(Produção!$I$2:$I$109,_xlpm.pos)="","-------",INDEX(Produção!$I$2:$I$109,_xlpm.pos))))</f>
        <v>-------</v>
      </c>
      <c r="Y10" s="42" t="str" cm="1">
        <f t="array" ref="Y10">_xlfn.LET(_xlpm.canal,INDEX($E$2:$P$2,COLUMN()-COLUMN($Q$2)+1),_xlpm.pos,SUMPRODUCT((Produção!$B$2:$B$109=$A10)*(Produção!$F$2:$F$109=_xlpm.canal)*ROW(Produção!$I$2:$I$109))-1,IF(_xlpm.pos&lt;1,"-------",IF(INDEX(Produção!$I$2:$I$109,_xlpm.pos)="","-------",INDEX(Produção!$I$2:$I$109,_xlpm.pos))))</f>
        <v>-------</v>
      </c>
      <c r="Z10" s="42" t="str" cm="1">
        <f t="array" ref="Z10">_xlfn.LET(_xlpm.canal,INDEX($E$2:$P$2,COLUMN()-COLUMN($Q$2)+1),_xlpm.pos,SUMPRODUCT((Produção!$B$2:$B$109=$A10)*(Produção!$F$2:$F$109=_xlpm.canal)*ROW(Produção!$I$2:$I$109))-1,IF(_xlpm.pos&lt;1,"-------",IF(INDEX(Produção!$I$2:$I$109,_xlpm.pos)="","-------",INDEX(Produção!$I$2:$I$109,_xlpm.pos))))</f>
        <v>-------</v>
      </c>
      <c r="AA10" s="42" t="str" cm="1">
        <f t="array" ref="AA10">_xlfn.LET(_xlpm.canal,INDEX($E$2:$P$2,COLUMN()-COLUMN($Q$2)+1),_xlpm.pos,SUMPRODUCT((Produção!$B$2:$B$109=$A10)*(Produção!$F$2:$F$109=_xlpm.canal)*ROW(Produção!$I$2:$I$109))-1,IF(_xlpm.pos&lt;1,"-------",IF(INDEX(Produção!$I$2:$I$109,_xlpm.pos)="","-------",INDEX(Produção!$I$2:$I$109,_xlpm.pos))))</f>
        <v>-------</v>
      </c>
      <c r="AB10" s="42" t="str" cm="1">
        <f t="array" ref="AB10">_xlfn.LET(_xlpm.canal,INDEX($E$2:$P$2,COLUMN()-COLUMN($Q$2)+1),_xlpm.pos,SUMPRODUCT((Produção!$B$2:$B$109=$A10)*(Produção!$F$2:$F$109=_xlpm.canal)*ROW(Produção!$I$2:$I$109))-1,IF(_xlpm.pos&lt;1,"-------",IF(INDEX(Produção!$I$2:$I$109,_xlpm.pos)="","-------",INDEX(Produção!$I$2:$I$109,_xlpm.pos))))</f>
        <v>-------</v>
      </c>
      <c r="AD10" s="34" cm="1">
        <f t="array" ref="AD10">SUMPRODUCT(($Q10:$AB10&lt;&gt;"-------")*1)</f>
        <v>2</v>
      </c>
      <c r="AE10" s="34">
        <f>RANK($D10,$D$3:$D$90)+COUNTIF($D$3:$D10,$D10)-1</f>
        <v>5</v>
      </c>
    </row>
    <row r="11" spans="1:31">
      <c r="A11" s="38" cm="1">
        <f t="array" ref="A11">INDEX(Produção!B$2:B$109,(ROW()-3)*12+1)</f>
        <v>9</v>
      </c>
      <c r="B11" s="39" t="str" cm="1">
        <f t="array" ref="B11">INDEX(Produção!C$2:C$109,(ROW()-3)*12+1)</f>
        <v>Relatividade e Warp Drive</v>
      </c>
      <c r="C11" s="39" t="str" cm="1">
        <f t="array" ref="C11">INDEX(Produção!D$2:D$109,(ROW()-3)*12+1)</f>
        <v>Warp drive dynamic solutions considering different fluid sources</v>
      </c>
      <c r="D11" s="40">
        <f t="shared" si="0"/>
        <v>4</v>
      </c>
      <c r="E11" s="41">
        <f>SUMIFS(Produção!$G$2:$G$109,Produção!$B$2:$B$109,$A11,Produção!$F$2:$F$109,E$2)</f>
        <v>1</v>
      </c>
      <c r="F11" s="41">
        <f>SUMIFS(Produção!$G$2:$G$109,Produção!$B$2:$B$109,$A11,Produção!$F$2:$F$109,F$2)</f>
        <v>1</v>
      </c>
      <c r="G11" s="41">
        <f>SUMIFS(Produção!$G$2:$G$109,Produção!$B$2:$B$109,$A11,Produção!$F$2:$F$109,G$2)</f>
        <v>1</v>
      </c>
      <c r="H11" s="41">
        <f>SUMIFS(Produção!$G$2:$G$109,Produção!$B$2:$B$109,$A11,Produção!$F$2:$F$109,H$2)</f>
        <v>0</v>
      </c>
      <c r="I11" s="41">
        <f>SUMIFS(Produção!$G$2:$G$109,Produção!$B$2:$B$109,$A11,Produção!$F$2:$F$109,I$2)</f>
        <v>0</v>
      </c>
      <c r="J11" s="41">
        <f>SUMIFS(Produção!$G$2:$G$109,Produção!$B$2:$B$109,$A11,Produção!$F$2:$F$109,J$2)</f>
        <v>0</v>
      </c>
      <c r="K11" s="41">
        <f>SUMIFS(Produção!$G$2:$G$109,Produção!$B$2:$B$109,$A11,Produção!$F$2:$F$109,K$2)</f>
        <v>0</v>
      </c>
      <c r="L11" s="41">
        <f>SUMIFS(Produção!$G$2:$G$109,Produção!$B$2:$B$109,$A11,Produção!$F$2:$F$109,L$2)</f>
        <v>0</v>
      </c>
      <c r="M11" s="41">
        <f>SUMIFS(Produção!$G$2:$G$109,Produção!$B$2:$B$109,$A11,Produção!$F$2:$F$109,M$2)</f>
        <v>1</v>
      </c>
      <c r="N11" s="41">
        <f>SUMIFS(Produção!$G$2:$G$109,Produção!$B$2:$B$109,$A11,Produção!$F$2:$F$109,N$2)</f>
        <v>0</v>
      </c>
      <c r="O11" s="41">
        <f>SUMIFS(Produção!$G$2:$G$109,Produção!$B$2:$B$109,$A11,Produção!$F$2:$F$109,O$2)</f>
        <v>0</v>
      </c>
      <c r="P11" s="41">
        <f>SUMIFS(Produção!$G$2:$G$109,Produção!$B$2:$B$109,$A11,Produção!$F$2:$F$109,P$2)</f>
        <v>0</v>
      </c>
      <c r="Q11" s="42" t="str" cm="1">
        <f t="array" ref="Q11">_xlfn.LET(_xlpm.canal,INDEX($E$2:$P$2,COLUMN()-COLUMN($Q$2)+1),_xlpm.pos,SUMPRODUCT((Produção!$B$2:$B$109=$A11)*(Produção!$F$2:$F$109=_xlpm.canal)*ROW(Produção!$I$2:$I$109))-1,IF(_xlpm.pos&lt;1,"-------",IF(INDEX(Produção!$I$2:$I$109,_xlpm.pos)="","-------",INDEX(Produção!$I$2:$I$109,_xlpm.pos))))</f>
        <v>https://arxiv.org/abs/2108.10960v1</v>
      </c>
      <c r="R11" s="42" t="str" cm="1">
        <f t="array" ref="R11">_xlfn.LET(_xlpm.canal,INDEX($E$2:$P$2,COLUMN()-COLUMN($Q$2)+1),_xlpm.pos,SUMPRODUCT((Produção!$B$2:$B$109=$A11)*(Produção!$F$2:$F$109=_xlpm.canal)*ROW(Produção!$I$2:$I$109))-1,IF(_xlpm.pos&lt;1,"-------",IF(INDEX(Produção!$I$2:$I$109,_xlpm.pos)="","-------",INDEX(Produção!$I$2:$I$109,_xlpm.pos))))</f>
        <v>https://doi.org/10.1142/9789811269776_0066</v>
      </c>
      <c r="S11" s="42" t="str" cm="1">
        <f t="array" ref="S11">_xlfn.LET(_xlpm.canal,INDEX($E$2:$P$2,COLUMN()-COLUMN($Q$2)+1),_xlpm.pos,SUMPRODUCT((Produção!$B$2:$B$109=$A11)*(Produção!$F$2:$F$109=_xlpm.canal)*ROW(Produção!$I$2:$I$109))-1,IF(_xlpm.pos&lt;1,"-------",IF(INDEX(Produção!$I$2:$I$109,_xlpm.pos)="","-------",INDEX(Produção!$I$2:$I$109,_xlpm.pos))))</f>
        <v>-------</v>
      </c>
      <c r="T11" s="42" t="str" cm="1">
        <f t="array" ref="T11">_xlfn.LET(_xlpm.canal,INDEX($E$2:$P$2,COLUMN()-COLUMN($Q$2)+1),_xlpm.pos,SUMPRODUCT((Produção!$B$2:$B$109=$A11)*(Produção!$F$2:$F$109=_xlpm.canal)*ROW(Produção!$I$2:$I$109))-1,IF(_xlpm.pos&lt;1,"-------",IF(INDEX(Produção!$I$2:$I$109,_xlpm.pos)="","-------",INDEX(Produção!$I$2:$I$109,_xlpm.pos))))</f>
        <v>-------</v>
      </c>
      <c r="U11" s="42" t="str" cm="1">
        <f t="array" ref="U11">_xlfn.LET(_xlpm.canal,INDEX($E$2:$P$2,COLUMN()-COLUMN($Q$2)+1),_xlpm.pos,SUMPRODUCT((Produção!$B$2:$B$109=$A11)*(Produção!$F$2:$F$109=_xlpm.canal)*ROW(Produção!$I$2:$I$109))-1,IF(_xlpm.pos&lt;1,"-------",IF(INDEX(Produção!$I$2:$I$109,_xlpm.pos)="","-------",INDEX(Produção!$I$2:$I$109,_xlpm.pos))))</f>
        <v>-------</v>
      </c>
      <c r="V11" s="42" t="str" cm="1">
        <f t="array" ref="V11">_xlfn.LET(_xlpm.canal,INDEX($E$2:$P$2,COLUMN()-COLUMN($Q$2)+1),_xlpm.pos,SUMPRODUCT((Produção!$B$2:$B$109=$A11)*(Produção!$F$2:$F$109=_xlpm.canal)*ROW(Produção!$I$2:$I$109))-1,IF(_xlpm.pos&lt;1,"-------",IF(INDEX(Produção!$I$2:$I$109,_xlpm.pos)="","-------",INDEX(Produção!$I$2:$I$109,_xlpm.pos))))</f>
        <v>-------</v>
      </c>
      <c r="W11" s="42" t="str" cm="1">
        <f t="array" ref="W11">_xlfn.LET(_xlpm.canal,INDEX($E$2:$P$2,COLUMN()-COLUMN($Q$2)+1),_xlpm.pos,SUMPRODUCT((Produção!$B$2:$B$109=$A11)*(Produção!$F$2:$F$109=_xlpm.canal)*ROW(Produção!$I$2:$I$109))-1,IF(_xlpm.pos&lt;1,"-------",IF(INDEX(Produção!$I$2:$I$109,_xlpm.pos)="","-------",INDEX(Produção!$I$2:$I$109,_xlpm.pos))))</f>
        <v>-------</v>
      </c>
      <c r="X11" s="42" t="str" cm="1">
        <f t="array" ref="X11">_xlfn.LET(_xlpm.canal,INDEX($E$2:$P$2,COLUMN()-COLUMN($Q$2)+1),_xlpm.pos,SUMPRODUCT((Produção!$B$2:$B$109=$A11)*(Produção!$F$2:$F$109=_xlpm.canal)*ROW(Produção!$I$2:$I$109))-1,IF(_xlpm.pos&lt;1,"-------",IF(INDEX(Produção!$I$2:$I$109,_xlpm.pos)="","-------",INDEX(Produção!$I$2:$I$109,_xlpm.pos))))</f>
        <v>-------</v>
      </c>
      <c r="Y11" s="42" t="str" cm="1">
        <f t="array" ref="Y11">_xlfn.LET(_xlpm.canal,INDEX($E$2:$P$2,COLUMN()-COLUMN($Q$2)+1),_xlpm.pos,SUMPRODUCT((Produção!$B$2:$B$109=$A11)*(Produção!$F$2:$F$109=_xlpm.canal)*ROW(Produção!$I$2:$I$109))-1,IF(_xlpm.pos&lt;1,"-------",IF(INDEX(Produção!$I$2:$I$109,_xlpm.pos)="","-------",INDEX(Produção!$I$2:$I$109,_xlpm.pos))))</f>
        <v>-------</v>
      </c>
      <c r="Z11" s="42" t="str" cm="1">
        <f t="array" ref="Z11">_xlfn.LET(_xlpm.canal,INDEX($E$2:$P$2,COLUMN()-COLUMN($Q$2)+1),_xlpm.pos,SUMPRODUCT((Produção!$B$2:$B$109=$A11)*(Produção!$F$2:$F$109=_xlpm.canal)*ROW(Produção!$I$2:$I$109))-1,IF(_xlpm.pos&lt;1,"-------",IF(INDEX(Produção!$I$2:$I$109,_xlpm.pos)="","-------",INDEX(Produção!$I$2:$I$109,_xlpm.pos))))</f>
        <v>-------</v>
      </c>
      <c r="AA11" s="42" t="str" cm="1">
        <f t="array" ref="AA11">_xlfn.LET(_xlpm.canal,INDEX($E$2:$P$2,COLUMN()-COLUMN($Q$2)+1),_xlpm.pos,SUMPRODUCT((Produção!$B$2:$B$109=$A11)*(Produção!$F$2:$F$109=_xlpm.canal)*ROW(Produção!$I$2:$I$109))-1,IF(_xlpm.pos&lt;1,"-------",IF(INDEX(Produção!$I$2:$I$109,_xlpm.pos)="","-------",INDEX(Produção!$I$2:$I$109,_xlpm.pos))))</f>
        <v>-------</v>
      </c>
      <c r="AB11" s="42" t="str" cm="1">
        <f t="array" ref="AB11">_xlfn.LET(_xlpm.canal,INDEX($E$2:$P$2,COLUMN()-COLUMN($Q$2)+1),_xlpm.pos,SUMPRODUCT((Produção!$B$2:$B$109=$A11)*(Produção!$F$2:$F$109=_xlpm.canal)*ROW(Produção!$I$2:$I$109))-1,IF(_xlpm.pos&lt;1,"-------",IF(INDEX(Produção!$I$2:$I$109,_xlpm.pos)="","-------",INDEX(Produção!$I$2:$I$109,_xlpm.pos))))</f>
        <v>-------</v>
      </c>
      <c r="AD11" s="34" cm="1">
        <f t="array" ref="AD11">SUMPRODUCT(($Q11:$AB11&lt;&gt;"-------")*1)</f>
        <v>2</v>
      </c>
      <c r="AE11" s="34">
        <f>RANK($D11,$D$3:$D$90)+COUNTIF($D$3:$D11,$D11)-1</f>
        <v>6</v>
      </c>
    </row>
    <row r="12" spans="1:31">
      <c r="A12" s="38" t="e" cm="1">
        <f t="array" ref="A12">INDEX(Produção!B$2:B$109,(ROW()-3)*12+1)</f>
        <v>#REF!</v>
      </c>
      <c r="B12" s="39" t="e" cm="1">
        <f t="array" ref="B12">INDEX(Produção!C$2:C$109,(ROW()-3)*12+1)</f>
        <v>#REF!</v>
      </c>
      <c r="C12" s="39" t="e" cm="1">
        <f t="array" ref="C12">INDEX(Produção!D$2:D$109,(ROW()-3)*12+1)</f>
        <v>#REF!</v>
      </c>
      <c r="D12" s="40">
        <f t="shared" si="0"/>
        <v>0</v>
      </c>
      <c r="E12" s="41">
        <f>SUMIFS(Produção!$G$2:$G$109,Produção!$B$2:$B$109,$A12,Produção!$F$2:$F$109,E$2)</f>
        <v>0</v>
      </c>
      <c r="F12" s="41">
        <f>SUMIFS(Produção!$G$2:$G$109,Produção!$B$2:$B$109,$A12,Produção!$F$2:$F$109,F$2)</f>
        <v>0</v>
      </c>
      <c r="G12" s="41">
        <f>SUMIFS(Produção!$G$2:$G$109,Produção!$B$2:$B$109,$A12,Produção!$F$2:$F$109,G$2)</f>
        <v>0</v>
      </c>
      <c r="H12" s="41">
        <f>SUMIFS(Produção!$G$2:$G$109,Produção!$B$2:$B$109,$A12,Produção!$F$2:$F$109,H$2)</f>
        <v>0</v>
      </c>
      <c r="I12" s="41">
        <f>SUMIFS(Produção!$G$2:$G$109,Produção!$B$2:$B$109,$A12,Produção!$F$2:$F$109,I$2)</f>
        <v>0</v>
      </c>
      <c r="J12" s="41">
        <f>SUMIFS(Produção!$G$2:$G$109,Produção!$B$2:$B$109,$A12,Produção!$F$2:$F$109,J$2)</f>
        <v>0</v>
      </c>
      <c r="K12" s="41">
        <f>SUMIFS(Produção!$G$2:$G$109,Produção!$B$2:$B$109,$A12,Produção!$F$2:$F$109,K$2)</f>
        <v>0</v>
      </c>
      <c r="L12" s="41">
        <f>SUMIFS(Produção!$G$2:$G$109,Produção!$B$2:$B$109,$A12,Produção!$F$2:$F$109,L$2)</f>
        <v>0</v>
      </c>
      <c r="M12" s="41">
        <f>SUMIFS(Produção!$G$2:$G$109,Produção!$B$2:$B$109,$A12,Produção!$F$2:$F$109,M$2)</f>
        <v>0</v>
      </c>
      <c r="N12" s="41">
        <f>SUMIFS(Produção!$G$2:$G$109,Produção!$B$2:$B$109,$A12,Produção!$F$2:$F$109,N$2)</f>
        <v>0</v>
      </c>
      <c r="O12" s="41">
        <f>SUMIFS(Produção!$G$2:$G$109,Produção!$B$2:$B$109,$A12,Produção!$F$2:$F$109,O$2)</f>
        <v>0</v>
      </c>
      <c r="P12" s="41">
        <f>SUMIFS(Produção!$G$2:$G$109,Produção!$B$2:$B$109,$A12,Produção!$F$2:$F$109,P$2)</f>
        <v>0</v>
      </c>
      <c r="Q12" s="42" t="e" cm="1">
        <f t="array" ref="Q12">_xlfn.LET(_xlpm.canal,INDEX($E$2:$P$2,COLUMN()-COLUMN($Q$2)+1),_xlpm.pos,SUMPRODUCT((Produção!$B$2:$B$109=$A12)*(Produção!$F$2:$F$109=_xlpm.canal)*ROW(Produção!$I$2:$I$109))-1,IF(_xlpm.pos&lt;1,"-------",IF(INDEX(Produção!$I$2:$I$109,_xlpm.pos)="","-------",INDEX(Produção!$I$2:$I$109,_xlpm.pos))))</f>
        <v>#REF!</v>
      </c>
      <c r="R12" s="42" t="e" cm="1">
        <f t="array" ref="R12">_xlfn.LET(_xlpm.canal,INDEX($E$2:$P$2,COLUMN()-COLUMN($Q$2)+1),_xlpm.pos,SUMPRODUCT((Produção!$B$2:$B$109=$A12)*(Produção!$F$2:$F$109=_xlpm.canal)*ROW(Produção!$I$2:$I$109))-1,IF(_xlpm.pos&lt;1,"-------",IF(INDEX(Produção!$I$2:$I$109,_xlpm.pos)="","-------",INDEX(Produção!$I$2:$I$109,_xlpm.pos))))</f>
        <v>#REF!</v>
      </c>
      <c r="S12" s="42" t="e" cm="1">
        <f t="array" ref="S12">_xlfn.LET(_xlpm.canal,INDEX($E$2:$P$2,COLUMN()-COLUMN($Q$2)+1),_xlpm.pos,SUMPRODUCT((Produção!$B$2:$B$109=$A12)*(Produção!$F$2:$F$109=_xlpm.canal)*ROW(Produção!$I$2:$I$109))-1,IF(_xlpm.pos&lt;1,"-------",IF(INDEX(Produção!$I$2:$I$109,_xlpm.pos)="","-------",INDEX(Produção!$I$2:$I$109,_xlpm.pos))))</f>
        <v>#REF!</v>
      </c>
      <c r="T12" s="42" t="e" cm="1">
        <f t="array" ref="T12">_xlfn.LET(_xlpm.canal,INDEX($E$2:$P$2,COLUMN()-COLUMN($Q$2)+1),_xlpm.pos,SUMPRODUCT((Produção!$B$2:$B$109=$A12)*(Produção!$F$2:$F$109=_xlpm.canal)*ROW(Produção!$I$2:$I$109))-1,IF(_xlpm.pos&lt;1,"-------",IF(INDEX(Produção!$I$2:$I$109,_xlpm.pos)="","-------",INDEX(Produção!$I$2:$I$109,_xlpm.pos))))</f>
        <v>#REF!</v>
      </c>
      <c r="U12" s="42" t="e" cm="1">
        <f t="array" ref="U12">_xlfn.LET(_xlpm.canal,INDEX($E$2:$P$2,COLUMN()-COLUMN($Q$2)+1),_xlpm.pos,SUMPRODUCT((Produção!$B$2:$B$109=$A12)*(Produção!$F$2:$F$109=_xlpm.canal)*ROW(Produção!$I$2:$I$109))-1,IF(_xlpm.pos&lt;1,"-------",IF(INDEX(Produção!$I$2:$I$109,_xlpm.pos)="","-------",INDEX(Produção!$I$2:$I$109,_xlpm.pos))))</f>
        <v>#REF!</v>
      </c>
      <c r="V12" s="42" t="e" cm="1">
        <f t="array" ref="V12">_xlfn.LET(_xlpm.canal,INDEX($E$2:$P$2,COLUMN()-COLUMN($Q$2)+1),_xlpm.pos,SUMPRODUCT((Produção!$B$2:$B$109=$A12)*(Produção!$F$2:$F$109=_xlpm.canal)*ROW(Produção!$I$2:$I$109))-1,IF(_xlpm.pos&lt;1,"-------",IF(INDEX(Produção!$I$2:$I$109,_xlpm.pos)="","-------",INDEX(Produção!$I$2:$I$109,_xlpm.pos))))</f>
        <v>#REF!</v>
      </c>
      <c r="W12" s="42" t="e" cm="1">
        <f t="array" ref="W12">_xlfn.LET(_xlpm.canal,INDEX($E$2:$P$2,COLUMN()-COLUMN($Q$2)+1),_xlpm.pos,SUMPRODUCT((Produção!$B$2:$B$109=$A12)*(Produção!$F$2:$F$109=_xlpm.canal)*ROW(Produção!$I$2:$I$109))-1,IF(_xlpm.pos&lt;1,"-------",IF(INDEX(Produção!$I$2:$I$109,_xlpm.pos)="","-------",INDEX(Produção!$I$2:$I$109,_xlpm.pos))))</f>
        <v>#REF!</v>
      </c>
      <c r="X12" s="42" t="e" cm="1">
        <f t="array" ref="X12">_xlfn.LET(_xlpm.canal,INDEX($E$2:$P$2,COLUMN()-COLUMN($Q$2)+1),_xlpm.pos,SUMPRODUCT((Produção!$B$2:$B$109=$A12)*(Produção!$F$2:$F$109=_xlpm.canal)*ROW(Produção!$I$2:$I$109))-1,IF(_xlpm.pos&lt;1,"-------",IF(INDEX(Produção!$I$2:$I$109,_xlpm.pos)="","-------",INDEX(Produção!$I$2:$I$109,_xlpm.pos))))</f>
        <v>#REF!</v>
      </c>
      <c r="Y12" s="42" t="e" cm="1">
        <f t="array" ref="Y12">_xlfn.LET(_xlpm.canal,INDEX($E$2:$P$2,COLUMN()-COLUMN($Q$2)+1),_xlpm.pos,SUMPRODUCT((Produção!$B$2:$B$109=$A12)*(Produção!$F$2:$F$109=_xlpm.canal)*ROW(Produção!$I$2:$I$109))-1,IF(_xlpm.pos&lt;1,"-------",IF(INDEX(Produção!$I$2:$I$109,_xlpm.pos)="","-------",INDEX(Produção!$I$2:$I$109,_xlpm.pos))))</f>
        <v>#REF!</v>
      </c>
      <c r="Z12" s="42" t="e" cm="1">
        <f t="array" ref="Z12">_xlfn.LET(_xlpm.canal,INDEX($E$2:$P$2,COLUMN()-COLUMN($Q$2)+1),_xlpm.pos,SUMPRODUCT((Produção!$B$2:$B$109=$A12)*(Produção!$F$2:$F$109=_xlpm.canal)*ROW(Produção!$I$2:$I$109))-1,IF(_xlpm.pos&lt;1,"-------",IF(INDEX(Produção!$I$2:$I$109,_xlpm.pos)="","-------",INDEX(Produção!$I$2:$I$109,_xlpm.pos))))</f>
        <v>#REF!</v>
      </c>
      <c r="AA12" s="42" t="e" cm="1">
        <f t="array" ref="AA12">_xlfn.LET(_xlpm.canal,INDEX($E$2:$P$2,COLUMN()-COLUMN($Q$2)+1),_xlpm.pos,SUMPRODUCT((Produção!$B$2:$B$109=$A12)*(Produção!$F$2:$F$109=_xlpm.canal)*ROW(Produção!$I$2:$I$109))-1,IF(_xlpm.pos&lt;1,"-------",IF(INDEX(Produção!$I$2:$I$109,_xlpm.pos)="","-------",INDEX(Produção!$I$2:$I$109,_xlpm.pos))))</f>
        <v>#REF!</v>
      </c>
      <c r="AB12" s="42" t="e" cm="1">
        <f t="array" ref="AB12">_xlfn.LET(_xlpm.canal,INDEX($E$2:$P$2,COLUMN()-COLUMN($Q$2)+1),_xlpm.pos,SUMPRODUCT((Produção!$B$2:$B$109=$A12)*(Produção!$F$2:$F$109=_xlpm.canal)*ROW(Produção!$I$2:$I$109))-1,IF(_xlpm.pos&lt;1,"-------",IF(INDEX(Produção!$I$2:$I$109,_xlpm.pos)="","-------",INDEX(Produção!$I$2:$I$109,_xlpm.pos))))</f>
        <v>#REF!</v>
      </c>
      <c r="AD12" s="34" t="e" cm="1">
        <f t="array" ref="AD12">SUMPRODUCT(($Q12:$AB12&lt;&gt;"-------")*1)</f>
        <v>#REF!</v>
      </c>
      <c r="AE12" s="34">
        <f>RANK($D12,$D$3:$D$90)+COUNTIF($D$3:$D12,$D12)-1</f>
        <v>10</v>
      </c>
    </row>
    <row r="13" spans="1:31">
      <c r="A13" s="38" t="e" cm="1">
        <f t="array" ref="A13">INDEX(Produção!B$2:B$109,(ROW()-3)*12+1)</f>
        <v>#REF!</v>
      </c>
      <c r="B13" s="39" t="e" cm="1">
        <f t="array" ref="B13">INDEX(Produção!C$2:C$109,(ROW()-3)*12+1)</f>
        <v>#REF!</v>
      </c>
      <c r="C13" s="39" t="e" cm="1">
        <f t="array" ref="C13">INDEX(Produção!D$2:D$109,(ROW()-3)*12+1)</f>
        <v>#REF!</v>
      </c>
      <c r="D13" s="40">
        <f t="shared" si="0"/>
        <v>0</v>
      </c>
      <c r="E13" s="41">
        <f>SUMIFS(Produção!$G$2:$G$109,Produção!$B$2:$B$109,$A13,Produção!$F$2:$F$109,E$2)</f>
        <v>0</v>
      </c>
      <c r="F13" s="41">
        <f>SUMIFS(Produção!$G$2:$G$109,Produção!$B$2:$B$109,$A13,Produção!$F$2:$F$109,F$2)</f>
        <v>0</v>
      </c>
      <c r="G13" s="41">
        <f>SUMIFS(Produção!$G$2:$G$109,Produção!$B$2:$B$109,$A13,Produção!$F$2:$F$109,G$2)</f>
        <v>0</v>
      </c>
      <c r="H13" s="41">
        <f>SUMIFS(Produção!$G$2:$G$109,Produção!$B$2:$B$109,$A13,Produção!$F$2:$F$109,H$2)</f>
        <v>0</v>
      </c>
      <c r="I13" s="41">
        <f>SUMIFS(Produção!$G$2:$G$109,Produção!$B$2:$B$109,$A13,Produção!$F$2:$F$109,I$2)</f>
        <v>0</v>
      </c>
      <c r="J13" s="41">
        <f>SUMIFS(Produção!$G$2:$G$109,Produção!$B$2:$B$109,$A13,Produção!$F$2:$F$109,J$2)</f>
        <v>0</v>
      </c>
      <c r="K13" s="41">
        <f>SUMIFS(Produção!$G$2:$G$109,Produção!$B$2:$B$109,$A13,Produção!$F$2:$F$109,K$2)</f>
        <v>0</v>
      </c>
      <c r="L13" s="41">
        <f>SUMIFS(Produção!$G$2:$G$109,Produção!$B$2:$B$109,$A13,Produção!$F$2:$F$109,L$2)</f>
        <v>0</v>
      </c>
      <c r="M13" s="41">
        <f>SUMIFS(Produção!$G$2:$G$109,Produção!$B$2:$B$109,$A13,Produção!$F$2:$F$109,M$2)</f>
        <v>0</v>
      </c>
      <c r="N13" s="41">
        <f>SUMIFS(Produção!$G$2:$G$109,Produção!$B$2:$B$109,$A13,Produção!$F$2:$F$109,N$2)</f>
        <v>0</v>
      </c>
      <c r="O13" s="41">
        <f>SUMIFS(Produção!$G$2:$G$109,Produção!$B$2:$B$109,$A13,Produção!$F$2:$F$109,O$2)</f>
        <v>0</v>
      </c>
      <c r="P13" s="41">
        <f>SUMIFS(Produção!$G$2:$G$109,Produção!$B$2:$B$109,$A13,Produção!$F$2:$F$109,P$2)</f>
        <v>0</v>
      </c>
      <c r="Q13" s="42" t="e" cm="1">
        <f t="array" ref="Q13">_xlfn.LET(_xlpm.canal,INDEX($E$2:$P$2,COLUMN()-COLUMN($Q$2)+1),_xlpm.pos,SUMPRODUCT((Produção!$B$2:$B$109=$A13)*(Produção!$F$2:$F$109=_xlpm.canal)*ROW(Produção!$I$2:$I$109))-1,IF(_xlpm.pos&lt;1,"-------",IF(INDEX(Produção!$I$2:$I$109,_xlpm.pos)="","-------",INDEX(Produção!$I$2:$I$109,_xlpm.pos))))</f>
        <v>#REF!</v>
      </c>
      <c r="R13" s="42" t="e" cm="1">
        <f t="array" ref="R13">_xlfn.LET(_xlpm.canal,INDEX($E$2:$P$2,COLUMN()-COLUMN($Q$2)+1),_xlpm.pos,SUMPRODUCT((Produção!$B$2:$B$109=$A13)*(Produção!$F$2:$F$109=_xlpm.canal)*ROW(Produção!$I$2:$I$109))-1,IF(_xlpm.pos&lt;1,"-------",IF(INDEX(Produção!$I$2:$I$109,_xlpm.pos)="","-------",INDEX(Produção!$I$2:$I$109,_xlpm.pos))))</f>
        <v>#REF!</v>
      </c>
      <c r="S13" s="42" t="e" cm="1">
        <f t="array" ref="S13">_xlfn.LET(_xlpm.canal,INDEX($E$2:$P$2,COLUMN()-COLUMN($Q$2)+1),_xlpm.pos,SUMPRODUCT((Produção!$B$2:$B$109=$A13)*(Produção!$F$2:$F$109=_xlpm.canal)*ROW(Produção!$I$2:$I$109))-1,IF(_xlpm.pos&lt;1,"-------",IF(INDEX(Produção!$I$2:$I$109,_xlpm.pos)="","-------",INDEX(Produção!$I$2:$I$109,_xlpm.pos))))</f>
        <v>#REF!</v>
      </c>
      <c r="T13" s="42" t="e" cm="1">
        <f t="array" ref="T13">_xlfn.LET(_xlpm.canal,INDEX($E$2:$P$2,COLUMN()-COLUMN($Q$2)+1),_xlpm.pos,SUMPRODUCT((Produção!$B$2:$B$109=$A13)*(Produção!$F$2:$F$109=_xlpm.canal)*ROW(Produção!$I$2:$I$109))-1,IF(_xlpm.pos&lt;1,"-------",IF(INDEX(Produção!$I$2:$I$109,_xlpm.pos)="","-------",INDEX(Produção!$I$2:$I$109,_xlpm.pos))))</f>
        <v>#REF!</v>
      </c>
      <c r="U13" s="42" t="e" cm="1">
        <f t="array" ref="U13">_xlfn.LET(_xlpm.canal,INDEX($E$2:$P$2,COLUMN()-COLUMN($Q$2)+1),_xlpm.pos,SUMPRODUCT((Produção!$B$2:$B$109=$A13)*(Produção!$F$2:$F$109=_xlpm.canal)*ROW(Produção!$I$2:$I$109))-1,IF(_xlpm.pos&lt;1,"-------",IF(INDEX(Produção!$I$2:$I$109,_xlpm.pos)="","-------",INDEX(Produção!$I$2:$I$109,_xlpm.pos))))</f>
        <v>#REF!</v>
      </c>
      <c r="V13" s="42" t="e" cm="1">
        <f t="array" ref="V13">_xlfn.LET(_xlpm.canal,INDEX($E$2:$P$2,COLUMN()-COLUMN($Q$2)+1),_xlpm.pos,SUMPRODUCT((Produção!$B$2:$B$109=$A13)*(Produção!$F$2:$F$109=_xlpm.canal)*ROW(Produção!$I$2:$I$109))-1,IF(_xlpm.pos&lt;1,"-------",IF(INDEX(Produção!$I$2:$I$109,_xlpm.pos)="","-------",INDEX(Produção!$I$2:$I$109,_xlpm.pos))))</f>
        <v>#REF!</v>
      </c>
      <c r="W13" s="42" t="e" cm="1">
        <f t="array" ref="W13">_xlfn.LET(_xlpm.canal,INDEX($E$2:$P$2,COLUMN()-COLUMN($Q$2)+1),_xlpm.pos,SUMPRODUCT((Produção!$B$2:$B$109=$A13)*(Produção!$F$2:$F$109=_xlpm.canal)*ROW(Produção!$I$2:$I$109))-1,IF(_xlpm.pos&lt;1,"-------",IF(INDEX(Produção!$I$2:$I$109,_xlpm.pos)="","-------",INDEX(Produção!$I$2:$I$109,_xlpm.pos))))</f>
        <v>#REF!</v>
      </c>
      <c r="X13" s="42" t="e" cm="1">
        <f t="array" ref="X13">_xlfn.LET(_xlpm.canal,INDEX($E$2:$P$2,COLUMN()-COLUMN($Q$2)+1),_xlpm.pos,SUMPRODUCT((Produção!$B$2:$B$109=$A13)*(Produção!$F$2:$F$109=_xlpm.canal)*ROW(Produção!$I$2:$I$109))-1,IF(_xlpm.pos&lt;1,"-------",IF(INDEX(Produção!$I$2:$I$109,_xlpm.pos)="","-------",INDEX(Produção!$I$2:$I$109,_xlpm.pos))))</f>
        <v>#REF!</v>
      </c>
      <c r="Y13" s="42" t="e" cm="1">
        <f t="array" ref="Y13">_xlfn.LET(_xlpm.canal,INDEX($E$2:$P$2,COLUMN()-COLUMN($Q$2)+1),_xlpm.pos,SUMPRODUCT((Produção!$B$2:$B$109=$A13)*(Produção!$F$2:$F$109=_xlpm.canal)*ROW(Produção!$I$2:$I$109))-1,IF(_xlpm.pos&lt;1,"-------",IF(INDEX(Produção!$I$2:$I$109,_xlpm.pos)="","-------",INDEX(Produção!$I$2:$I$109,_xlpm.pos))))</f>
        <v>#REF!</v>
      </c>
      <c r="Z13" s="42" t="e" cm="1">
        <f t="array" ref="Z13">_xlfn.LET(_xlpm.canal,INDEX($E$2:$P$2,COLUMN()-COLUMN($Q$2)+1),_xlpm.pos,SUMPRODUCT((Produção!$B$2:$B$109=$A13)*(Produção!$F$2:$F$109=_xlpm.canal)*ROW(Produção!$I$2:$I$109))-1,IF(_xlpm.pos&lt;1,"-------",IF(INDEX(Produção!$I$2:$I$109,_xlpm.pos)="","-------",INDEX(Produção!$I$2:$I$109,_xlpm.pos))))</f>
        <v>#REF!</v>
      </c>
      <c r="AA13" s="42" t="e" cm="1">
        <f t="array" ref="AA13">_xlfn.LET(_xlpm.canal,INDEX($E$2:$P$2,COLUMN()-COLUMN($Q$2)+1),_xlpm.pos,SUMPRODUCT((Produção!$B$2:$B$109=$A13)*(Produção!$F$2:$F$109=_xlpm.canal)*ROW(Produção!$I$2:$I$109))-1,IF(_xlpm.pos&lt;1,"-------",IF(INDEX(Produção!$I$2:$I$109,_xlpm.pos)="","-------",INDEX(Produção!$I$2:$I$109,_xlpm.pos))))</f>
        <v>#REF!</v>
      </c>
      <c r="AB13" s="42" t="e" cm="1">
        <f t="array" ref="AB13">_xlfn.LET(_xlpm.canal,INDEX($E$2:$P$2,COLUMN()-COLUMN($Q$2)+1),_xlpm.pos,SUMPRODUCT((Produção!$B$2:$B$109=$A13)*(Produção!$F$2:$F$109=_xlpm.canal)*ROW(Produção!$I$2:$I$109))-1,IF(_xlpm.pos&lt;1,"-------",IF(INDEX(Produção!$I$2:$I$109,_xlpm.pos)="","-------",INDEX(Produção!$I$2:$I$109,_xlpm.pos))))</f>
        <v>#REF!</v>
      </c>
      <c r="AD13" s="34" t="e" cm="1">
        <f t="array" ref="AD13">SUMPRODUCT(($Q13:$AB13&lt;&gt;"-------")*1)</f>
        <v>#REF!</v>
      </c>
      <c r="AE13" s="34">
        <f>RANK($D13,$D$3:$D$90)+COUNTIF($D$3:$D13,$D13)-1</f>
        <v>11</v>
      </c>
    </row>
    <row r="14" spans="1:31">
      <c r="A14" s="38" t="e" cm="1">
        <f t="array" ref="A14">INDEX(Produção!B$2:B$109,(ROW()-3)*12+1)</f>
        <v>#REF!</v>
      </c>
      <c r="B14" s="39" t="e" cm="1">
        <f t="array" ref="B14">INDEX(Produção!C$2:C$109,(ROW()-3)*12+1)</f>
        <v>#REF!</v>
      </c>
      <c r="C14" s="39" t="e" cm="1">
        <f t="array" ref="C14">INDEX(Produção!D$2:D$109,(ROW()-3)*12+1)</f>
        <v>#REF!</v>
      </c>
      <c r="D14" s="40">
        <f t="shared" si="0"/>
        <v>0</v>
      </c>
      <c r="E14" s="41">
        <f>SUMIFS(Produção!$G$2:$G$109,Produção!$B$2:$B$109,$A14,Produção!$F$2:$F$109,E$2)</f>
        <v>0</v>
      </c>
      <c r="F14" s="41">
        <f>SUMIFS(Produção!$G$2:$G$109,Produção!$B$2:$B$109,$A14,Produção!$F$2:$F$109,F$2)</f>
        <v>0</v>
      </c>
      <c r="G14" s="41">
        <f>SUMIFS(Produção!$G$2:$G$109,Produção!$B$2:$B$109,$A14,Produção!$F$2:$F$109,G$2)</f>
        <v>0</v>
      </c>
      <c r="H14" s="41">
        <f>SUMIFS(Produção!$G$2:$G$109,Produção!$B$2:$B$109,$A14,Produção!$F$2:$F$109,H$2)</f>
        <v>0</v>
      </c>
      <c r="I14" s="41">
        <f>SUMIFS(Produção!$G$2:$G$109,Produção!$B$2:$B$109,$A14,Produção!$F$2:$F$109,I$2)</f>
        <v>0</v>
      </c>
      <c r="J14" s="41">
        <f>SUMIFS(Produção!$G$2:$G$109,Produção!$B$2:$B$109,$A14,Produção!$F$2:$F$109,J$2)</f>
        <v>0</v>
      </c>
      <c r="K14" s="41">
        <f>SUMIFS(Produção!$G$2:$G$109,Produção!$B$2:$B$109,$A14,Produção!$F$2:$F$109,K$2)</f>
        <v>0</v>
      </c>
      <c r="L14" s="41">
        <f>SUMIFS(Produção!$G$2:$G$109,Produção!$B$2:$B$109,$A14,Produção!$F$2:$F$109,L$2)</f>
        <v>0</v>
      </c>
      <c r="M14" s="41">
        <f>SUMIFS(Produção!$G$2:$G$109,Produção!$B$2:$B$109,$A14,Produção!$F$2:$F$109,M$2)</f>
        <v>0</v>
      </c>
      <c r="N14" s="41">
        <f>SUMIFS(Produção!$G$2:$G$109,Produção!$B$2:$B$109,$A14,Produção!$F$2:$F$109,N$2)</f>
        <v>0</v>
      </c>
      <c r="O14" s="41">
        <f>SUMIFS(Produção!$G$2:$G$109,Produção!$B$2:$B$109,$A14,Produção!$F$2:$F$109,O$2)</f>
        <v>0</v>
      </c>
      <c r="P14" s="41">
        <f>SUMIFS(Produção!$G$2:$G$109,Produção!$B$2:$B$109,$A14,Produção!$F$2:$F$109,P$2)</f>
        <v>0</v>
      </c>
      <c r="Q14" s="42" t="e" cm="1">
        <f t="array" ref="Q14">_xlfn.LET(_xlpm.canal,INDEX($E$2:$P$2,COLUMN()-COLUMN($Q$2)+1),_xlpm.pos,SUMPRODUCT((Produção!$B$2:$B$109=$A14)*(Produção!$F$2:$F$109=_xlpm.canal)*ROW(Produção!$I$2:$I$109))-1,IF(_xlpm.pos&lt;1,"-------",IF(INDEX(Produção!$I$2:$I$109,_xlpm.pos)="","-------",INDEX(Produção!$I$2:$I$109,_xlpm.pos))))</f>
        <v>#REF!</v>
      </c>
      <c r="R14" s="42" t="e" cm="1">
        <f t="array" ref="R14">_xlfn.LET(_xlpm.canal,INDEX($E$2:$P$2,COLUMN()-COLUMN($Q$2)+1),_xlpm.pos,SUMPRODUCT((Produção!$B$2:$B$109=$A14)*(Produção!$F$2:$F$109=_xlpm.canal)*ROW(Produção!$I$2:$I$109))-1,IF(_xlpm.pos&lt;1,"-------",IF(INDEX(Produção!$I$2:$I$109,_xlpm.pos)="","-------",INDEX(Produção!$I$2:$I$109,_xlpm.pos))))</f>
        <v>#REF!</v>
      </c>
      <c r="S14" s="42" t="e" cm="1">
        <f t="array" ref="S14">_xlfn.LET(_xlpm.canal,INDEX($E$2:$P$2,COLUMN()-COLUMN($Q$2)+1),_xlpm.pos,SUMPRODUCT((Produção!$B$2:$B$109=$A14)*(Produção!$F$2:$F$109=_xlpm.canal)*ROW(Produção!$I$2:$I$109))-1,IF(_xlpm.pos&lt;1,"-------",IF(INDEX(Produção!$I$2:$I$109,_xlpm.pos)="","-------",INDEX(Produção!$I$2:$I$109,_xlpm.pos))))</f>
        <v>#REF!</v>
      </c>
      <c r="T14" s="42" t="e" cm="1">
        <f t="array" ref="T14">_xlfn.LET(_xlpm.canal,INDEX($E$2:$P$2,COLUMN()-COLUMN($Q$2)+1),_xlpm.pos,SUMPRODUCT((Produção!$B$2:$B$109=$A14)*(Produção!$F$2:$F$109=_xlpm.canal)*ROW(Produção!$I$2:$I$109))-1,IF(_xlpm.pos&lt;1,"-------",IF(INDEX(Produção!$I$2:$I$109,_xlpm.pos)="","-------",INDEX(Produção!$I$2:$I$109,_xlpm.pos))))</f>
        <v>#REF!</v>
      </c>
      <c r="U14" s="42" t="e" cm="1">
        <f t="array" ref="U14">_xlfn.LET(_xlpm.canal,INDEX($E$2:$P$2,COLUMN()-COLUMN($Q$2)+1),_xlpm.pos,SUMPRODUCT((Produção!$B$2:$B$109=$A14)*(Produção!$F$2:$F$109=_xlpm.canal)*ROW(Produção!$I$2:$I$109))-1,IF(_xlpm.pos&lt;1,"-------",IF(INDEX(Produção!$I$2:$I$109,_xlpm.pos)="","-------",INDEX(Produção!$I$2:$I$109,_xlpm.pos))))</f>
        <v>#REF!</v>
      </c>
      <c r="V14" s="42" t="e" cm="1">
        <f t="array" ref="V14">_xlfn.LET(_xlpm.canal,INDEX($E$2:$P$2,COLUMN()-COLUMN($Q$2)+1),_xlpm.pos,SUMPRODUCT((Produção!$B$2:$B$109=$A14)*(Produção!$F$2:$F$109=_xlpm.canal)*ROW(Produção!$I$2:$I$109))-1,IF(_xlpm.pos&lt;1,"-------",IF(INDEX(Produção!$I$2:$I$109,_xlpm.pos)="","-------",INDEX(Produção!$I$2:$I$109,_xlpm.pos))))</f>
        <v>#REF!</v>
      </c>
      <c r="W14" s="42" t="e" cm="1">
        <f t="array" ref="W14">_xlfn.LET(_xlpm.canal,INDEX($E$2:$P$2,COLUMN()-COLUMN($Q$2)+1),_xlpm.pos,SUMPRODUCT((Produção!$B$2:$B$109=$A14)*(Produção!$F$2:$F$109=_xlpm.canal)*ROW(Produção!$I$2:$I$109))-1,IF(_xlpm.pos&lt;1,"-------",IF(INDEX(Produção!$I$2:$I$109,_xlpm.pos)="","-------",INDEX(Produção!$I$2:$I$109,_xlpm.pos))))</f>
        <v>#REF!</v>
      </c>
      <c r="X14" s="42" t="e" cm="1">
        <f t="array" ref="X14">_xlfn.LET(_xlpm.canal,INDEX($E$2:$P$2,COLUMN()-COLUMN($Q$2)+1),_xlpm.pos,SUMPRODUCT((Produção!$B$2:$B$109=$A14)*(Produção!$F$2:$F$109=_xlpm.canal)*ROW(Produção!$I$2:$I$109))-1,IF(_xlpm.pos&lt;1,"-------",IF(INDEX(Produção!$I$2:$I$109,_xlpm.pos)="","-------",INDEX(Produção!$I$2:$I$109,_xlpm.pos))))</f>
        <v>#REF!</v>
      </c>
      <c r="Y14" s="42" t="e" cm="1">
        <f t="array" ref="Y14">_xlfn.LET(_xlpm.canal,INDEX($E$2:$P$2,COLUMN()-COLUMN($Q$2)+1),_xlpm.pos,SUMPRODUCT((Produção!$B$2:$B$109=$A14)*(Produção!$F$2:$F$109=_xlpm.canal)*ROW(Produção!$I$2:$I$109))-1,IF(_xlpm.pos&lt;1,"-------",IF(INDEX(Produção!$I$2:$I$109,_xlpm.pos)="","-------",INDEX(Produção!$I$2:$I$109,_xlpm.pos))))</f>
        <v>#REF!</v>
      </c>
      <c r="Z14" s="42" t="e" cm="1">
        <f t="array" ref="Z14">_xlfn.LET(_xlpm.canal,INDEX($E$2:$P$2,COLUMN()-COLUMN($Q$2)+1),_xlpm.pos,SUMPRODUCT((Produção!$B$2:$B$109=$A14)*(Produção!$F$2:$F$109=_xlpm.canal)*ROW(Produção!$I$2:$I$109))-1,IF(_xlpm.pos&lt;1,"-------",IF(INDEX(Produção!$I$2:$I$109,_xlpm.pos)="","-------",INDEX(Produção!$I$2:$I$109,_xlpm.pos))))</f>
        <v>#REF!</v>
      </c>
      <c r="AA14" s="42" t="e" cm="1">
        <f t="array" ref="AA14">_xlfn.LET(_xlpm.canal,INDEX($E$2:$P$2,COLUMN()-COLUMN($Q$2)+1),_xlpm.pos,SUMPRODUCT((Produção!$B$2:$B$109=$A14)*(Produção!$F$2:$F$109=_xlpm.canal)*ROW(Produção!$I$2:$I$109))-1,IF(_xlpm.pos&lt;1,"-------",IF(INDEX(Produção!$I$2:$I$109,_xlpm.pos)="","-------",INDEX(Produção!$I$2:$I$109,_xlpm.pos))))</f>
        <v>#REF!</v>
      </c>
      <c r="AB14" s="42" t="e" cm="1">
        <f t="array" ref="AB14">_xlfn.LET(_xlpm.canal,INDEX($E$2:$P$2,COLUMN()-COLUMN($Q$2)+1),_xlpm.pos,SUMPRODUCT((Produção!$B$2:$B$109=$A14)*(Produção!$F$2:$F$109=_xlpm.canal)*ROW(Produção!$I$2:$I$109))-1,IF(_xlpm.pos&lt;1,"-------",IF(INDEX(Produção!$I$2:$I$109,_xlpm.pos)="","-------",INDEX(Produção!$I$2:$I$109,_xlpm.pos))))</f>
        <v>#REF!</v>
      </c>
      <c r="AD14" s="34" t="e" cm="1">
        <f t="array" ref="AD14">SUMPRODUCT(($Q14:$AB14&lt;&gt;"-------")*1)</f>
        <v>#REF!</v>
      </c>
      <c r="AE14" s="34">
        <f>RANK($D14,$D$3:$D$90)+COUNTIF($D$3:$D14,$D14)-1</f>
        <v>12</v>
      </c>
    </row>
    <row r="15" spans="1:31">
      <c r="A15" s="38" t="e" cm="1">
        <f t="array" ref="A15">INDEX(Produção!B$2:B$109,(ROW()-3)*12+1)</f>
        <v>#REF!</v>
      </c>
      <c r="B15" s="39" t="e" cm="1">
        <f t="array" ref="B15">INDEX(Produção!C$2:C$109,(ROW()-3)*12+1)</f>
        <v>#REF!</v>
      </c>
      <c r="C15" s="39" t="e" cm="1">
        <f t="array" ref="C15">INDEX(Produção!D$2:D$109,(ROW()-3)*12+1)</f>
        <v>#REF!</v>
      </c>
      <c r="D15" s="40">
        <f t="shared" si="0"/>
        <v>0</v>
      </c>
      <c r="E15" s="41">
        <f>SUMIFS(Produção!$G$2:$G$109,Produção!$B$2:$B$109,$A15,Produção!$F$2:$F$109,E$2)</f>
        <v>0</v>
      </c>
      <c r="F15" s="41">
        <f>SUMIFS(Produção!$G$2:$G$109,Produção!$B$2:$B$109,$A15,Produção!$F$2:$F$109,F$2)</f>
        <v>0</v>
      </c>
      <c r="G15" s="41">
        <f>SUMIFS(Produção!$G$2:$G$109,Produção!$B$2:$B$109,$A15,Produção!$F$2:$F$109,G$2)</f>
        <v>0</v>
      </c>
      <c r="H15" s="41">
        <f>SUMIFS(Produção!$G$2:$G$109,Produção!$B$2:$B$109,$A15,Produção!$F$2:$F$109,H$2)</f>
        <v>0</v>
      </c>
      <c r="I15" s="41">
        <f>SUMIFS(Produção!$G$2:$G$109,Produção!$B$2:$B$109,$A15,Produção!$F$2:$F$109,I$2)</f>
        <v>0</v>
      </c>
      <c r="J15" s="41">
        <f>SUMIFS(Produção!$G$2:$G$109,Produção!$B$2:$B$109,$A15,Produção!$F$2:$F$109,J$2)</f>
        <v>0</v>
      </c>
      <c r="K15" s="41">
        <f>SUMIFS(Produção!$G$2:$G$109,Produção!$B$2:$B$109,$A15,Produção!$F$2:$F$109,K$2)</f>
        <v>0</v>
      </c>
      <c r="L15" s="41">
        <f>SUMIFS(Produção!$G$2:$G$109,Produção!$B$2:$B$109,$A15,Produção!$F$2:$F$109,L$2)</f>
        <v>0</v>
      </c>
      <c r="M15" s="41">
        <f>SUMIFS(Produção!$G$2:$G$109,Produção!$B$2:$B$109,$A15,Produção!$F$2:$F$109,M$2)</f>
        <v>0</v>
      </c>
      <c r="N15" s="41">
        <f>SUMIFS(Produção!$G$2:$G$109,Produção!$B$2:$B$109,$A15,Produção!$F$2:$F$109,N$2)</f>
        <v>0</v>
      </c>
      <c r="O15" s="41">
        <f>SUMIFS(Produção!$G$2:$G$109,Produção!$B$2:$B$109,$A15,Produção!$F$2:$F$109,O$2)</f>
        <v>0</v>
      </c>
      <c r="P15" s="41">
        <f>SUMIFS(Produção!$G$2:$G$109,Produção!$B$2:$B$109,$A15,Produção!$F$2:$F$109,P$2)</f>
        <v>0</v>
      </c>
      <c r="Q15" s="42" t="e" cm="1">
        <f t="array" ref="Q15">_xlfn.LET(_xlpm.canal,INDEX($E$2:$P$2,COLUMN()-COLUMN($Q$2)+1),_xlpm.pos,SUMPRODUCT((Produção!$B$2:$B$109=$A15)*(Produção!$F$2:$F$109=_xlpm.canal)*ROW(Produção!$I$2:$I$109))-1,IF(_xlpm.pos&lt;1,"-------",IF(INDEX(Produção!$I$2:$I$109,_xlpm.pos)="","-------",INDEX(Produção!$I$2:$I$109,_xlpm.pos))))</f>
        <v>#REF!</v>
      </c>
      <c r="R15" s="42" t="e" cm="1">
        <f t="array" ref="R15">_xlfn.LET(_xlpm.canal,INDEX($E$2:$P$2,COLUMN()-COLUMN($Q$2)+1),_xlpm.pos,SUMPRODUCT((Produção!$B$2:$B$109=$A15)*(Produção!$F$2:$F$109=_xlpm.canal)*ROW(Produção!$I$2:$I$109))-1,IF(_xlpm.pos&lt;1,"-------",IF(INDEX(Produção!$I$2:$I$109,_xlpm.pos)="","-------",INDEX(Produção!$I$2:$I$109,_xlpm.pos))))</f>
        <v>#REF!</v>
      </c>
      <c r="S15" s="42" t="e" cm="1">
        <f t="array" ref="S15">_xlfn.LET(_xlpm.canal,INDEX($E$2:$P$2,COLUMN()-COLUMN($Q$2)+1),_xlpm.pos,SUMPRODUCT((Produção!$B$2:$B$109=$A15)*(Produção!$F$2:$F$109=_xlpm.canal)*ROW(Produção!$I$2:$I$109))-1,IF(_xlpm.pos&lt;1,"-------",IF(INDEX(Produção!$I$2:$I$109,_xlpm.pos)="","-------",INDEX(Produção!$I$2:$I$109,_xlpm.pos))))</f>
        <v>#REF!</v>
      </c>
      <c r="T15" s="42" t="e" cm="1">
        <f t="array" ref="T15">_xlfn.LET(_xlpm.canal,INDEX($E$2:$P$2,COLUMN()-COLUMN($Q$2)+1),_xlpm.pos,SUMPRODUCT((Produção!$B$2:$B$109=$A15)*(Produção!$F$2:$F$109=_xlpm.canal)*ROW(Produção!$I$2:$I$109))-1,IF(_xlpm.pos&lt;1,"-------",IF(INDEX(Produção!$I$2:$I$109,_xlpm.pos)="","-------",INDEX(Produção!$I$2:$I$109,_xlpm.pos))))</f>
        <v>#REF!</v>
      </c>
      <c r="U15" s="42" t="e" cm="1">
        <f t="array" ref="U15">_xlfn.LET(_xlpm.canal,INDEX($E$2:$P$2,COLUMN()-COLUMN($Q$2)+1),_xlpm.pos,SUMPRODUCT((Produção!$B$2:$B$109=$A15)*(Produção!$F$2:$F$109=_xlpm.canal)*ROW(Produção!$I$2:$I$109))-1,IF(_xlpm.pos&lt;1,"-------",IF(INDEX(Produção!$I$2:$I$109,_xlpm.pos)="","-------",INDEX(Produção!$I$2:$I$109,_xlpm.pos))))</f>
        <v>#REF!</v>
      </c>
      <c r="V15" s="42" t="e" cm="1">
        <f t="array" ref="V15">_xlfn.LET(_xlpm.canal,INDEX($E$2:$P$2,COLUMN()-COLUMN($Q$2)+1),_xlpm.pos,SUMPRODUCT((Produção!$B$2:$B$109=$A15)*(Produção!$F$2:$F$109=_xlpm.canal)*ROW(Produção!$I$2:$I$109))-1,IF(_xlpm.pos&lt;1,"-------",IF(INDEX(Produção!$I$2:$I$109,_xlpm.pos)="","-------",INDEX(Produção!$I$2:$I$109,_xlpm.pos))))</f>
        <v>#REF!</v>
      </c>
      <c r="W15" s="42" t="e" cm="1">
        <f t="array" ref="W15">_xlfn.LET(_xlpm.canal,INDEX($E$2:$P$2,COLUMN()-COLUMN($Q$2)+1),_xlpm.pos,SUMPRODUCT((Produção!$B$2:$B$109=$A15)*(Produção!$F$2:$F$109=_xlpm.canal)*ROW(Produção!$I$2:$I$109))-1,IF(_xlpm.pos&lt;1,"-------",IF(INDEX(Produção!$I$2:$I$109,_xlpm.pos)="","-------",INDEX(Produção!$I$2:$I$109,_xlpm.pos))))</f>
        <v>#REF!</v>
      </c>
      <c r="X15" s="42" t="e" cm="1">
        <f t="array" ref="X15">_xlfn.LET(_xlpm.canal,INDEX($E$2:$P$2,COLUMN()-COLUMN($Q$2)+1),_xlpm.pos,SUMPRODUCT((Produção!$B$2:$B$109=$A15)*(Produção!$F$2:$F$109=_xlpm.canal)*ROW(Produção!$I$2:$I$109))-1,IF(_xlpm.pos&lt;1,"-------",IF(INDEX(Produção!$I$2:$I$109,_xlpm.pos)="","-------",INDEX(Produção!$I$2:$I$109,_xlpm.pos))))</f>
        <v>#REF!</v>
      </c>
      <c r="Y15" s="42" t="e" cm="1">
        <f t="array" ref="Y15">_xlfn.LET(_xlpm.canal,INDEX($E$2:$P$2,COLUMN()-COLUMN($Q$2)+1),_xlpm.pos,SUMPRODUCT((Produção!$B$2:$B$109=$A15)*(Produção!$F$2:$F$109=_xlpm.canal)*ROW(Produção!$I$2:$I$109))-1,IF(_xlpm.pos&lt;1,"-------",IF(INDEX(Produção!$I$2:$I$109,_xlpm.pos)="","-------",INDEX(Produção!$I$2:$I$109,_xlpm.pos))))</f>
        <v>#REF!</v>
      </c>
      <c r="Z15" s="42" t="e" cm="1">
        <f t="array" ref="Z15">_xlfn.LET(_xlpm.canal,INDEX($E$2:$P$2,COLUMN()-COLUMN($Q$2)+1),_xlpm.pos,SUMPRODUCT((Produção!$B$2:$B$109=$A15)*(Produção!$F$2:$F$109=_xlpm.canal)*ROW(Produção!$I$2:$I$109))-1,IF(_xlpm.pos&lt;1,"-------",IF(INDEX(Produção!$I$2:$I$109,_xlpm.pos)="","-------",INDEX(Produção!$I$2:$I$109,_xlpm.pos))))</f>
        <v>#REF!</v>
      </c>
      <c r="AA15" s="42" t="e" cm="1">
        <f t="array" ref="AA15">_xlfn.LET(_xlpm.canal,INDEX($E$2:$P$2,COLUMN()-COLUMN($Q$2)+1),_xlpm.pos,SUMPRODUCT((Produção!$B$2:$B$109=$A15)*(Produção!$F$2:$F$109=_xlpm.canal)*ROW(Produção!$I$2:$I$109))-1,IF(_xlpm.pos&lt;1,"-------",IF(INDEX(Produção!$I$2:$I$109,_xlpm.pos)="","-------",INDEX(Produção!$I$2:$I$109,_xlpm.pos))))</f>
        <v>#REF!</v>
      </c>
      <c r="AB15" s="42" t="e" cm="1">
        <f t="array" ref="AB15">_xlfn.LET(_xlpm.canal,INDEX($E$2:$P$2,COLUMN()-COLUMN($Q$2)+1),_xlpm.pos,SUMPRODUCT((Produção!$B$2:$B$109=$A15)*(Produção!$F$2:$F$109=_xlpm.canal)*ROW(Produção!$I$2:$I$109))-1,IF(_xlpm.pos&lt;1,"-------",IF(INDEX(Produção!$I$2:$I$109,_xlpm.pos)="","-------",INDEX(Produção!$I$2:$I$109,_xlpm.pos))))</f>
        <v>#REF!</v>
      </c>
      <c r="AD15" s="34" t="e" cm="1">
        <f t="array" ref="AD15">SUMPRODUCT(($Q15:$AB15&lt;&gt;"-------")*1)</f>
        <v>#REF!</v>
      </c>
      <c r="AE15" s="34">
        <f>RANK($D15,$D$3:$D$90)+COUNTIF($D$3:$D15,$D15)-1</f>
        <v>13</v>
      </c>
    </row>
    <row r="16" spans="1:31">
      <c r="A16" s="38" t="e" cm="1">
        <f t="array" ref="A16">INDEX(Produção!B$2:B$109,(ROW()-3)*12+1)</f>
        <v>#REF!</v>
      </c>
      <c r="B16" s="39" t="e" cm="1">
        <f t="array" ref="B16">INDEX(Produção!C$2:C$109,(ROW()-3)*12+1)</f>
        <v>#REF!</v>
      </c>
      <c r="C16" s="39" t="e" cm="1">
        <f t="array" ref="C16">INDEX(Produção!D$2:D$109,(ROW()-3)*12+1)</f>
        <v>#REF!</v>
      </c>
      <c r="D16" s="40">
        <f t="shared" si="0"/>
        <v>0</v>
      </c>
      <c r="E16" s="41">
        <f>SUMIFS(Produção!$G$2:$G$109,Produção!$B$2:$B$109,$A16,Produção!$F$2:$F$109,E$2)</f>
        <v>0</v>
      </c>
      <c r="F16" s="41">
        <f>SUMIFS(Produção!$G$2:$G$109,Produção!$B$2:$B$109,$A16,Produção!$F$2:$F$109,F$2)</f>
        <v>0</v>
      </c>
      <c r="G16" s="41">
        <f>SUMIFS(Produção!$G$2:$G$109,Produção!$B$2:$B$109,$A16,Produção!$F$2:$F$109,G$2)</f>
        <v>0</v>
      </c>
      <c r="H16" s="41">
        <f>SUMIFS(Produção!$G$2:$G$109,Produção!$B$2:$B$109,$A16,Produção!$F$2:$F$109,H$2)</f>
        <v>0</v>
      </c>
      <c r="I16" s="41">
        <f>SUMIFS(Produção!$G$2:$G$109,Produção!$B$2:$B$109,$A16,Produção!$F$2:$F$109,I$2)</f>
        <v>0</v>
      </c>
      <c r="J16" s="41">
        <f>SUMIFS(Produção!$G$2:$G$109,Produção!$B$2:$B$109,$A16,Produção!$F$2:$F$109,J$2)</f>
        <v>0</v>
      </c>
      <c r="K16" s="41">
        <f>SUMIFS(Produção!$G$2:$G$109,Produção!$B$2:$B$109,$A16,Produção!$F$2:$F$109,K$2)</f>
        <v>0</v>
      </c>
      <c r="L16" s="41">
        <f>SUMIFS(Produção!$G$2:$G$109,Produção!$B$2:$B$109,$A16,Produção!$F$2:$F$109,L$2)</f>
        <v>0</v>
      </c>
      <c r="M16" s="41">
        <f>SUMIFS(Produção!$G$2:$G$109,Produção!$B$2:$B$109,$A16,Produção!$F$2:$F$109,M$2)</f>
        <v>0</v>
      </c>
      <c r="N16" s="41">
        <f>SUMIFS(Produção!$G$2:$G$109,Produção!$B$2:$B$109,$A16,Produção!$F$2:$F$109,N$2)</f>
        <v>0</v>
      </c>
      <c r="O16" s="41">
        <f>SUMIFS(Produção!$G$2:$G$109,Produção!$B$2:$B$109,$A16,Produção!$F$2:$F$109,O$2)</f>
        <v>0</v>
      </c>
      <c r="P16" s="41">
        <f>SUMIFS(Produção!$G$2:$G$109,Produção!$B$2:$B$109,$A16,Produção!$F$2:$F$109,P$2)</f>
        <v>0</v>
      </c>
      <c r="Q16" s="42" t="e" cm="1">
        <f t="array" ref="Q16">_xlfn.LET(_xlpm.canal,INDEX($E$2:$P$2,COLUMN()-COLUMN($Q$2)+1),_xlpm.pos,SUMPRODUCT((Produção!$B$2:$B$109=$A16)*(Produção!$F$2:$F$109=_xlpm.canal)*ROW(Produção!$I$2:$I$109))-1,IF(_xlpm.pos&lt;1,"-------",IF(INDEX(Produção!$I$2:$I$109,_xlpm.pos)="","-------",INDEX(Produção!$I$2:$I$109,_xlpm.pos))))</f>
        <v>#REF!</v>
      </c>
      <c r="R16" s="42" t="e" cm="1">
        <f t="array" ref="R16">_xlfn.LET(_xlpm.canal,INDEX($E$2:$P$2,COLUMN()-COLUMN($Q$2)+1),_xlpm.pos,SUMPRODUCT((Produção!$B$2:$B$109=$A16)*(Produção!$F$2:$F$109=_xlpm.canal)*ROW(Produção!$I$2:$I$109))-1,IF(_xlpm.pos&lt;1,"-------",IF(INDEX(Produção!$I$2:$I$109,_xlpm.pos)="","-------",INDEX(Produção!$I$2:$I$109,_xlpm.pos))))</f>
        <v>#REF!</v>
      </c>
      <c r="S16" s="42" t="e" cm="1">
        <f t="array" ref="S16">_xlfn.LET(_xlpm.canal,INDEX($E$2:$P$2,COLUMN()-COLUMN($Q$2)+1),_xlpm.pos,SUMPRODUCT((Produção!$B$2:$B$109=$A16)*(Produção!$F$2:$F$109=_xlpm.canal)*ROW(Produção!$I$2:$I$109))-1,IF(_xlpm.pos&lt;1,"-------",IF(INDEX(Produção!$I$2:$I$109,_xlpm.pos)="","-------",INDEX(Produção!$I$2:$I$109,_xlpm.pos))))</f>
        <v>#REF!</v>
      </c>
      <c r="T16" s="42" t="e" cm="1">
        <f t="array" ref="T16">_xlfn.LET(_xlpm.canal,INDEX($E$2:$P$2,COLUMN()-COLUMN($Q$2)+1),_xlpm.pos,SUMPRODUCT((Produção!$B$2:$B$109=$A16)*(Produção!$F$2:$F$109=_xlpm.canal)*ROW(Produção!$I$2:$I$109))-1,IF(_xlpm.pos&lt;1,"-------",IF(INDEX(Produção!$I$2:$I$109,_xlpm.pos)="","-------",INDEX(Produção!$I$2:$I$109,_xlpm.pos))))</f>
        <v>#REF!</v>
      </c>
      <c r="U16" s="42" t="e" cm="1">
        <f t="array" ref="U16">_xlfn.LET(_xlpm.canal,INDEX($E$2:$P$2,COLUMN()-COLUMN($Q$2)+1),_xlpm.pos,SUMPRODUCT((Produção!$B$2:$B$109=$A16)*(Produção!$F$2:$F$109=_xlpm.canal)*ROW(Produção!$I$2:$I$109))-1,IF(_xlpm.pos&lt;1,"-------",IF(INDEX(Produção!$I$2:$I$109,_xlpm.pos)="","-------",INDEX(Produção!$I$2:$I$109,_xlpm.pos))))</f>
        <v>#REF!</v>
      </c>
      <c r="V16" s="42" t="e" cm="1">
        <f t="array" ref="V16">_xlfn.LET(_xlpm.canal,INDEX($E$2:$P$2,COLUMN()-COLUMN($Q$2)+1),_xlpm.pos,SUMPRODUCT((Produção!$B$2:$B$109=$A16)*(Produção!$F$2:$F$109=_xlpm.canal)*ROW(Produção!$I$2:$I$109))-1,IF(_xlpm.pos&lt;1,"-------",IF(INDEX(Produção!$I$2:$I$109,_xlpm.pos)="","-------",INDEX(Produção!$I$2:$I$109,_xlpm.pos))))</f>
        <v>#REF!</v>
      </c>
      <c r="W16" s="42" t="e" cm="1">
        <f t="array" ref="W16">_xlfn.LET(_xlpm.canal,INDEX($E$2:$P$2,COLUMN()-COLUMN($Q$2)+1),_xlpm.pos,SUMPRODUCT((Produção!$B$2:$B$109=$A16)*(Produção!$F$2:$F$109=_xlpm.canal)*ROW(Produção!$I$2:$I$109))-1,IF(_xlpm.pos&lt;1,"-------",IF(INDEX(Produção!$I$2:$I$109,_xlpm.pos)="","-------",INDEX(Produção!$I$2:$I$109,_xlpm.pos))))</f>
        <v>#REF!</v>
      </c>
      <c r="X16" s="42" t="e" cm="1">
        <f t="array" ref="X16">_xlfn.LET(_xlpm.canal,INDEX($E$2:$P$2,COLUMN()-COLUMN($Q$2)+1),_xlpm.pos,SUMPRODUCT((Produção!$B$2:$B$109=$A16)*(Produção!$F$2:$F$109=_xlpm.canal)*ROW(Produção!$I$2:$I$109))-1,IF(_xlpm.pos&lt;1,"-------",IF(INDEX(Produção!$I$2:$I$109,_xlpm.pos)="","-------",INDEX(Produção!$I$2:$I$109,_xlpm.pos))))</f>
        <v>#REF!</v>
      </c>
      <c r="Y16" s="42" t="e" cm="1">
        <f t="array" ref="Y16">_xlfn.LET(_xlpm.canal,INDEX($E$2:$P$2,COLUMN()-COLUMN($Q$2)+1),_xlpm.pos,SUMPRODUCT((Produção!$B$2:$B$109=$A16)*(Produção!$F$2:$F$109=_xlpm.canal)*ROW(Produção!$I$2:$I$109))-1,IF(_xlpm.pos&lt;1,"-------",IF(INDEX(Produção!$I$2:$I$109,_xlpm.pos)="","-------",INDEX(Produção!$I$2:$I$109,_xlpm.pos))))</f>
        <v>#REF!</v>
      </c>
      <c r="Z16" s="42" t="e" cm="1">
        <f t="array" ref="Z16">_xlfn.LET(_xlpm.canal,INDEX($E$2:$P$2,COLUMN()-COLUMN($Q$2)+1),_xlpm.pos,SUMPRODUCT((Produção!$B$2:$B$109=$A16)*(Produção!$F$2:$F$109=_xlpm.canal)*ROW(Produção!$I$2:$I$109))-1,IF(_xlpm.pos&lt;1,"-------",IF(INDEX(Produção!$I$2:$I$109,_xlpm.pos)="","-------",INDEX(Produção!$I$2:$I$109,_xlpm.pos))))</f>
        <v>#REF!</v>
      </c>
      <c r="AA16" s="42" t="e" cm="1">
        <f t="array" ref="AA16">_xlfn.LET(_xlpm.canal,INDEX($E$2:$P$2,COLUMN()-COLUMN($Q$2)+1),_xlpm.pos,SUMPRODUCT((Produção!$B$2:$B$109=$A16)*(Produção!$F$2:$F$109=_xlpm.canal)*ROW(Produção!$I$2:$I$109))-1,IF(_xlpm.pos&lt;1,"-------",IF(INDEX(Produção!$I$2:$I$109,_xlpm.pos)="","-------",INDEX(Produção!$I$2:$I$109,_xlpm.pos))))</f>
        <v>#REF!</v>
      </c>
      <c r="AB16" s="42" t="e" cm="1">
        <f t="array" ref="AB16">_xlfn.LET(_xlpm.canal,INDEX($E$2:$P$2,COLUMN()-COLUMN($Q$2)+1),_xlpm.pos,SUMPRODUCT((Produção!$B$2:$B$109=$A16)*(Produção!$F$2:$F$109=_xlpm.canal)*ROW(Produção!$I$2:$I$109))-1,IF(_xlpm.pos&lt;1,"-------",IF(INDEX(Produção!$I$2:$I$109,_xlpm.pos)="","-------",INDEX(Produção!$I$2:$I$109,_xlpm.pos))))</f>
        <v>#REF!</v>
      </c>
      <c r="AD16" s="34" t="e" cm="1">
        <f t="array" ref="AD16">SUMPRODUCT(($Q16:$AB16&lt;&gt;"-------")*1)</f>
        <v>#REF!</v>
      </c>
      <c r="AE16" s="34">
        <f>RANK($D16,$D$3:$D$90)+COUNTIF($D$3:$D16,$D16)-1</f>
        <v>14</v>
      </c>
    </row>
    <row r="17" spans="1:31">
      <c r="A17" s="38" t="e" cm="1">
        <f t="array" ref="A17">INDEX(Produção!B$2:B$109,(ROW()-3)*12+1)</f>
        <v>#REF!</v>
      </c>
      <c r="B17" s="39" t="e" cm="1">
        <f t="array" ref="B17">INDEX(Produção!C$2:C$109,(ROW()-3)*12+1)</f>
        <v>#REF!</v>
      </c>
      <c r="C17" s="39" t="e" cm="1">
        <f t="array" ref="C17">INDEX(Produção!D$2:D$109,(ROW()-3)*12+1)</f>
        <v>#REF!</v>
      </c>
      <c r="D17" s="40">
        <f t="shared" si="0"/>
        <v>0</v>
      </c>
      <c r="E17" s="41">
        <f>SUMIFS(Produção!$G$2:$G$109,Produção!$B$2:$B$109,$A17,Produção!$F$2:$F$109,E$2)</f>
        <v>0</v>
      </c>
      <c r="F17" s="41">
        <f>SUMIFS(Produção!$G$2:$G$109,Produção!$B$2:$B$109,$A17,Produção!$F$2:$F$109,F$2)</f>
        <v>0</v>
      </c>
      <c r="G17" s="41">
        <f>SUMIFS(Produção!$G$2:$G$109,Produção!$B$2:$B$109,$A17,Produção!$F$2:$F$109,G$2)</f>
        <v>0</v>
      </c>
      <c r="H17" s="41">
        <f>SUMIFS(Produção!$G$2:$G$109,Produção!$B$2:$B$109,$A17,Produção!$F$2:$F$109,H$2)</f>
        <v>0</v>
      </c>
      <c r="I17" s="41">
        <f>SUMIFS(Produção!$G$2:$G$109,Produção!$B$2:$B$109,$A17,Produção!$F$2:$F$109,I$2)</f>
        <v>0</v>
      </c>
      <c r="J17" s="41">
        <f>SUMIFS(Produção!$G$2:$G$109,Produção!$B$2:$B$109,$A17,Produção!$F$2:$F$109,J$2)</f>
        <v>0</v>
      </c>
      <c r="K17" s="41">
        <f>SUMIFS(Produção!$G$2:$G$109,Produção!$B$2:$B$109,$A17,Produção!$F$2:$F$109,K$2)</f>
        <v>0</v>
      </c>
      <c r="L17" s="41">
        <f>SUMIFS(Produção!$G$2:$G$109,Produção!$B$2:$B$109,$A17,Produção!$F$2:$F$109,L$2)</f>
        <v>0</v>
      </c>
      <c r="M17" s="41">
        <f>SUMIFS(Produção!$G$2:$G$109,Produção!$B$2:$B$109,$A17,Produção!$F$2:$F$109,M$2)</f>
        <v>0</v>
      </c>
      <c r="N17" s="41">
        <f>SUMIFS(Produção!$G$2:$G$109,Produção!$B$2:$B$109,$A17,Produção!$F$2:$F$109,N$2)</f>
        <v>0</v>
      </c>
      <c r="O17" s="41">
        <f>SUMIFS(Produção!$G$2:$G$109,Produção!$B$2:$B$109,$A17,Produção!$F$2:$F$109,O$2)</f>
        <v>0</v>
      </c>
      <c r="P17" s="41">
        <f>SUMIFS(Produção!$G$2:$G$109,Produção!$B$2:$B$109,$A17,Produção!$F$2:$F$109,P$2)</f>
        <v>0</v>
      </c>
      <c r="Q17" s="42" t="e" cm="1">
        <f t="array" ref="Q17">_xlfn.LET(_xlpm.canal,INDEX($E$2:$P$2,COLUMN()-COLUMN($Q$2)+1),_xlpm.pos,SUMPRODUCT((Produção!$B$2:$B$109=$A17)*(Produção!$F$2:$F$109=_xlpm.canal)*ROW(Produção!$I$2:$I$109))-1,IF(_xlpm.pos&lt;1,"-------",IF(INDEX(Produção!$I$2:$I$109,_xlpm.pos)="","-------",INDEX(Produção!$I$2:$I$109,_xlpm.pos))))</f>
        <v>#REF!</v>
      </c>
      <c r="R17" s="42" t="e" cm="1">
        <f t="array" ref="R17">_xlfn.LET(_xlpm.canal,INDEX($E$2:$P$2,COLUMN()-COLUMN($Q$2)+1),_xlpm.pos,SUMPRODUCT((Produção!$B$2:$B$109=$A17)*(Produção!$F$2:$F$109=_xlpm.canal)*ROW(Produção!$I$2:$I$109))-1,IF(_xlpm.pos&lt;1,"-------",IF(INDEX(Produção!$I$2:$I$109,_xlpm.pos)="","-------",INDEX(Produção!$I$2:$I$109,_xlpm.pos))))</f>
        <v>#REF!</v>
      </c>
      <c r="S17" s="42" t="e" cm="1">
        <f t="array" ref="S17">_xlfn.LET(_xlpm.canal,INDEX($E$2:$P$2,COLUMN()-COLUMN($Q$2)+1),_xlpm.pos,SUMPRODUCT((Produção!$B$2:$B$109=$A17)*(Produção!$F$2:$F$109=_xlpm.canal)*ROW(Produção!$I$2:$I$109))-1,IF(_xlpm.pos&lt;1,"-------",IF(INDEX(Produção!$I$2:$I$109,_xlpm.pos)="","-------",INDEX(Produção!$I$2:$I$109,_xlpm.pos))))</f>
        <v>#REF!</v>
      </c>
      <c r="T17" s="42" t="e" cm="1">
        <f t="array" ref="T17">_xlfn.LET(_xlpm.canal,INDEX($E$2:$P$2,COLUMN()-COLUMN($Q$2)+1),_xlpm.pos,SUMPRODUCT((Produção!$B$2:$B$109=$A17)*(Produção!$F$2:$F$109=_xlpm.canal)*ROW(Produção!$I$2:$I$109))-1,IF(_xlpm.pos&lt;1,"-------",IF(INDEX(Produção!$I$2:$I$109,_xlpm.pos)="","-------",INDEX(Produção!$I$2:$I$109,_xlpm.pos))))</f>
        <v>#REF!</v>
      </c>
      <c r="U17" s="42" t="e" cm="1">
        <f t="array" ref="U17">_xlfn.LET(_xlpm.canal,INDEX($E$2:$P$2,COLUMN()-COLUMN($Q$2)+1),_xlpm.pos,SUMPRODUCT((Produção!$B$2:$B$109=$A17)*(Produção!$F$2:$F$109=_xlpm.canal)*ROW(Produção!$I$2:$I$109))-1,IF(_xlpm.pos&lt;1,"-------",IF(INDEX(Produção!$I$2:$I$109,_xlpm.pos)="","-------",INDEX(Produção!$I$2:$I$109,_xlpm.pos))))</f>
        <v>#REF!</v>
      </c>
      <c r="V17" s="42" t="e" cm="1">
        <f t="array" ref="V17">_xlfn.LET(_xlpm.canal,INDEX($E$2:$P$2,COLUMN()-COLUMN($Q$2)+1),_xlpm.pos,SUMPRODUCT((Produção!$B$2:$B$109=$A17)*(Produção!$F$2:$F$109=_xlpm.canal)*ROW(Produção!$I$2:$I$109))-1,IF(_xlpm.pos&lt;1,"-------",IF(INDEX(Produção!$I$2:$I$109,_xlpm.pos)="","-------",INDEX(Produção!$I$2:$I$109,_xlpm.pos))))</f>
        <v>#REF!</v>
      </c>
      <c r="W17" s="42" t="e" cm="1">
        <f t="array" ref="W17">_xlfn.LET(_xlpm.canal,INDEX($E$2:$P$2,COLUMN()-COLUMN($Q$2)+1),_xlpm.pos,SUMPRODUCT((Produção!$B$2:$B$109=$A17)*(Produção!$F$2:$F$109=_xlpm.canal)*ROW(Produção!$I$2:$I$109))-1,IF(_xlpm.pos&lt;1,"-------",IF(INDEX(Produção!$I$2:$I$109,_xlpm.pos)="","-------",INDEX(Produção!$I$2:$I$109,_xlpm.pos))))</f>
        <v>#REF!</v>
      </c>
      <c r="X17" s="42" t="e" cm="1">
        <f t="array" ref="X17">_xlfn.LET(_xlpm.canal,INDEX($E$2:$P$2,COLUMN()-COLUMN($Q$2)+1),_xlpm.pos,SUMPRODUCT((Produção!$B$2:$B$109=$A17)*(Produção!$F$2:$F$109=_xlpm.canal)*ROW(Produção!$I$2:$I$109))-1,IF(_xlpm.pos&lt;1,"-------",IF(INDEX(Produção!$I$2:$I$109,_xlpm.pos)="","-------",INDEX(Produção!$I$2:$I$109,_xlpm.pos))))</f>
        <v>#REF!</v>
      </c>
      <c r="Y17" s="42" t="e" cm="1">
        <f t="array" ref="Y17">_xlfn.LET(_xlpm.canal,INDEX($E$2:$P$2,COLUMN()-COLUMN($Q$2)+1),_xlpm.pos,SUMPRODUCT((Produção!$B$2:$B$109=$A17)*(Produção!$F$2:$F$109=_xlpm.canal)*ROW(Produção!$I$2:$I$109))-1,IF(_xlpm.pos&lt;1,"-------",IF(INDEX(Produção!$I$2:$I$109,_xlpm.pos)="","-------",INDEX(Produção!$I$2:$I$109,_xlpm.pos))))</f>
        <v>#REF!</v>
      </c>
      <c r="Z17" s="42" t="e" cm="1">
        <f t="array" ref="Z17">_xlfn.LET(_xlpm.canal,INDEX($E$2:$P$2,COLUMN()-COLUMN($Q$2)+1),_xlpm.pos,SUMPRODUCT((Produção!$B$2:$B$109=$A17)*(Produção!$F$2:$F$109=_xlpm.canal)*ROW(Produção!$I$2:$I$109))-1,IF(_xlpm.pos&lt;1,"-------",IF(INDEX(Produção!$I$2:$I$109,_xlpm.pos)="","-------",INDEX(Produção!$I$2:$I$109,_xlpm.pos))))</f>
        <v>#REF!</v>
      </c>
      <c r="AA17" s="42" t="e" cm="1">
        <f t="array" ref="AA17">_xlfn.LET(_xlpm.canal,INDEX($E$2:$P$2,COLUMN()-COLUMN($Q$2)+1),_xlpm.pos,SUMPRODUCT((Produção!$B$2:$B$109=$A17)*(Produção!$F$2:$F$109=_xlpm.canal)*ROW(Produção!$I$2:$I$109))-1,IF(_xlpm.pos&lt;1,"-------",IF(INDEX(Produção!$I$2:$I$109,_xlpm.pos)="","-------",INDEX(Produção!$I$2:$I$109,_xlpm.pos))))</f>
        <v>#REF!</v>
      </c>
      <c r="AB17" s="42" t="e" cm="1">
        <f t="array" ref="AB17">_xlfn.LET(_xlpm.canal,INDEX($E$2:$P$2,COLUMN()-COLUMN($Q$2)+1),_xlpm.pos,SUMPRODUCT((Produção!$B$2:$B$109=$A17)*(Produção!$F$2:$F$109=_xlpm.canal)*ROW(Produção!$I$2:$I$109))-1,IF(_xlpm.pos&lt;1,"-------",IF(INDEX(Produção!$I$2:$I$109,_xlpm.pos)="","-------",INDEX(Produção!$I$2:$I$109,_xlpm.pos))))</f>
        <v>#REF!</v>
      </c>
      <c r="AD17" s="34" t="e" cm="1">
        <f t="array" ref="AD17">SUMPRODUCT(($Q17:$AB17&lt;&gt;"-------")*1)</f>
        <v>#REF!</v>
      </c>
      <c r="AE17" s="34">
        <f>RANK($D17,$D$3:$D$90)+COUNTIF($D$3:$D17,$D17)-1</f>
        <v>15</v>
      </c>
    </row>
    <row r="18" spans="1:31">
      <c r="A18" s="38" t="e" cm="1">
        <f t="array" ref="A18">INDEX(Produção!B$2:B$109,(ROW()-3)*12+1)</f>
        <v>#REF!</v>
      </c>
      <c r="B18" s="39" t="e" cm="1">
        <f t="array" ref="B18">INDEX(Produção!C$2:C$109,(ROW()-3)*12+1)</f>
        <v>#REF!</v>
      </c>
      <c r="C18" s="39" t="e" cm="1">
        <f t="array" ref="C18">INDEX(Produção!D$2:D$109,(ROW()-3)*12+1)</f>
        <v>#REF!</v>
      </c>
      <c r="D18" s="40">
        <f t="shared" si="0"/>
        <v>0</v>
      </c>
      <c r="E18" s="41">
        <f>SUMIFS(Produção!$G$2:$G$109,Produção!$B$2:$B$109,$A18,Produção!$F$2:$F$109,E$2)</f>
        <v>0</v>
      </c>
      <c r="F18" s="41">
        <f>SUMIFS(Produção!$G$2:$G$109,Produção!$B$2:$B$109,$A18,Produção!$F$2:$F$109,F$2)</f>
        <v>0</v>
      </c>
      <c r="G18" s="41">
        <f>SUMIFS(Produção!$G$2:$G$109,Produção!$B$2:$B$109,$A18,Produção!$F$2:$F$109,G$2)</f>
        <v>0</v>
      </c>
      <c r="H18" s="41">
        <f>SUMIFS(Produção!$G$2:$G$109,Produção!$B$2:$B$109,$A18,Produção!$F$2:$F$109,H$2)</f>
        <v>0</v>
      </c>
      <c r="I18" s="41">
        <f>SUMIFS(Produção!$G$2:$G$109,Produção!$B$2:$B$109,$A18,Produção!$F$2:$F$109,I$2)</f>
        <v>0</v>
      </c>
      <c r="J18" s="41">
        <f>SUMIFS(Produção!$G$2:$G$109,Produção!$B$2:$B$109,$A18,Produção!$F$2:$F$109,J$2)</f>
        <v>0</v>
      </c>
      <c r="K18" s="41">
        <f>SUMIFS(Produção!$G$2:$G$109,Produção!$B$2:$B$109,$A18,Produção!$F$2:$F$109,K$2)</f>
        <v>0</v>
      </c>
      <c r="L18" s="41">
        <f>SUMIFS(Produção!$G$2:$G$109,Produção!$B$2:$B$109,$A18,Produção!$F$2:$F$109,L$2)</f>
        <v>0</v>
      </c>
      <c r="M18" s="41">
        <f>SUMIFS(Produção!$G$2:$G$109,Produção!$B$2:$B$109,$A18,Produção!$F$2:$F$109,M$2)</f>
        <v>0</v>
      </c>
      <c r="N18" s="41">
        <f>SUMIFS(Produção!$G$2:$G$109,Produção!$B$2:$B$109,$A18,Produção!$F$2:$F$109,N$2)</f>
        <v>0</v>
      </c>
      <c r="O18" s="41">
        <f>SUMIFS(Produção!$G$2:$G$109,Produção!$B$2:$B$109,$A18,Produção!$F$2:$F$109,O$2)</f>
        <v>0</v>
      </c>
      <c r="P18" s="41">
        <f>SUMIFS(Produção!$G$2:$G$109,Produção!$B$2:$B$109,$A18,Produção!$F$2:$F$109,P$2)</f>
        <v>0</v>
      </c>
      <c r="Q18" s="42" t="e" cm="1">
        <f t="array" ref="Q18">_xlfn.LET(_xlpm.canal,INDEX($E$2:$P$2,COLUMN()-COLUMN($Q$2)+1),_xlpm.pos,SUMPRODUCT((Produção!$B$2:$B$109=$A18)*(Produção!$F$2:$F$109=_xlpm.canal)*ROW(Produção!$I$2:$I$109))-1,IF(_xlpm.pos&lt;1,"-------",IF(INDEX(Produção!$I$2:$I$109,_xlpm.pos)="","-------",INDEX(Produção!$I$2:$I$109,_xlpm.pos))))</f>
        <v>#REF!</v>
      </c>
      <c r="R18" s="42" t="e" cm="1">
        <f t="array" ref="R18">_xlfn.LET(_xlpm.canal,INDEX($E$2:$P$2,COLUMN()-COLUMN($Q$2)+1),_xlpm.pos,SUMPRODUCT((Produção!$B$2:$B$109=$A18)*(Produção!$F$2:$F$109=_xlpm.canal)*ROW(Produção!$I$2:$I$109))-1,IF(_xlpm.pos&lt;1,"-------",IF(INDEX(Produção!$I$2:$I$109,_xlpm.pos)="","-------",INDEX(Produção!$I$2:$I$109,_xlpm.pos))))</f>
        <v>#REF!</v>
      </c>
      <c r="S18" s="42" t="e" cm="1">
        <f t="array" ref="S18">_xlfn.LET(_xlpm.canal,INDEX($E$2:$P$2,COLUMN()-COLUMN($Q$2)+1),_xlpm.pos,SUMPRODUCT((Produção!$B$2:$B$109=$A18)*(Produção!$F$2:$F$109=_xlpm.canal)*ROW(Produção!$I$2:$I$109))-1,IF(_xlpm.pos&lt;1,"-------",IF(INDEX(Produção!$I$2:$I$109,_xlpm.pos)="","-------",INDEX(Produção!$I$2:$I$109,_xlpm.pos))))</f>
        <v>#REF!</v>
      </c>
      <c r="T18" s="42" t="e" cm="1">
        <f t="array" ref="T18">_xlfn.LET(_xlpm.canal,INDEX($E$2:$P$2,COLUMN()-COLUMN($Q$2)+1),_xlpm.pos,SUMPRODUCT((Produção!$B$2:$B$109=$A18)*(Produção!$F$2:$F$109=_xlpm.canal)*ROW(Produção!$I$2:$I$109))-1,IF(_xlpm.pos&lt;1,"-------",IF(INDEX(Produção!$I$2:$I$109,_xlpm.pos)="","-------",INDEX(Produção!$I$2:$I$109,_xlpm.pos))))</f>
        <v>#REF!</v>
      </c>
      <c r="U18" s="42" t="e" cm="1">
        <f t="array" ref="U18">_xlfn.LET(_xlpm.canal,INDEX($E$2:$P$2,COLUMN()-COLUMN($Q$2)+1),_xlpm.pos,SUMPRODUCT((Produção!$B$2:$B$109=$A18)*(Produção!$F$2:$F$109=_xlpm.canal)*ROW(Produção!$I$2:$I$109))-1,IF(_xlpm.pos&lt;1,"-------",IF(INDEX(Produção!$I$2:$I$109,_xlpm.pos)="","-------",INDEX(Produção!$I$2:$I$109,_xlpm.pos))))</f>
        <v>#REF!</v>
      </c>
      <c r="V18" s="42" t="e" cm="1">
        <f t="array" ref="V18">_xlfn.LET(_xlpm.canal,INDEX($E$2:$P$2,COLUMN()-COLUMN($Q$2)+1),_xlpm.pos,SUMPRODUCT((Produção!$B$2:$B$109=$A18)*(Produção!$F$2:$F$109=_xlpm.canal)*ROW(Produção!$I$2:$I$109))-1,IF(_xlpm.pos&lt;1,"-------",IF(INDEX(Produção!$I$2:$I$109,_xlpm.pos)="","-------",INDEX(Produção!$I$2:$I$109,_xlpm.pos))))</f>
        <v>#REF!</v>
      </c>
      <c r="W18" s="42" t="e" cm="1">
        <f t="array" ref="W18">_xlfn.LET(_xlpm.canal,INDEX($E$2:$P$2,COLUMN()-COLUMN($Q$2)+1),_xlpm.pos,SUMPRODUCT((Produção!$B$2:$B$109=$A18)*(Produção!$F$2:$F$109=_xlpm.canal)*ROW(Produção!$I$2:$I$109))-1,IF(_xlpm.pos&lt;1,"-------",IF(INDEX(Produção!$I$2:$I$109,_xlpm.pos)="","-------",INDEX(Produção!$I$2:$I$109,_xlpm.pos))))</f>
        <v>#REF!</v>
      </c>
      <c r="X18" s="42" t="e" cm="1">
        <f t="array" ref="X18">_xlfn.LET(_xlpm.canal,INDEX($E$2:$P$2,COLUMN()-COLUMN($Q$2)+1),_xlpm.pos,SUMPRODUCT((Produção!$B$2:$B$109=$A18)*(Produção!$F$2:$F$109=_xlpm.canal)*ROW(Produção!$I$2:$I$109))-1,IF(_xlpm.pos&lt;1,"-------",IF(INDEX(Produção!$I$2:$I$109,_xlpm.pos)="","-------",INDEX(Produção!$I$2:$I$109,_xlpm.pos))))</f>
        <v>#REF!</v>
      </c>
      <c r="Y18" s="42" t="e" cm="1">
        <f t="array" ref="Y18">_xlfn.LET(_xlpm.canal,INDEX($E$2:$P$2,COLUMN()-COLUMN($Q$2)+1),_xlpm.pos,SUMPRODUCT((Produção!$B$2:$B$109=$A18)*(Produção!$F$2:$F$109=_xlpm.canal)*ROW(Produção!$I$2:$I$109))-1,IF(_xlpm.pos&lt;1,"-------",IF(INDEX(Produção!$I$2:$I$109,_xlpm.pos)="","-------",INDEX(Produção!$I$2:$I$109,_xlpm.pos))))</f>
        <v>#REF!</v>
      </c>
      <c r="Z18" s="42" t="e" cm="1">
        <f t="array" ref="Z18">_xlfn.LET(_xlpm.canal,INDEX($E$2:$P$2,COLUMN()-COLUMN($Q$2)+1),_xlpm.pos,SUMPRODUCT((Produção!$B$2:$B$109=$A18)*(Produção!$F$2:$F$109=_xlpm.canal)*ROW(Produção!$I$2:$I$109))-1,IF(_xlpm.pos&lt;1,"-------",IF(INDEX(Produção!$I$2:$I$109,_xlpm.pos)="","-------",INDEX(Produção!$I$2:$I$109,_xlpm.pos))))</f>
        <v>#REF!</v>
      </c>
      <c r="AA18" s="42" t="e" cm="1">
        <f t="array" ref="AA18">_xlfn.LET(_xlpm.canal,INDEX($E$2:$P$2,COLUMN()-COLUMN($Q$2)+1),_xlpm.pos,SUMPRODUCT((Produção!$B$2:$B$109=$A18)*(Produção!$F$2:$F$109=_xlpm.canal)*ROW(Produção!$I$2:$I$109))-1,IF(_xlpm.pos&lt;1,"-------",IF(INDEX(Produção!$I$2:$I$109,_xlpm.pos)="","-------",INDEX(Produção!$I$2:$I$109,_xlpm.pos))))</f>
        <v>#REF!</v>
      </c>
      <c r="AB18" s="42" t="e" cm="1">
        <f t="array" ref="AB18">_xlfn.LET(_xlpm.canal,INDEX($E$2:$P$2,COLUMN()-COLUMN($Q$2)+1),_xlpm.pos,SUMPRODUCT((Produção!$B$2:$B$109=$A18)*(Produção!$F$2:$F$109=_xlpm.canal)*ROW(Produção!$I$2:$I$109))-1,IF(_xlpm.pos&lt;1,"-------",IF(INDEX(Produção!$I$2:$I$109,_xlpm.pos)="","-------",INDEX(Produção!$I$2:$I$109,_xlpm.pos))))</f>
        <v>#REF!</v>
      </c>
      <c r="AD18" s="34" t="e" cm="1">
        <f t="array" ref="AD18">SUMPRODUCT(($Q18:$AB18&lt;&gt;"-------")*1)</f>
        <v>#REF!</v>
      </c>
      <c r="AE18" s="34">
        <f>RANK($D18,$D$3:$D$90)+COUNTIF($D$3:$D18,$D18)-1</f>
        <v>16</v>
      </c>
    </row>
    <row r="19" spans="1:31">
      <c r="A19" s="38" t="e" cm="1">
        <f t="array" ref="A19">INDEX(Produção!B$2:B$109,(ROW()-3)*12+1)</f>
        <v>#REF!</v>
      </c>
      <c r="B19" s="39" t="e" cm="1">
        <f t="array" ref="B19">INDEX(Produção!C$2:C$109,(ROW()-3)*12+1)</f>
        <v>#REF!</v>
      </c>
      <c r="C19" s="39" t="e" cm="1">
        <f t="array" ref="C19">INDEX(Produção!D$2:D$109,(ROW()-3)*12+1)</f>
        <v>#REF!</v>
      </c>
      <c r="D19" s="40">
        <f t="shared" si="0"/>
        <v>0</v>
      </c>
      <c r="E19" s="41">
        <f>SUMIFS(Produção!$G$2:$G$109,Produção!$B$2:$B$109,$A19,Produção!$F$2:$F$109,E$2)</f>
        <v>0</v>
      </c>
      <c r="F19" s="41">
        <f>SUMIFS(Produção!$G$2:$G$109,Produção!$B$2:$B$109,$A19,Produção!$F$2:$F$109,F$2)</f>
        <v>0</v>
      </c>
      <c r="G19" s="41">
        <f>SUMIFS(Produção!$G$2:$G$109,Produção!$B$2:$B$109,$A19,Produção!$F$2:$F$109,G$2)</f>
        <v>0</v>
      </c>
      <c r="H19" s="41">
        <f>SUMIFS(Produção!$G$2:$G$109,Produção!$B$2:$B$109,$A19,Produção!$F$2:$F$109,H$2)</f>
        <v>0</v>
      </c>
      <c r="I19" s="41">
        <f>SUMIFS(Produção!$G$2:$G$109,Produção!$B$2:$B$109,$A19,Produção!$F$2:$F$109,I$2)</f>
        <v>0</v>
      </c>
      <c r="J19" s="41">
        <f>SUMIFS(Produção!$G$2:$G$109,Produção!$B$2:$B$109,$A19,Produção!$F$2:$F$109,J$2)</f>
        <v>0</v>
      </c>
      <c r="K19" s="41">
        <f>SUMIFS(Produção!$G$2:$G$109,Produção!$B$2:$B$109,$A19,Produção!$F$2:$F$109,K$2)</f>
        <v>0</v>
      </c>
      <c r="L19" s="41">
        <f>SUMIFS(Produção!$G$2:$G$109,Produção!$B$2:$B$109,$A19,Produção!$F$2:$F$109,L$2)</f>
        <v>0</v>
      </c>
      <c r="M19" s="41">
        <f>SUMIFS(Produção!$G$2:$G$109,Produção!$B$2:$B$109,$A19,Produção!$F$2:$F$109,M$2)</f>
        <v>0</v>
      </c>
      <c r="N19" s="41">
        <f>SUMIFS(Produção!$G$2:$G$109,Produção!$B$2:$B$109,$A19,Produção!$F$2:$F$109,N$2)</f>
        <v>0</v>
      </c>
      <c r="O19" s="41">
        <f>SUMIFS(Produção!$G$2:$G$109,Produção!$B$2:$B$109,$A19,Produção!$F$2:$F$109,O$2)</f>
        <v>0</v>
      </c>
      <c r="P19" s="41">
        <f>SUMIFS(Produção!$G$2:$G$109,Produção!$B$2:$B$109,$A19,Produção!$F$2:$F$109,P$2)</f>
        <v>0</v>
      </c>
      <c r="Q19" s="42" t="e" cm="1">
        <f t="array" ref="Q19">_xlfn.LET(_xlpm.canal,INDEX($E$2:$P$2,COLUMN()-COLUMN($Q$2)+1),_xlpm.pos,SUMPRODUCT((Produção!$B$2:$B$109=$A19)*(Produção!$F$2:$F$109=_xlpm.canal)*ROW(Produção!$I$2:$I$109))-1,IF(_xlpm.pos&lt;1,"-------",IF(INDEX(Produção!$I$2:$I$109,_xlpm.pos)="","-------",INDEX(Produção!$I$2:$I$109,_xlpm.pos))))</f>
        <v>#REF!</v>
      </c>
      <c r="R19" s="42" t="e" cm="1">
        <f t="array" ref="R19">_xlfn.LET(_xlpm.canal,INDEX($E$2:$P$2,COLUMN()-COLUMN($Q$2)+1),_xlpm.pos,SUMPRODUCT((Produção!$B$2:$B$109=$A19)*(Produção!$F$2:$F$109=_xlpm.canal)*ROW(Produção!$I$2:$I$109))-1,IF(_xlpm.pos&lt;1,"-------",IF(INDEX(Produção!$I$2:$I$109,_xlpm.pos)="","-------",INDEX(Produção!$I$2:$I$109,_xlpm.pos))))</f>
        <v>#REF!</v>
      </c>
      <c r="S19" s="42" t="e" cm="1">
        <f t="array" ref="S19">_xlfn.LET(_xlpm.canal,INDEX($E$2:$P$2,COLUMN()-COLUMN($Q$2)+1),_xlpm.pos,SUMPRODUCT((Produção!$B$2:$B$109=$A19)*(Produção!$F$2:$F$109=_xlpm.canal)*ROW(Produção!$I$2:$I$109))-1,IF(_xlpm.pos&lt;1,"-------",IF(INDEX(Produção!$I$2:$I$109,_xlpm.pos)="","-------",INDEX(Produção!$I$2:$I$109,_xlpm.pos))))</f>
        <v>#REF!</v>
      </c>
      <c r="T19" s="42" t="e" cm="1">
        <f t="array" ref="T19">_xlfn.LET(_xlpm.canal,INDEX($E$2:$P$2,COLUMN()-COLUMN($Q$2)+1),_xlpm.pos,SUMPRODUCT((Produção!$B$2:$B$109=$A19)*(Produção!$F$2:$F$109=_xlpm.canal)*ROW(Produção!$I$2:$I$109))-1,IF(_xlpm.pos&lt;1,"-------",IF(INDEX(Produção!$I$2:$I$109,_xlpm.pos)="","-------",INDEX(Produção!$I$2:$I$109,_xlpm.pos))))</f>
        <v>#REF!</v>
      </c>
      <c r="U19" s="42" t="e" cm="1">
        <f t="array" ref="U19">_xlfn.LET(_xlpm.canal,INDEX($E$2:$P$2,COLUMN()-COLUMN($Q$2)+1),_xlpm.pos,SUMPRODUCT((Produção!$B$2:$B$109=$A19)*(Produção!$F$2:$F$109=_xlpm.canal)*ROW(Produção!$I$2:$I$109))-1,IF(_xlpm.pos&lt;1,"-------",IF(INDEX(Produção!$I$2:$I$109,_xlpm.pos)="","-------",INDEX(Produção!$I$2:$I$109,_xlpm.pos))))</f>
        <v>#REF!</v>
      </c>
      <c r="V19" s="42" t="e" cm="1">
        <f t="array" ref="V19">_xlfn.LET(_xlpm.canal,INDEX($E$2:$P$2,COLUMN()-COLUMN($Q$2)+1),_xlpm.pos,SUMPRODUCT((Produção!$B$2:$B$109=$A19)*(Produção!$F$2:$F$109=_xlpm.canal)*ROW(Produção!$I$2:$I$109))-1,IF(_xlpm.pos&lt;1,"-------",IF(INDEX(Produção!$I$2:$I$109,_xlpm.pos)="","-------",INDEX(Produção!$I$2:$I$109,_xlpm.pos))))</f>
        <v>#REF!</v>
      </c>
      <c r="W19" s="42" t="e" cm="1">
        <f t="array" ref="W19">_xlfn.LET(_xlpm.canal,INDEX($E$2:$P$2,COLUMN()-COLUMN($Q$2)+1),_xlpm.pos,SUMPRODUCT((Produção!$B$2:$B$109=$A19)*(Produção!$F$2:$F$109=_xlpm.canal)*ROW(Produção!$I$2:$I$109))-1,IF(_xlpm.pos&lt;1,"-------",IF(INDEX(Produção!$I$2:$I$109,_xlpm.pos)="","-------",INDEX(Produção!$I$2:$I$109,_xlpm.pos))))</f>
        <v>#REF!</v>
      </c>
      <c r="X19" s="42" t="e" cm="1">
        <f t="array" ref="X19">_xlfn.LET(_xlpm.canal,INDEX($E$2:$P$2,COLUMN()-COLUMN($Q$2)+1),_xlpm.pos,SUMPRODUCT((Produção!$B$2:$B$109=$A19)*(Produção!$F$2:$F$109=_xlpm.canal)*ROW(Produção!$I$2:$I$109))-1,IF(_xlpm.pos&lt;1,"-------",IF(INDEX(Produção!$I$2:$I$109,_xlpm.pos)="","-------",INDEX(Produção!$I$2:$I$109,_xlpm.pos))))</f>
        <v>#REF!</v>
      </c>
      <c r="Y19" s="42" t="e" cm="1">
        <f t="array" ref="Y19">_xlfn.LET(_xlpm.canal,INDEX($E$2:$P$2,COLUMN()-COLUMN($Q$2)+1),_xlpm.pos,SUMPRODUCT((Produção!$B$2:$B$109=$A19)*(Produção!$F$2:$F$109=_xlpm.canal)*ROW(Produção!$I$2:$I$109))-1,IF(_xlpm.pos&lt;1,"-------",IF(INDEX(Produção!$I$2:$I$109,_xlpm.pos)="","-------",INDEX(Produção!$I$2:$I$109,_xlpm.pos))))</f>
        <v>#REF!</v>
      </c>
      <c r="Z19" s="42" t="e" cm="1">
        <f t="array" ref="Z19">_xlfn.LET(_xlpm.canal,INDEX($E$2:$P$2,COLUMN()-COLUMN($Q$2)+1),_xlpm.pos,SUMPRODUCT((Produção!$B$2:$B$109=$A19)*(Produção!$F$2:$F$109=_xlpm.canal)*ROW(Produção!$I$2:$I$109))-1,IF(_xlpm.pos&lt;1,"-------",IF(INDEX(Produção!$I$2:$I$109,_xlpm.pos)="","-------",INDEX(Produção!$I$2:$I$109,_xlpm.pos))))</f>
        <v>#REF!</v>
      </c>
      <c r="AA19" s="42" t="e" cm="1">
        <f t="array" ref="AA19">_xlfn.LET(_xlpm.canal,INDEX($E$2:$P$2,COLUMN()-COLUMN($Q$2)+1),_xlpm.pos,SUMPRODUCT((Produção!$B$2:$B$109=$A19)*(Produção!$F$2:$F$109=_xlpm.canal)*ROW(Produção!$I$2:$I$109))-1,IF(_xlpm.pos&lt;1,"-------",IF(INDEX(Produção!$I$2:$I$109,_xlpm.pos)="","-------",INDEX(Produção!$I$2:$I$109,_xlpm.pos))))</f>
        <v>#REF!</v>
      </c>
      <c r="AB19" s="42" t="e" cm="1">
        <f t="array" ref="AB19">_xlfn.LET(_xlpm.canal,INDEX($E$2:$P$2,COLUMN()-COLUMN($Q$2)+1),_xlpm.pos,SUMPRODUCT((Produção!$B$2:$B$109=$A19)*(Produção!$F$2:$F$109=_xlpm.canal)*ROW(Produção!$I$2:$I$109))-1,IF(_xlpm.pos&lt;1,"-------",IF(INDEX(Produção!$I$2:$I$109,_xlpm.pos)="","-------",INDEX(Produção!$I$2:$I$109,_xlpm.pos))))</f>
        <v>#REF!</v>
      </c>
      <c r="AD19" s="34" t="e" cm="1">
        <f t="array" ref="AD19">SUMPRODUCT(($Q19:$AB19&lt;&gt;"-------")*1)</f>
        <v>#REF!</v>
      </c>
      <c r="AE19" s="34">
        <f>RANK($D19,$D$3:$D$90)+COUNTIF($D$3:$D19,$D19)-1</f>
        <v>17</v>
      </c>
    </row>
    <row r="20" spans="1:31">
      <c r="A20" s="38" t="e" cm="1">
        <f t="array" ref="A20">INDEX(Produção!B$2:B$109,(ROW()-3)*12+1)</f>
        <v>#REF!</v>
      </c>
      <c r="B20" s="39" t="e" cm="1">
        <f t="array" ref="B20">INDEX(Produção!C$2:C$109,(ROW()-3)*12+1)</f>
        <v>#REF!</v>
      </c>
      <c r="C20" s="39" t="e" cm="1">
        <f t="array" ref="C20">INDEX(Produção!D$2:D$109,(ROW()-3)*12+1)</f>
        <v>#REF!</v>
      </c>
      <c r="D20" s="40">
        <f t="shared" si="0"/>
        <v>0</v>
      </c>
      <c r="E20" s="41">
        <f>SUMIFS(Produção!$G$2:$G$109,Produção!$B$2:$B$109,$A20,Produção!$F$2:$F$109,E$2)</f>
        <v>0</v>
      </c>
      <c r="F20" s="41">
        <f>SUMIFS(Produção!$G$2:$G$109,Produção!$B$2:$B$109,$A20,Produção!$F$2:$F$109,F$2)</f>
        <v>0</v>
      </c>
      <c r="G20" s="41">
        <f>SUMIFS(Produção!$G$2:$G$109,Produção!$B$2:$B$109,$A20,Produção!$F$2:$F$109,G$2)</f>
        <v>0</v>
      </c>
      <c r="H20" s="41">
        <f>SUMIFS(Produção!$G$2:$G$109,Produção!$B$2:$B$109,$A20,Produção!$F$2:$F$109,H$2)</f>
        <v>0</v>
      </c>
      <c r="I20" s="41">
        <f>SUMIFS(Produção!$G$2:$G$109,Produção!$B$2:$B$109,$A20,Produção!$F$2:$F$109,I$2)</f>
        <v>0</v>
      </c>
      <c r="J20" s="41">
        <f>SUMIFS(Produção!$G$2:$G$109,Produção!$B$2:$B$109,$A20,Produção!$F$2:$F$109,J$2)</f>
        <v>0</v>
      </c>
      <c r="K20" s="41">
        <f>SUMIFS(Produção!$G$2:$G$109,Produção!$B$2:$B$109,$A20,Produção!$F$2:$F$109,K$2)</f>
        <v>0</v>
      </c>
      <c r="L20" s="41">
        <f>SUMIFS(Produção!$G$2:$G$109,Produção!$B$2:$B$109,$A20,Produção!$F$2:$F$109,L$2)</f>
        <v>0</v>
      </c>
      <c r="M20" s="41">
        <f>SUMIFS(Produção!$G$2:$G$109,Produção!$B$2:$B$109,$A20,Produção!$F$2:$F$109,M$2)</f>
        <v>0</v>
      </c>
      <c r="N20" s="41">
        <f>SUMIFS(Produção!$G$2:$G$109,Produção!$B$2:$B$109,$A20,Produção!$F$2:$F$109,N$2)</f>
        <v>0</v>
      </c>
      <c r="O20" s="41">
        <f>SUMIFS(Produção!$G$2:$G$109,Produção!$B$2:$B$109,$A20,Produção!$F$2:$F$109,O$2)</f>
        <v>0</v>
      </c>
      <c r="P20" s="41">
        <f>SUMIFS(Produção!$G$2:$G$109,Produção!$B$2:$B$109,$A20,Produção!$F$2:$F$109,P$2)</f>
        <v>0</v>
      </c>
      <c r="Q20" s="42" t="e" cm="1">
        <f t="array" ref="Q20">_xlfn.LET(_xlpm.canal,INDEX($E$2:$P$2,COLUMN()-COLUMN($Q$2)+1),_xlpm.pos,SUMPRODUCT((Produção!$B$2:$B$109=$A20)*(Produção!$F$2:$F$109=_xlpm.canal)*ROW(Produção!$I$2:$I$109))-1,IF(_xlpm.pos&lt;1,"-------",IF(INDEX(Produção!$I$2:$I$109,_xlpm.pos)="","-------",INDEX(Produção!$I$2:$I$109,_xlpm.pos))))</f>
        <v>#REF!</v>
      </c>
      <c r="R20" s="42" t="e" cm="1">
        <f t="array" ref="R20">_xlfn.LET(_xlpm.canal,INDEX($E$2:$P$2,COLUMN()-COLUMN($Q$2)+1),_xlpm.pos,SUMPRODUCT((Produção!$B$2:$B$109=$A20)*(Produção!$F$2:$F$109=_xlpm.canal)*ROW(Produção!$I$2:$I$109))-1,IF(_xlpm.pos&lt;1,"-------",IF(INDEX(Produção!$I$2:$I$109,_xlpm.pos)="","-------",INDEX(Produção!$I$2:$I$109,_xlpm.pos))))</f>
        <v>#REF!</v>
      </c>
      <c r="S20" s="42" t="e" cm="1">
        <f t="array" ref="S20">_xlfn.LET(_xlpm.canal,INDEX($E$2:$P$2,COLUMN()-COLUMN($Q$2)+1),_xlpm.pos,SUMPRODUCT((Produção!$B$2:$B$109=$A20)*(Produção!$F$2:$F$109=_xlpm.canal)*ROW(Produção!$I$2:$I$109))-1,IF(_xlpm.pos&lt;1,"-------",IF(INDEX(Produção!$I$2:$I$109,_xlpm.pos)="","-------",INDEX(Produção!$I$2:$I$109,_xlpm.pos))))</f>
        <v>#REF!</v>
      </c>
      <c r="T20" s="42" t="e" cm="1">
        <f t="array" ref="T20">_xlfn.LET(_xlpm.canal,INDEX($E$2:$P$2,COLUMN()-COLUMN($Q$2)+1),_xlpm.pos,SUMPRODUCT((Produção!$B$2:$B$109=$A20)*(Produção!$F$2:$F$109=_xlpm.canal)*ROW(Produção!$I$2:$I$109))-1,IF(_xlpm.pos&lt;1,"-------",IF(INDEX(Produção!$I$2:$I$109,_xlpm.pos)="","-------",INDEX(Produção!$I$2:$I$109,_xlpm.pos))))</f>
        <v>#REF!</v>
      </c>
      <c r="U20" s="42" t="e" cm="1">
        <f t="array" ref="U20">_xlfn.LET(_xlpm.canal,INDEX($E$2:$P$2,COLUMN()-COLUMN($Q$2)+1),_xlpm.pos,SUMPRODUCT((Produção!$B$2:$B$109=$A20)*(Produção!$F$2:$F$109=_xlpm.canal)*ROW(Produção!$I$2:$I$109))-1,IF(_xlpm.pos&lt;1,"-------",IF(INDEX(Produção!$I$2:$I$109,_xlpm.pos)="","-------",INDEX(Produção!$I$2:$I$109,_xlpm.pos))))</f>
        <v>#REF!</v>
      </c>
      <c r="V20" s="42" t="e" cm="1">
        <f t="array" ref="V20">_xlfn.LET(_xlpm.canal,INDEX($E$2:$P$2,COLUMN()-COLUMN($Q$2)+1),_xlpm.pos,SUMPRODUCT((Produção!$B$2:$B$109=$A20)*(Produção!$F$2:$F$109=_xlpm.canal)*ROW(Produção!$I$2:$I$109))-1,IF(_xlpm.pos&lt;1,"-------",IF(INDEX(Produção!$I$2:$I$109,_xlpm.pos)="","-------",INDEX(Produção!$I$2:$I$109,_xlpm.pos))))</f>
        <v>#REF!</v>
      </c>
      <c r="W20" s="42" t="e" cm="1">
        <f t="array" ref="W20">_xlfn.LET(_xlpm.canal,INDEX($E$2:$P$2,COLUMN()-COLUMN($Q$2)+1),_xlpm.pos,SUMPRODUCT((Produção!$B$2:$B$109=$A20)*(Produção!$F$2:$F$109=_xlpm.canal)*ROW(Produção!$I$2:$I$109))-1,IF(_xlpm.pos&lt;1,"-------",IF(INDEX(Produção!$I$2:$I$109,_xlpm.pos)="","-------",INDEX(Produção!$I$2:$I$109,_xlpm.pos))))</f>
        <v>#REF!</v>
      </c>
      <c r="X20" s="42" t="e" cm="1">
        <f t="array" ref="X20">_xlfn.LET(_xlpm.canal,INDEX($E$2:$P$2,COLUMN()-COLUMN($Q$2)+1),_xlpm.pos,SUMPRODUCT((Produção!$B$2:$B$109=$A20)*(Produção!$F$2:$F$109=_xlpm.canal)*ROW(Produção!$I$2:$I$109))-1,IF(_xlpm.pos&lt;1,"-------",IF(INDEX(Produção!$I$2:$I$109,_xlpm.pos)="","-------",INDEX(Produção!$I$2:$I$109,_xlpm.pos))))</f>
        <v>#REF!</v>
      </c>
      <c r="Y20" s="42" t="e" cm="1">
        <f t="array" ref="Y20">_xlfn.LET(_xlpm.canal,INDEX($E$2:$P$2,COLUMN()-COLUMN($Q$2)+1),_xlpm.pos,SUMPRODUCT((Produção!$B$2:$B$109=$A20)*(Produção!$F$2:$F$109=_xlpm.canal)*ROW(Produção!$I$2:$I$109))-1,IF(_xlpm.pos&lt;1,"-------",IF(INDEX(Produção!$I$2:$I$109,_xlpm.pos)="","-------",INDEX(Produção!$I$2:$I$109,_xlpm.pos))))</f>
        <v>#REF!</v>
      </c>
      <c r="Z20" s="42" t="e" cm="1">
        <f t="array" ref="Z20">_xlfn.LET(_xlpm.canal,INDEX($E$2:$P$2,COLUMN()-COLUMN($Q$2)+1),_xlpm.pos,SUMPRODUCT((Produção!$B$2:$B$109=$A20)*(Produção!$F$2:$F$109=_xlpm.canal)*ROW(Produção!$I$2:$I$109))-1,IF(_xlpm.pos&lt;1,"-------",IF(INDEX(Produção!$I$2:$I$109,_xlpm.pos)="","-------",INDEX(Produção!$I$2:$I$109,_xlpm.pos))))</f>
        <v>#REF!</v>
      </c>
      <c r="AA20" s="42" t="e" cm="1">
        <f t="array" ref="AA20">_xlfn.LET(_xlpm.canal,INDEX($E$2:$P$2,COLUMN()-COLUMN($Q$2)+1),_xlpm.pos,SUMPRODUCT((Produção!$B$2:$B$109=$A20)*(Produção!$F$2:$F$109=_xlpm.canal)*ROW(Produção!$I$2:$I$109))-1,IF(_xlpm.pos&lt;1,"-------",IF(INDEX(Produção!$I$2:$I$109,_xlpm.pos)="","-------",INDEX(Produção!$I$2:$I$109,_xlpm.pos))))</f>
        <v>#REF!</v>
      </c>
      <c r="AB20" s="42" t="e" cm="1">
        <f t="array" ref="AB20">_xlfn.LET(_xlpm.canal,INDEX($E$2:$P$2,COLUMN()-COLUMN($Q$2)+1),_xlpm.pos,SUMPRODUCT((Produção!$B$2:$B$109=$A20)*(Produção!$F$2:$F$109=_xlpm.canal)*ROW(Produção!$I$2:$I$109))-1,IF(_xlpm.pos&lt;1,"-------",IF(INDEX(Produção!$I$2:$I$109,_xlpm.pos)="","-------",INDEX(Produção!$I$2:$I$109,_xlpm.pos))))</f>
        <v>#REF!</v>
      </c>
      <c r="AD20" s="34" t="e" cm="1">
        <f t="array" ref="AD20">SUMPRODUCT(($Q20:$AB20&lt;&gt;"-------")*1)</f>
        <v>#REF!</v>
      </c>
      <c r="AE20" s="34">
        <f>RANK($D20,$D$3:$D$90)+COUNTIF($D$3:$D20,$D20)-1</f>
        <v>18</v>
      </c>
    </row>
    <row r="21" spans="1:31">
      <c r="A21" s="38" t="e" cm="1">
        <f t="array" ref="A21">INDEX(Produção!B$2:B$109,(ROW()-3)*12+1)</f>
        <v>#REF!</v>
      </c>
      <c r="B21" s="39" t="e" cm="1">
        <f t="array" ref="B21">INDEX(Produção!C$2:C$109,(ROW()-3)*12+1)</f>
        <v>#REF!</v>
      </c>
      <c r="C21" s="39" t="e" cm="1">
        <f t="array" ref="C21">INDEX(Produção!D$2:D$109,(ROW()-3)*12+1)</f>
        <v>#REF!</v>
      </c>
      <c r="D21" s="40">
        <f t="shared" si="0"/>
        <v>0</v>
      </c>
      <c r="E21" s="41">
        <f>SUMIFS(Produção!$G$2:$G$109,Produção!$B$2:$B$109,$A21,Produção!$F$2:$F$109,E$2)</f>
        <v>0</v>
      </c>
      <c r="F21" s="41">
        <f>SUMIFS(Produção!$G$2:$G$109,Produção!$B$2:$B$109,$A21,Produção!$F$2:$F$109,F$2)</f>
        <v>0</v>
      </c>
      <c r="G21" s="41">
        <f>SUMIFS(Produção!$G$2:$G$109,Produção!$B$2:$B$109,$A21,Produção!$F$2:$F$109,G$2)</f>
        <v>0</v>
      </c>
      <c r="H21" s="41">
        <f>SUMIFS(Produção!$G$2:$G$109,Produção!$B$2:$B$109,$A21,Produção!$F$2:$F$109,H$2)</f>
        <v>0</v>
      </c>
      <c r="I21" s="41">
        <f>SUMIFS(Produção!$G$2:$G$109,Produção!$B$2:$B$109,$A21,Produção!$F$2:$F$109,I$2)</f>
        <v>0</v>
      </c>
      <c r="J21" s="41">
        <f>SUMIFS(Produção!$G$2:$G$109,Produção!$B$2:$B$109,$A21,Produção!$F$2:$F$109,J$2)</f>
        <v>0</v>
      </c>
      <c r="K21" s="41">
        <f>SUMIFS(Produção!$G$2:$G$109,Produção!$B$2:$B$109,$A21,Produção!$F$2:$F$109,K$2)</f>
        <v>0</v>
      </c>
      <c r="L21" s="41">
        <f>SUMIFS(Produção!$G$2:$G$109,Produção!$B$2:$B$109,$A21,Produção!$F$2:$F$109,L$2)</f>
        <v>0</v>
      </c>
      <c r="M21" s="41">
        <f>SUMIFS(Produção!$G$2:$G$109,Produção!$B$2:$B$109,$A21,Produção!$F$2:$F$109,M$2)</f>
        <v>0</v>
      </c>
      <c r="N21" s="41">
        <f>SUMIFS(Produção!$G$2:$G$109,Produção!$B$2:$B$109,$A21,Produção!$F$2:$F$109,N$2)</f>
        <v>0</v>
      </c>
      <c r="O21" s="41">
        <f>SUMIFS(Produção!$G$2:$G$109,Produção!$B$2:$B$109,$A21,Produção!$F$2:$F$109,O$2)</f>
        <v>0</v>
      </c>
      <c r="P21" s="41">
        <f>SUMIFS(Produção!$G$2:$G$109,Produção!$B$2:$B$109,$A21,Produção!$F$2:$F$109,P$2)</f>
        <v>0</v>
      </c>
      <c r="Q21" s="42" t="e" cm="1">
        <f t="array" ref="Q21">_xlfn.LET(_xlpm.canal,INDEX($E$2:$P$2,COLUMN()-COLUMN($Q$2)+1),_xlpm.pos,SUMPRODUCT((Produção!$B$2:$B$109=$A21)*(Produção!$F$2:$F$109=_xlpm.canal)*ROW(Produção!$I$2:$I$109))-1,IF(_xlpm.pos&lt;1,"-------",IF(INDEX(Produção!$I$2:$I$109,_xlpm.pos)="","-------",INDEX(Produção!$I$2:$I$109,_xlpm.pos))))</f>
        <v>#REF!</v>
      </c>
      <c r="R21" s="42" t="e" cm="1">
        <f t="array" ref="R21">_xlfn.LET(_xlpm.canal,INDEX($E$2:$P$2,COLUMN()-COLUMN($Q$2)+1),_xlpm.pos,SUMPRODUCT((Produção!$B$2:$B$109=$A21)*(Produção!$F$2:$F$109=_xlpm.canal)*ROW(Produção!$I$2:$I$109))-1,IF(_xlpm.pos&lt;1,"-------",IF(INDEX(Produção!$I$2:$I$109,_xlpm.pos)="","-------",INDEX(Produção!$I$2:$I$109,_xlpm.pos))))</f>
        <v>#REF!</v>
      </c>
      <c r="S21" s="42" t="e" cm="1">
        <f t="array" ref="S21">_xlfn.LET(_xlpm.canal,INDEX($E$2:$P$2,COLUMN()-COLUMN($Q$2)+1),_xlpm.pos,SUMPRODUCT((Produção!$B$2:$B$109=$A21)*(Produção!$F$2:$F$109=_xlpm.canal)*ROW(Produção!$I$2:$I$109))-1,IF(_xlpm.pos&lt;1,"-------",IF(INDEX(Produção!$I$2:$I$109,_xlpm.pos)="","-------",INDEX(Produção!$I$2:$I$109,_xlpm.pos))))</f>
        <v>#REF!</v>
      </c>
      <c r="T21" s="42" t="e" cm="1">
        <f t="array" ref="T21">_xlfn.LET(_xlpm.canal,INDEX($E$2:$P$2,COLUMN()-COLUMN($Q$2)+1),_xlpm.pos,SUMPRODUCT((Produção!$B$2:$B$109=$A21)*(Produção!$F$2:$F$109=_xlpm.canal)*ROW(Produção!$I$2:$I$109))-1,IF(_xlpm.pos&lt;1,"-------",IF(INDEX(Produção!$I$2:$I$109,_xlpm.pos)="","-------",INDEX(Produção!$I$2:$I$109,_xlpm.pos))))</f>
        <v>#REF!</v>
      </c>
      <c r="U21" s="42" t="e" cm="1">
        <f t="array" ref="U21">_xlfn.LET(_xlpm.canal,INDEX($E$2:$P$2,COLUMN()-COLUMN($Q$2)+1),_xlpm.pos,SUMPRODUCT((Produção!$B$2:$B$109=$A21)*(Produção!$F$2:$F$109=_xlpm.canal)*ROW(Produção!$I$2:$I$109))-1,IF(_xlpm.pos&lt;1,"-------",IF(INDEX(Produção!$I$2:$I$109,_xlpm.pos)="","-------",INDEX(Produção!$I$2:$I$109,_xlpm.pos))))</f>
        <v>#REF!</v>
      </c>
      <c r="V21" s="42" t="e" cm="1">
        <f t="array" ref="V21">_xlfn.LET(_xlpm.canal,INDEX($E$2:$P$2,COLUMN()-COLUMN($Q$2)+1),_xlpm.pos,SUMPRODUCT((Produção!$B$2:$B$109=$A21)*(Produção!$F$2:$F$109=_xlpm.canal)*ROW(Produção!$I$2:$I$109))-1,IF(_xlpm.pos&lt;1,"-------",IF(INDEX(Produção!$I$2:$I$109,_xlpm.pos)="","-------",INDEX(Produção!$I$2:$I$109,_xlpm.pos))))</f>
        <v>#REF!</v>
      </c>
      <c r="W21" s="42" t="e" cm="1">
        <f t="array" ref="W21">_xlfn.LET(_xlpm.canal,INDEX($E$2:$P$2,COLUMN()-COLUMN($Q$2)+1),_xlpm.pos,SUMPRODUCT((Produção!$B$2:$B$109=$A21)*(Produção!$F$2:$F$109=_xlpm.canal)*ROW(Produção!$I$2:$I$109))-1,IF(_xlpm.pos&lt;1,"-------",IF(INDEX(Produção!$I$2:$I$109,_xlpm.pos)="","-------",INDEX(Produção!$I$2:$I$109,_xlpm.pos))))</f>
        <v>#REF!</v>
      </c>
      <c r="X21" s="42" t="e" cm="1">
        <f t="array" ref="X21">_xlfn.LET(_xlpm.canal,INDEX($E$2:$P$2,COLUMN()-COLUMN($Q$2)+1),_xlpm.pos,SUMPRODUCT((Produção!$B$2:$B$109=$A21)*(Produção!$F$2:$F$109=_xlpm.canal)*ROW(Produção!$I$2:$I$109))-1,IF(_xlpm.pos&lt;1,"-------",IF(INDEX(Produção!$I$2:$I$109,_xlpm.pos)="","-------",INDEX(Produção!$I$2:$I$109,_xlpm.pos))))</f>
        <v>#REF!</v>
      </c>
      <c r="Y21" s="42" t="e" cm="1">
        <f t="array" ref="Y21">_xlfn.LET(_xlpm.canal,INDEX($E$2:$P$2,COLUMN()-COLUMN($Q$2)+1),_xlpm.pos,SUMPRODUCT((Produção!$B$2:$B$109=$A21)*(Produção!$F$2:$F$109=_xlpm.canal)*ROW(Produção!$I$2:$I$109))-1,IF(_xlpm.pos&lt;1,"-------",IF(INDEX(Produção!$I$2:$I$109,_xlpm.pos)="","-------",INDEX(Produção!$I$2:$I$109,_xlpm.pos))))</f>
        <v>#REF!</v>
      </c>
      <c r="Z21" s="42" t="e" cm="1">
        <f t="array" ref="Z21">_xlfn.LET(_xlpm.canal,INDEX($E$2:$P$2,COLUMN()-COLUMN($Q$2)+1),_xlpm.pos,SUMPRODUCT((Produção!$B$2:$B$109=$A21)*(Produção!$F$2:$F$109=_xlpm.canal)*ROW(Produção!$I$2:$I$109))-1,IF(_xlpm.pos&lt;1,"-------",IF(INDEX(Produção!$I$2:$I$109,_xlpm.pos)="","-------",INDEX(Produção!$I$2:$I$109,_xlpm.pos))))</f>
        <v>#REF!</v>
      </c>
      <c r="AA21" s="42" t="e" cm="1">
        <f t="array" ref="AA21">_xlfn.LET(_xlpm.canal,INDEX($E$2:$P$2,COLUMN()-COLUMN($Q$2)+1),_xlpm.pos,SUMPRODUCT((Produção!$B$2:$B$109=$A21)*(Produção!$F$2:$F$109=_xlpm.canal)*ROW(Produção!$I$2:$I$109))-1,IF(_xlpm.pos&lt;1,"-------",IF(INDEX(Produção!$I$2:$I$109,_xlpm.pos)="","-------",INDEX(Produção!$I$2:$I$109,_xlpm.pos))))</f>
        <v>#REF!</v>
      </c>
      <c r="AB21" s="42" t="e" cm="1">
        <f t="array" ref="AB21">_xlfn.LET(_xlpm.canal,INDEX($E$2:$P$2,COLUMN()-COLUMN($Q$2)+1),_xlpm.pos,SUMPRODUCT((Produção!$B$2:$B$109=$A21)*(Produção!$F$2:$F$109=_xlpm.canal)*ROW(Produção!$I$2:$I$109))-1,IF(_xlpm.pos&lt;1,"-------",IF(INDEX(Produção!$I$2:$I$109,_xlpm.pos)="","-------",INDEX(Produção!$I$2:$I$109,_xlpm.pos))))</f>
        <v>#REF!</v>
      </c>
      <c r="AD21" s="34" t="e" cm="1">
        <f t="array" ref="AD21">SUMPRODUCT(($Q21:$AB21&lt;&gt;"-------")*1)</f>
        <v>#REF!</v>
      </c>
      <c r="AE21" s="34">
        <f>RANK($D21,$D$3:$D$90)+COUNTIF($D$3:$D21,$D21)-1</f>
        <v>19</v>
      </c>
    </row>
    <row r="22" spans="1:31">
      <c r="A22" s="38" t="e" cm="1">
        <f t="array" ref="A22">INDEX(Produção!B$2:B$109,(ROW()-3)*12+1)</f>
        <v>#REF!</v>
      </c>
      <c r="B22" s="39" t="e" cm="1">
        <f t="array" ref="B22">INDEX(Produção!C$2:C$109,(ROW()-3)*12+1)</f>
        <v>#REF!</v>
      </c>
      <c r="C22" s="39" t="e" cm="1">
        <f t="array" ref="C22">INDEX(Produção!D$2:D$109,(ROW()-3)*12+1)</f>
        <v>#REF!</v>
      </c>
      <c r="D22" s="40">
        <f t="shared" si="0"/>
        <v>0</v>
      </c>
      <c r="E22" s="41">
        <f>SUMIFS(Produção!$G$2:$G$109,Produção!$B$2:$B$109,$A22,Produção!$F$2:$F$109,E$2)</f>
        <v>0</v>
      </c>
      <c r="F22" s="41">
        <f>SUMIFS(Produção!$G$2:$G$109,Produção!$B$2:$B$109,$A22,Produção!$F$2:$F$109,F$2)</f>
        <v>0</v>
      </c>
      <c r="G22" s="41">
        <f>SUMIFS(Produção!$G$2:$G$109,Produção!$B$2:$B$109,$A22,Produção!$F$2:$F$109,G$2)</f>
        <v>0</v>
      </c>
      <c r="H22" s="41">
        <f>SUMIFS(Produção!$G$2:$G$109,Produção!$B$2:$B$109,$A22,Produção!$F$2:$F$109,H$2)</f>
        <v>0</v>
      </c>
      <c r="I22" s="41">
        <f>SUMIFS(Produção!$G$2:$G$109,Produção!$B$2:$B$109,$A22,Produção!$F$2:$F$109,I$2)</f>
        <v>0</v>
      </c>
      <c r="J22" s="41">
        <f>SUMIFS(Produção!$G$2:$G$109,Produção!$B$2:$B$109,$A22,Produção!$F$2:$F$109,J$2)</f>
        <v>0</v>
      </c>
      <c r="K22" s="41">
        <f>SUMIFS(Produção!$G$2:$G$109,Produção!$B$2:$B$109,$A22,Produção!$F$2:$F$109,K$2)</f>
        <v>0</v>
      </c>
      <c r="L22" s="41">
        <f>SUMIFS(Produção!$G$2:$G$109,Produção!$B$2:$B$109,$A22,Produção!$F$2:$F$109,L$2)</f>
        <v>0</v>
      </c>
      <c r="M22" s="41">
        <f>SUMIFS(Produção!$G$2:$G$109,Produção!$B$2:$B$109,$A22,Produção!$F$2:$F$109,M$2)</f>
        <v>0</v>
      </c>
      <c r="N22" s="41">
        <f>SUMIFS(Produção!$G$2:$G$109,Produção!$B$2:$B$109,$A22,Produção!$F$2:$F$109,N$2)</f>
        <v>0</v>
      </c>
      <c r="O22" s="41">
        <f>SUMIFS(Produção!$G$2:$G$109,Produção!$B$2:$B$109,$A22,Produção!$F$2:$F$109,O$2)</f>
        <v>0</v>
      </c>
      <c r="P22" s="41">
        <f>SUMIFS(Produção!$G$2:$G$109,Produção!$B$2:$B$109,$A22,Produção!$F$2:$F$109,P$2)</f>
        <v>0</v>
      </c>
      <c r="Q22" s="42" t="e" cm="1">
        <f t="array" ref="Q22">_xlfn.LET(_xlpm.canal,INDEX($E$2:$P$2,COLUMN()-COLUMN($Q$2)+1),_xlpm.pos,SUMPRODUCT((Produção!$B$2:$B$109=$A22)*(Produção!$F$2:$F$109=_xlpm.canal)*ROW(Produção!$I$2:$I$109))-1,IF(_xlpm.pos&lt;1,"-------",IF(INDEX(Produção!$I$2:$I$109,_xlpm.pos)="","-------",INDEX(Produção!$I$2:$I$109,_xlpm.pos))))</f>
        <v>#REF!</v>
      </c>
      <c r="R22" s="42" t="e" cm="1">
        <f t="array" ref="R22">_xlfn.LET(_xlpm.canal,INDEX($E$2:$P$2,COLUMN()-COLUMN($Q$2)+1),_xlpm.pos,SUMPRODUCT((Produção!$B$2:$B$109=$A22)*(Produção!$F$2:$F$109=_xlpm.canal)*ROW(Produção!$I$2:$I$109))-1,IF(_xlpm.pos&lt;1,"-------",IF(INDEX(Produção!$I$2:$I$109,_xlpm.pos)="","-------",INDEX(Produção!$I$2:$I$109,_xlpm.pos))))</f>
        <v>#REF!</v>
      </c>
      <c r="S22" s="42" t="e" cm="1">
        <f t="array" ref="S22">_xlfn.LET(_xlpm.canal,INDEX($E$2:$P$2,COLUMN()-COLUMN($Q$2)+1),_xlpm.pos,SUMPRODUCT((Produção!$B$2:$B$109=$A22)*(Produção!$F$2:$F$109=_xlpm.canal)*ROW(Produção!$I$2:$I$109))-1,IF(_xlpm.pos&lt;1,"-------",IF(INDEX(Produção!$I$2:$I$109,_xlpm.pos)="","-------",INDEX(Produção!$I$2:$I$109,_xlpm.pos))))</f>
        <v>#REF!</v>
      </c>
      <c r="T22" s="42" t="e" cm="1">
        <f t="array" ref="T22">_xlfn.LET(_xlpm.canal,INDEX($E$2:$P$2,COLUMN()-COLUMN($Q$2)+1),_xlpm.pos,SUMPRODUCT((Produção!$B$2:$B$109=$A22)*(Produção!$F$2:$F$109=_xlpm.canal)*ROW(Produção!$I$2:$I$109))-1,IF(_xlpm.pos&lt;1,"-------",IF(INDEX(Produção!$I$2:$I$109,_xlpm.pos)="","-------",INDEX(Produção!$I$2:$I$109,_xlpm.pos))))</f>
        <v>#REF!</v>
      </c>
      <c r="U22" s="42" t="e" cm="1">
        <f t="array" ref="U22">_xlfn.LET(_xlpm.canal,INDEX($E$2:$P$2,COLUMN()-COLUMN($Q$2)+1),_xlpm.pos,SUMPRODUCT((Produção!$B$2:$B$109=$A22)*(Produção!$F$2:$F$109=_xlpm.canal)*ROW(Produção!$I$2:$I$109))-1,IF(_xlpm.pos&lt;1,"-------",IF(INDEX(Produção!$I$2:$I$109,_xlpm.pos)="","-------",INDEX(Produção!$I$2:$I$109,_xlpm.pos))))</f>
        <v>#REF!</v>
      </c>
      <c r="V22" s="42" t="e" cm="1">
        <f t="array" ref="V22">_xlfn.LET(_xlpm.canal,INDEX($E$2:$P$2,COLUMN()-COLUMN($Q$2)+1),_xlpm.pos,SUMPRODUCT((Produção!$B$2:$B$109=$A22)*(Produção!$F$2:$F$109=_xlpm.canal)*ROW(Produção!$I$2:$I$109))-1,IF(_xlpm.pos&lt;1,"-------",IF(INDEX(Produção!$I$2:$I$109,_xlpm.pos)="","-------",INDEX(Produção!$I$2:$I$109,_xlpm.pos))))</f>
        <v>#REF!</v>
      </c>
      <c r="W22" s="42" t="e" cm="1">
        <f t="array" ref="W22">_xlfn.LET(_xlpm.canal,INDEX($E$2:$P$2,COLUMN()-COLUMN($Q$2)+1),_xlpm.pos,SUMPRODUCT((Produção!$B$2:$B$109=$A22)*(Produção!$F$2:$F$109=_xlpm.canal)*ROW(Produção!$I$2:$I$109))-1,IF(_xlpm.pos&lt;1,"-------",IF(INDEX(Produção!$I$2:$I$109,_xlpm.pos)="","-------",INDEX(Produção!$I$2:$I$109,_xlpm.pos))))</f>
        <v>#REF!</v>
      </c>
      <c r="X22" s="42" t="e" cm="1">
        <f t="array" ref="X22">_xlfn.LET(_xlpm.canal,INDEX($E$2:$P$2,COLUMN()-COLUMN($Q$2)+1),_xlpm.pos,SUMPRODUCT((Produção!$B$2:$B$109=$A22)*(Produção!$F$2:$F$109=_xlpm.canal)*ROW(Produção!$I$2:$I$109))-1,IF(_xlpm.pos&lt;1,"-------",IF(INDEX(Produção!$I$2:$I$109,_xlpm.pos)="","-------",INDEX(Produção!$I$2:$I$109,_xlpm.pos))))</f>
        <v>#REF!</v>
      </c>
      <c r="Y22" s="42" t="e" cm="1">
        <f t="array" ref="Y22">_xlfn.LET(_xlpm.canal,INDEX($E$2:$P$2,COLUMN()-COLUMN($Q$2)+1),_xlpm.pos,SUMPRODUCT((Produção!$B$2:$B$109=$A22)*(Produção!$F$2:$F$109=_xlpm.canal)*ROW(Produção!$I$2:$I$109))-1,IF(_xlpm.pos&lt;1,"-------",IF(INDEX(Produção!$I$2:$I$109,_xlpm.pos)="","-------",INDEX(Produção!$I$2:$I$109,_xlpm.pos))))</f>
        <v>#REF!</v>
      </c>
      <c r="Z22" s="42" t="e" cm="1">
        <f t="array" ref="Z22">_xlfn.LET(_xlpm.canal,INDEX($E$2:$P$2,COLUMN()-COLUMN($Q$2)+1),_xlpm.pos,SUMPRODUCT((Produção!$B$2:$B$109=$A22)*(Produção!$F$2:$F$109=_xlpm.canal)*ROW(Produção!$I$2:$I$109))-1,IF(_xlpm.pos&lt;1,"-------",IF(INDEX(Produção!$I$2:$I$109,_xlpm.pos)="","-------",INDEX(Produção!$I$2:$I$109,_xlpm.pos))))</f>
        <v>#REF!</v>
      </c>
      <c r="AA22" s="42" t="e" cm="1">
        <f t="array" ref="AA22">_xlfn.LET(_xlpm.canal,INDEX($E$2:$P$2,COLUMN()-COLUMN($Q$2)+1),_xlpm.pos,SUMPRODUCT((Produção!$B$2:$B$109=$A22)*(Produção!$F$2:$F$109=_xlpm.canal)*ROW(Produção!$I$2:$I$109))-1,IF(_xlpm.pos&lt;1,"-------",IF(INDEX(Produção!$I$2:$I$109,_xlpm.pos)="","-------",INDEX(Produção!$I$2:$I$109,_xlpm.pos))))</f>
        <v>#REF!</v>
      </c>
      <c r="AB22" s="42" t="e" cm="1">
        <f t="array" ref="AB22">_xlfn.LET(_xlpm.canal,INDEX($E$2:$P$2,COLUMN()-COLUMN($Q$2)+1),_xlpm.pos,SUMPRODUCT((Produção!$B$2:$B$109=$A22)*(Produção!$F$2:$F$109=_xlpm.canal)*ROW(Produção!$I$2:$I$109))-1,IF(_xlpm.pos&lt;1,"-------",IF(INDEX(Produção!$I$2:$I$109,_xlpm.pos)="","-------",INDEX(Produção!$I$2:$I$109,_xlpm.pos))))</f>
        <v>#REF!</v>
      </c>
      <c r="AD22" s="34" t="e" cm="1">
        <f t="array" ref="AD22">SUMPRODUCT(($Q22:$AB22&lt;&gt;"-------")*1)</f>
        <v>#REF!</v>
      </c>
      <c r="AE22" s="34">
        <f>RANK($D22,$D$3:$D$90)+COUNTIF($D$3:$D22,$D22)-1</f>
        <v>20</v>
      </c>
    </row>
    <row r="23" spans="1:31">
      <c r="A23" s="38" t="e" cm="1">
        <f t="array" ref="A23">INDEX(Produção!B$2:B$109,(ROW()-3)*12+1)</f>
        <v>#REF!</v>
      </c>
      <c r="B23" s="39" t="e" cm="1">
        <f t="array" ref="B23">INDEX(Produção!C$2:C$109,(ROW()-3)*12+1)</f>
        <v>#REF!</v>
      </c>
      <c r="C23" s="39" t="e" cm="1">
        <f t="array" ref="C23">INDEX(Produção!D$2:D$109,(ROW()-3)*12+1)</f>
        <v>#REF!</v>
      </c>
      <c r="D23" s="40">
        <f t="shared" si="0"/>
        <v>0</v>
      </c>
      <c r="E23" s="41">
        <f>SUMIFS(Produção!$G$2:$G$109,Produção!$B$2:$B$109,$A23,Produção!$F$2:$F$109,E$2)</f>
        <v>0</v>
      </c>
      <c r="F23" s="41">
        <f>SUMIFS(Produção!$G$2:$G$109,Produção!$B$2:$B$109,$A23,Produção!$F$2:$F$109,F$2)</f>
        <v>0</v>
      </c>
      <c r="G23" s="41">
        <f>SUMIFS(Produção!$G$2:$G$109,Produção!$B$2:$B$109,$A23,Produção!$F$2:$F$109,G$2)</f>
        <v>0</v>
      </c>
      <c r="H23" s="41">
        <f>SUMIFS(Produção!$G$2:$G$109,Produção!$B$2:$B$109,$A23,Produção!$F$2:$F$109,H$2)</f>
        <v>0</v>
      </c>
      <c r="I23" s="41">
        <f>SUMIFS(Produção!$G$2:$G$109,Produção!$B$2:$B$109,$A23,Produção!$F$2:$F$109,I$2)</f>
        <v>0</v>
      </c>
      <c r="J23" s="41">
        <f>SUMIFS(Produção!$G$2:$G$109,Produção!$B$2:$B$109,$A23,Produção!$F$2:$F$109,J$2)</f>
        <v>0</v>
      </c>
      <c r="K23" s="41">
        <f>SUMIFS(Produção!$G$2:$G$109,Produção!$B$2:$B$109,$A23,Produção!$F$2:$F$109,K$2)</f>
        <v>0</v>
      </c>
      <c r="L23" s="41">
        <f>SUMIFS(Produção!$G$2:$G$109,Produção!$B$2:$B$109,$A23,Produção!$F$2:$F$109,L$2)</f>
        <v>0</v>
      </c>
      <c r="M23" s="41">
        <f>SUMIFS(Produção!$G$2:$G$109,Produção!$B$2:$B$109,$A23,Produção!$F$2:$F$109,M$2)</f>
        <v>0</v>
      </c>
      <c r="N23" s="41">
        <f>SUMIFS(Produção!$G$2:$G$109,Produção!$B$2:$B$109,$A23,Produção!$F$2:$F$109,N$2)</f>
        <v>0</v>
      </c>
      <c r="O23" s="41">
        <f>SUMIFS(Produção!$G$2:$G$109,Produção!$B$2:$B$109,$A23,Produção!$F$2:$F$109,O$2)</f>
        <v>0</v>
      </c>
      <c r="P23" s="41">
        <f>SUMIFS(Produção!$G$2:$G$109,Produção!$B$2:$B$109,$A23,Produção!$F$2:$F$109,P$2)</f>
        <v>0</v>
      </c>
      <c r="Q23" s="42" t="e" cm="1">
        <f t="array" ref="Q23">_xlfn.LET(_xlpm.canal,INDEX($E$2:$P$2,COLUMN()-COLUMN($Q$2)+1),_xlpm.pos,SUMPRODUCT((Produção!$B$2:$B$109=$A23)*(Produção!$F$2:$F$109=_xlpm.canal)*ROW(Produção!$I$2:$I$109))-1,IF(_xlpm.pos&lt;1,"-------",IF(INDEX(Produção!$I$2:$I$109,_xlpm.pos)="","-------",INDEX(Produção!$I$2:$I$109,_xlpm.pos))))</f>
        <v>#REF!</v>
      </c>
      <c r="R23" s="42" t="e" cm="1">
        <f t="array" ref="R23">_xlfn.LET(_xlpm.canal,INDEX($E$2:$P$2,COLUMN()-COLUMN($Q$2)+1),_xlpm.pos,SUMPRODUCT((Produção!$B$2:$B$109=$A23)*(Produção!$F$2:$F$109=_xlpm.canal)*ROW(Produção!$I$2:$I$109))-1,IF(_xlpm.pos&lt;1,"-------",IF(INDEX(Produção!$I$2:$I$109,_xlpm.pos)="","-------",INDEX(Produção!$I$2:$I$109,_xlpm.pos))))</f>
        <v>#REF!</v>
      </c>
      <c r="S23" s="42" t="e" cm="1">
        <f t="array" ref="S23">_xlfn.LET(_xlpm.canal,INDEX($E$2:$P$2,COLUMN()-COLUMN($Q$2)+1),_xlpm.pos,SUMPRODUCT((Produção!$B$2:$B$109=$A23)*(Produção!$F$2:$F$109=_xlpm.canal)*ROW(Produção!$I$2:$I$109))-1,IF(_xlpm.pos&lt;1,"-------",IF(INDEX(Produção!$I$2:$I$109,_xlpm.pos)="","-------",INDEX(Produção!$I$2:$I$109,_xlpm.pos))))</f>
        <v>#REF!</v>
      </c>
      <c r="T23" s="42" t="e" cm="1">
        <f t="array" ref="T23">_xlfn.LET(_xlpm.canal,INDEX($E$2:$P$2,COLUMN()-COLUMN($Q$2)+1),_xlpm.pos,SUMPRODUCT((Produção!$B$2:$B$109=$A23)*(Produção!$F$2:$F$109=_xlpm.canal)*ROW(Produção!$I$2:$I$109))-1,IF(_xlpm.pos&lt;1,"-------",IF(INDEX(Produção!$I$2:$I$109,_xlpm.pos)="","-------",INDEX(Produção!$I$2:$I$109,_xlpm.pos))))</f>
        <v>#REF!</v>
      </c>
      <c r="U23" s="42" t="e" cm="1">
        <f t="array" ref="U23">_xlfn.LET(_xlpm.canal,INDEX($E$2:$P$2,COLUMN()-COLUMN($Q$2)+1),_xlpm.pos,SUMPRODUCT((Produção!$B$2:$B$109=$A23)*(Produção!$F$2:$F$109=_xlpm.canal)*ROW(Produção!$I$2:$I$109))-1,IF(_xlpm.pos&lt;1,"-------",IF(INDEX(Produção!$I$2:$I$109,_xlpm.pos)="","-------",INDEX(Produção!$I$2:$I$109,_xlpm.pos))))</f>
        <v>#REF!</v>
      </c>
      <c r="V23" s="42" t="e" cm="1">
        <f t="array" ref="V23">_xlfn.LET(_xlpm.canal,INDEX($E$2:$P$2,COLUMN()-COLUMN($Q$2)+1),_xlpm.pos,SUMPRODUCT((Produção!$B$2:$B$109=$A23)*(Produção!$F$2:$F$109=_xlpm.canal)*ROW(Produção!$I$2:$I$109))-1,IF(_xlpm.pos&lt;1,"-------",IF(INDEX(Produção!$I$2:$I$109,_xlpm.pos)="","-------",INDEX(Produção!$I$2:$I$109,_xlpm.pos))))</f>
        <v>#REF!</v>
      </c>
      <c r="W23" s="42" t="e" cm="1">
        <f t="array" ref="W23">_xlfn.LET(_xlpm.canal,INDEX($E$2:$P$2,COLUMN()-COLUMN($Q$2)+1),_xlpm.pos,SUMPRODUCT((Produção!$B$2:$B$109=$A23)*(Produção!$F$2:$F$109=_xlpm.canal)*ROW(Produção!$I$2:$I$109))-1,IF(_xlpm.pos&lt;1,"-------",IF(INDEX(Produção!$I$2:$I$109,_xlpm.pos)="","-------",INDEX(Produção!$I$2:$I$109,_xlpm.pos))))</f>
        <v>#REF!</v>
      </c>
      <c r="X23" s="42" t="e" cm="1">
        <f t="array" ref="X23">_xlfn.LET(_xlpm.canal,INDEX($E$2:$P$2,COLUMN()-COLUMN($Q$2)+1),_xlpm.pos,SUMPRODUCT((Produção!$B$2:$B$109=$A23)*(Produção!$F$2:$F$109=_xlpm.canal)*ROW(Produção!$I$2:$I$109))-1,IF(_xlpm.pos&lt;1,"-------",IF(INDEX(Produção!$I$2:$I$109,_xlpm.pos)="","-------",INDEX(Produção!$I$2:$I$109,_xlpm.pos))))</f>
        <v>#REF!</v>
      </c>
      <c r="Y23" s="42" t="e" cm="1">
        <f t="array" ref="Y23">_xlfn.LET(_xlpm.canal,INDEX($E$2:$P$2,COLUMN()-COLUMN($Q$2)+1),_xlpm.pos,SUMPRODUCT((Produção!$B$2:$B$109=$A23)*(Produção!$F$2:$F$109=_xlpm.canal)*ROW(Produção!$I$2:$I$109))-1,IF(_xlpm.pos&lt;1,"-------",IF(INDEX(Produção!$I$2:$I$109,_xlpm.pos)="","-------",INDEX(Produção!$I$2:$I$109,_xlpm.pos))))</f>
        <v>#REF!</v>
      </c>
      <c r="Z23" s="42" t="e" cm="1">
        <f t="array" ref="Z23">_xlfn.LET(_xlpm.canal,INDEX($E$2:$P$2,COLUMN()-COLUMN($Q$2)+1),_xlpm.pos,SUMPRODUCT((Produção!$B$2:$B$109=$A23)*(Produção!$F$2:$F$109=_xlpm.canal)*ROW(Produção!$I$2:$I$109))-1,IF(_xlpm.pos&lt;1,"-------",IF(INDEX(Produção!$I$2:$I$109,_xlpm.pos)="","-------",INDEX(Produção!$I$2:$I$109,_xlpm.pos))))</f>
        <v>#REF!</v>
      </c>
      <c r="AA23" s="42" t="e" cm="1">
        <f t="array" ref="AA23">_xlfn.LET(_xlpm.canal,INDEX($E$2:$P$2,COLUMN()-COLUMN($Q$2)+1),_xlpm.pos,SUMPRODUCT((Produção!$B$2:$B$109=$A23)*(Produção!$F$2:$F$109=_xlpm.canal)*ROW(Produção!$I$2:$I$109))-1,IF(_xlpm.pos&lt;1,"-------",IF(INDEX(Produção!$I$2:$I$109,_xlpm.pos)="","-------",INDEX(Produção!$I$2:$I$109,_xlpm.pos))))</f>
        <v>#REF!</v>
      </c>
      <c r="AB23" s="42" t="e" cm="1">
        <f t="array" ref="AB23">_xlfn.LET(_xlpm.canal,INDEX($E$2:$P$2,COLUMN()-COLUMN($Q$2)+1),_xlpm.pos,SUMPRODUCT((Produção!$B$2:$B$109=$A23)*(Produção!$F$2:$F$109=_xlpm.canal)*ROW(Produção!$I$2:$I$109))-1,IF(_xlpm.pos&lt;1,"-------",IF(INDEX(Produção!$I$2:$I$109,_xlpm.pos)="","-------",INDEX(Produção!$I$2:$I$109,_xlpm.pos))))</f>
        <v>#REF!</v>
      </c>
      <c r="AD23" s="34" t="e" cm="1">
        <f t="array" ref="AD23">SUMPRODUCT(($Q23:$AB23&lt;&gt;"-------")*1)</f>
        <v>#REF!</v>
      </c>
      <c r="AE23" s="34">
        <f>RANK($D23,$D$3:$D$90)+COUNTIF($D$3:$D23,$D23)-1</f>
        <v>21</v>
      </c>
    </row>
    <row r="24" spans="1:31">
      <c r="A24" s="38" t="e" cm="1">
        <f t="array" ref="A24">INDEX(Produção!B$2:B$109,(ROW()-3)*12+1)</f>
        <v>#REF!</v>
      </c>
      <c r="B24" s="39" t="e" cm="1">
        <f t="array" ref="B24">INDEX(Produção!C$2:C$109,(ROW()-3)*12+1)</f>
        <v>#REF!</v>
      </c>
      <c r="C24" s="39" t="e" cm="1">
        <f t="array" ref="C24">INDEX(Produção!D$2:D$109,(ROW()-3)*12+1)</f>
        <v>#REF!</v>
      </c>
      <c r="D24" s="40">
        <f t="shared" si="0"/>
        <v>0</v>
      </c>
      <c r="E24" s="41">
        <f>SUMIFS(Produção!$G$2:$G$109,Produção!$B$2:$B$109,$A24,Produção!$F$2:$F$109,E$2)</f>
        <v>0</v>
      </c>
      <c r="F24" s="41">
        <f>SUMIFS(Produção!$G$2:$G$109,Produção!$B$2:$B$109,$A24,Produção!$F$2:$F$109,F$2)</f>
        <v>0</v>
      </c>
      <c r="G24" s="41">
        <f>SUMIFS(Produção!$G$2:$G$109,Produção!$B$2:$B$109,$A24,Produção!$F$2:$F$109,G$2)</f>
        <v>0</v>
      </c>
      <c r="H24" s="41">
        <f>SUMIFS(Produção!$G$2:$G$109,Produção!$B$2:$B$109,$A24,Produção!$F$2:$F$109,H$2)</f>
        <v>0</v>
      </c>
      <c r="I24" s="41">
        <f>SUMIFS(Produção!$G$2:$G$109,Produção!$B$2:$B$109,$A24,Produção!$F$2:$F$109,I$2)</f>
        <v>0</v>
      </c>
      <c r="J24" s="41">
        <f>SUMIFS(Produção!$G$2:$G$109,Produção!$B$2:$B$109,$A24,Produção!$F$2:$F$109,J$2)</f>
        <v>0</v>
      </c>
      <c r="K24" s="41">
        <f>SUMIFS(Produção!$G$2:$G$109,Produção!$B$2:$B$109,$A24,Produção!$F$2:$F$109,K$2)</f>
        <v>0</v>
      </c>
      <c r="L24" s="41">
        <f>SUMIFS(Produção!$G$2:$G$109,Produção!$B$2:$B$109,$A24,Produção!$F$2:$F$109,L$2)</f>
        <v>0</v>
      </c>
      <c r="M24" s="41">
        <f>SUMIFS(Produção!$G$2:$G$109,Produção!$B$2:$B$109,$A24,Produção!$F$2:$F$109,M$2)</f>
        <v>0</v>
      </c>
      <c r="N24" s="41">
        <f>SUMIFS(Produção!$G$2:$G$109,Produção!$B$2:$B$109,$A24,Produção!$F$2:$F$109,N$2)</f>
        <v>0</v>
      </c>
      <c r="O24" s="41">
        <f>SUMIFS(Produção!$G$2:$G$109,Produção!$B$2:$B$109,$A24,Produção!$F$2:$F$109,O$2)</f>
        <v>0</v>
      </c>
      <c r="P24" s="41">
        <f>SUMIFS(Produção!$G$2:$G$109,Produção!$B$2:$B$109,$A24,Produção!$F$2:$F$109,P$2)</f>
        <v>0</v>
      </c>
      <c r="Q24" s="42" t="e" cm="1">
        <f t="array" ref="Q24">_xlfn.LET(_xlpm.canal,INDEX($E$2:$P$2,COLUMN()-COLUMN($Q$2)+1),_xlpm.pos,SUMPRODUCT((Produção!$B$2:$B$109=$A24)*(Produção!$F$2:$F$109=_xlpm.canal)*ROW(Produção!$I$2:$I$109))-1,IF(_xlpm.pos&lt;1,"-------",IF(INDEX(Produção!$I$2:$I$109,_xlpm.pos)="","-------",INDEX(Produção!$I$2:$I$109,_xlpm.pos))))</f>
        <v>#REF!</v>
      </c>
      <c r="R24" s="42" t="e" cm="1">
        <f t="array" ref="R24">_xlfn.LET(_xlpm.canal,INDEX($E$2:$P$2,COLUMN()-COLUMN($Q$2)+1),_xlpm.pos,SUMPRODUCT((Produção!$B$2:$B$109=$A24)*(Produção!$F$2:$F$109=_xlpm.canal)*ROW(Produção!$I$2:$I$109))-1,IF(_xlpm.pos&lt;1,"-------",IF(INDEX(Produção!$I$2:$I$109,_xlpm.pos)="","-------",INDEX(Produção!$I$2:$I$109,_xlpm.pos))))</f>
        <v>#REF!</v>
      </c>
      <c r="S24" s="42" t="e" cm="1">
        <f t="array" ref="S24">_xlfn.LET(_xlpm.canal,INDEX($E$2:$P$2,COLUMN()-COLUMN($Q$2)+1),_xlpm.pos,SUMPRODUCT((Produção!$B$2:$B$109=$A24)*(Produção!$F$2:$F$109=_xlpm.canal)*ROW(Produção!$I$2:$I$109))-1,IF(_xlpm.pos&lt;1,"-------",IF(INDEX(Produção!$I$2:$I$109,_xlpm.pos)="","-------",INDEX(Produção!$I$2:$I$109,_xlpm.pos))))</f>
        <v>#REF!</v>
      </c>
      <c r="T24" s="42" t="e" cm="1">
        <f t="array" ref="T24">_xlfn.LET(_xlpm.canal,INDEX($E$2:$P$2,COLUMN()-COLUMN($Q$2)+1),_xlpm.pos,SUMPRODUCT((Produção!$B$2:$B$109=$A24)*(Produção!$F$2:$F$109=_xlpm.canal)*ROW(Produção!$I$2:$I$109))-1,IF(_xlpm.pos&lt;1,"-------",IF(INDEX(Produção!$I$2:$I$109,_xlpm.pos)="","-------",INDEX(Produção!$I$2:$I$109,_xlpm.pos))))</f>
        <v>#REF!</v>
      </c>
      <c r="U24" s="42" t="e" cm="1">
        <f t="array" ref="U24">_xlfn.LET(_xlpm.canal,INDEX($E$2:$P$2,COLUMN()-COLUMN($Q$2)+1),_xlpm.pos,SUMPRODUCT((Produção!$B$2:$B$109=$A24)*(Produção!$F$2:$F$109=_xlpm.canal)*ROW(Produção!$I$2:$I$109))-1,IF(_xlpm.pos&lt;1,"-------",IF(INDEX(Produção!$I$2:$I$109,_xlpm.pos)="","-------",INDEX(Produção!$I$2:$I$109,_xlpm.pos))))</f>
        <v>#REF!</v>
      </c>
      <c r="V24" s="42" t="e" cm="1">
        <f t="array" ref="V24">_xlfn.LET(_xlpm.canal,INDEX($E$2:$P$2,COLUMN()-COLUMN($Q$2)+1),_xlpm.pos,SUMPRODUCT((Produção!$B$2:$B$109=$A24)*(Produção!$F$2:$F$109=_xlpm.canal)*ROW(Produção!$I$2:$I$109))-1,IF(_xlpm.pos&lt;1,"-------",IF(INDEX(Produção!$I$2:$I$109,_xlpm.pos)="","-------",INDEX(Produção!$I$2:$I$109,_xlpm.pos))))</f>
        <v>#REF!</v>
      </c>
      <c r="W24" s="42" t="e" cm="1">
        <f t="array" ref="W24">_xlfn.LET(_xlpm.canal,INDEX($E$2:$P$2,COLUMN()-COLUMN($Q$2)+1),_xlpm.pos,SUMPRODUCT((Produção!$B$2:$B$109=$A24)*(Produção!$F$2:$F$109=_xlpm.canal)*ROW(Produção!$I$2:$I$109))-1,IF(_xlpm.pos&lt;1,"-------",IF(INDEX(Produção!$I$2:$I$109,_xlpm.pos)="","-------",INDEX(Produção!$I$2:$I$109,_xlpm.pos))))</f>
        <v>#REF!</v>
      </c>
      <c r="X24" s="42" t="e" cm="1">
        <f t="array" ref="X24">_xlfn.LET(_xlpm.canal,INDEX($E$2:$P$2,COLUMN()-COLUMN($Q$2)+1),_xlpm.pos,SUMPRODUCT((Produção!$B$2:$B$109=$A24)*(Produção!$F$2:$F$109=_xlpm.canal)*ROW(Produção!$I$2:$I$109))-1,IF(_xlpm.pos&lt;1,"-------",IF(INDEX(Produção!$I$2:$I$109,_xlpm.pos)="","-------",INDEX(Produção!$I$2:$I$109,_xlpm.pos))))</f>
        <v>#REF!</v>
      </c>
      <c r="Y24" s="42" t="e" cm="1">
        <f t="array" ref="Y24">_xlfn.LET(_xlpm.canal,INDEX($E$2:$P$2,COLUMN()-COLUMN($Q$2)+1),_xlpm.pos,SUMPRODUCT((Produção!$B$2:$B$109=$A24)*(Produção!$F$2:$F$109=_xlpm.canal)*ROW(Produção!$I$2:$I$109))-1,IF(_xlpm.pos&lt;1,"-------",IF(INDEX(Produção!$I$2:$I$109,_xlpm.pos)="","-------",INDEX(Produção!$I$2:$I$109,_xlpm.pos))))</f>
        <v>#REF!</v>
      </c>
      <c r="Z24" s="42" t="e" cm="1">
        <f t="array" ref="Z24">_xlfn.LET(_xlpm.canal,INDEX($E$2:$P$2,COLUMN()-COLUMN($Q$2)+1),_xlpm.pos,SUMPRODUCT((Produção!$B$2:$B$109=$A24)*(Produção!$F$2:$F$109=_xlpm.canal)*ROW(Produção!$I$2:$I$109))-1,IF(_xlpm.pos&lt;1,"-------",IF(INDEX(Produção!$I$2:$I$109,_xlpm.pos)="","-------",INDEX(Produção!$I$2:$I$109,_xlpm.pos))))</f>
        <v>#REF!</v>
      </c>
      <c r="AA24" s="42" t="e" cm="1">
        <f t="array" ref="AA24">_xlfn.LET(_xlpm.canal,INDEX($E$2:$P$2,COLUMN()-COLUMN($Q$2)+1),_xlpm.pos,SUMPRODUCT((Produção!$B$2:$B$109=$A24)*(Produção!$F$2:$F$109=_xlpm.canal)*ROW(Produção!$I$2:$I$109))-1,IF(_xlpm.pos&lt;1,"-------",IF(INDEX(Produção!$I$2:$I$109,_xlpm.pos)="","-------",INDEX(Produção!$I$2:$I$109,_xlpm.pos))))</f>
        <v>#REF!</v>
      </c>
      <c r="AB24" s="42" t="e" cm="1">
        <f t="array" ref="AB24">_xlfn.LET(_xlpm.canal,INDEX($E$2:$P$2,COLUMN()-COLUMN($Q$2)+1),_xlpm.pos,SUMPRODUCT((Produção!$B$2:$B$109=$A24)*(Produção!$F$2:$F$109=_xlpm.canal)*ROW(Produção!$I$2:$I$109))-1,IF(_xlpm.pos&lt;1,"-------",IF(INDEX(Produção!$I$2:$I$109,_xlpm.pos)="","-------",INDEX(Produção!$I$2:$I$109,_xlpm.pos))))</f>
        <v>#REF!</v>
      </c>
      <c r="AD24" s="34" t="e" cm="1">
        <f t="array" ref="AD24">SUMPRODUCT(($Q24:$AB24&lt;&gt;"-------")*1)</f>
        <v>#REF!</v>
      </c>
      <c r="AE24" s="34">
        <f>RANK($D24,$D$3:$D$90)+COUNTIF($D$3:$D24,$D24)-1</f>
        <v>22</v>
      </c>
    </row>
    <row r="25" spans="1:31">
      <c r="A25" s="38" t="e" cm="1">
        <f t="array" ref="A25">INDEX(Produção!B$2:B$109,(ROW()-3)*12+1)</f>
        <v>#REF!</v>
      </c>
      <c r="B25" s="39" t="e" cm="1">
        <f t="array" ref="B25">INDEX(Produção!C$2:C$109,(ROW()-3)*12+1)</f>
        <v>#REF!</v>
      </c>
      <c r="C25" s="39" t="e" cm="1">
        <f t="array" ref="C25">INDEX(Produção!D$2:D$109,(ROW()-3)*12+1)</f>
        <v>#REF!</v>
      </c>
      <c r="D25" s="40">
        <f t="shared" si="0"/>
        <v>0</v>
      </c>
      <c r="E25" s="41">
        <f>SUMIFS(Produção!$G$2:$G$109,Produção!$B$2:$B$109,$A25,Produção!$F$2:$F$109,E$2)</f>
        <v>0</v>
      </c>
      <c r="F25" s="41">
        <f>SUMIFS(Produção!$G$2:$G$109,Produção!$B$2:$B$109,$A25,Produção!$F$2:$F$109,F$2)</f>
        <v>0</v>
      </c>
      <c r="G25" s="41">
        <f>SUMIFS(Produção!$G$2:$G$109,Produção!$B$2:$B$109,$A25,Produção!$F$2:$F$109,G$2)</f>
        <v>0</v>
      </c>
      <c r="H25" s="41">
        <f>SUMIFS(Produção!$G$2:$G$109,Produção!$B$2:$B$109,$A25,Produção!$F$2:$F$109,H$2)</f>
        <v>0</v>
      </c>
      <c r="I25" s="41">
        <f>SUMIFS(Produção!$G$2:$G$109,Produção!$B$2:$B$109,$A25,Produção!$F$2:$F$109,I$2)</f>
        <v>0</v>
      </c>
      <c r="J25" s="41">
        <f>SUMIFS(Produção!$G$2:$G$109,Produção!$B$2:$B$109,$A25,Produção!$F$2:$F$109,J$2)</f>
        <v>0</v>
      </c>
      <c r="K25" s="41">
        <f>SUMIFS(Produção!$G$2:$G$109,Produção!$B$2:$B$109,$A25,Produção!$F$2:$F$109,K$2)</f>
        <v>0</v>
      </c>
      <c r="L25" s="41">
        <f>SUMIFS(Produção!$G$2:$G$109,Produção!$B$2:$B$109,$A25,Produção!$F$2:$F$109,L$2)</f>
        <v>0</v>
      </c>
      <c r="M25" s="41">
        <f>SUMIFS(Produção!$G$2:$G$109,Produção!$B$2:$B$109,$A25,Produção!$F$2:$F$109,M$2)</f>
        <v>0</v>
      </c>
      <c r="N25" s="41">
        <f>SUMIFS(Produção!$G$2:$G$109,Produção!$B$2:$B$109,$A25,Produção!$F$2:$F$109,N$2)</f>
        <v>0</v>
      </c>
      <c r="O25" s="41">
        <f>SUMIFS(Produção!$G$2:$G$109,Produção!$B$2:$B$109,$A25,Produção!$F$2:$F$109,O$2)</f>
        <v>0</v>
      </c>
      <c r="P25" s="41">
        <f>SUMIFS(Produção!$G$2:$G$109,Produção!$B$2:$B$109,$A25,Produção!$F$2:$F$109,P$2)</f>
        <v>0</v>
      </c>
      <c r="Q25" s="42" t="e" cm="1">
        <f t="array" ref="Q25">_xlfn.LET(_xlpm.canal,INDEX($E$2:$P$2,COLUMN()-COLUMN($Q$2)+1),_xlpm.pos,SUMPRODUCT((Produção!$B$2:$B$109=$A25)*(Produção!$F$2:$F$109=_xlpm.canal)*ROW(Produção!$I$2:$I$109))-1,IF(_xlpm.pos&lt;1,"-------",IF(INDEX(Produção!$I$2:$I$109,_xlpm.pos)="","-------",INDEX(Produção!$I$2:$I$109,_xlpm.pos))))</f>
        <v>#REF!</v>
      </c>
      <c r="R25" s="42" t="e" cm="1">
        <f t="array" ref="R25">_xlfn.LET(_xlpm.canal,INDEX($E$2:$P$2,COLUMN()-COLUMN($Q$2)+1),_xlpm.pos,SUMPRODUCT((Produção!$B$2:$B$109=$A25)*(Produção!$F$2:$F$109=_xlpm.canal)*ROW(Produção!$I$2:$I$109))-1,IF(_xlpm.pos&lt;1,"-------",IF(INDEX(Produção!$I$2:$I$109,_xlpm.pos)="","-------",INDEX(Produção!$I$2:$I$109,_xlpm.pos))))</f>
        <v>#REF!</v>
      </c>
      <c r="S25" s="42" t="e" cm="1">
        <f t="array" ref="S25">_xlfn.LET(_xlpm.canal,INDEX($E$2:$P$2,COLUMN()-COLUMN($Q$2)+1),_xlpm.pos,SUMPRODUCT((Produção!$B$2:$B$109=$A25)*(Produção!$F$2:$F$109=_xlpm.canal)*ROW(Produção!$I$2:$I$109))-1,IF(_xlpm.pos&lt;1,"-------",IF(INDEX(Produção!$I$2:$I$109,_xlpm.pos)="","-------",INDEX(Produção!$I$2:$I$109,_xlpm.pos))))</f>
        <v>#REF!</v>
      </c>
      <c r="T25" s="42" t="e" cm="1">
        <f t="array" ref="T25">_xlfn.LET(_xlpm.canal,INDEX($E$2:$P$2,COLUMN()-COLUMN($Q$2)+1),_xlpm.pos,SUMPRODUCT((Produção!$B$2:$B$109=$A25)*(Produção!$F$2:$F$109=_xlpm.canal)*ROW(Produção!$I$2:$I$109))-1,IF(_xlpm.pos&lt;1,"-------",IF(INDEX(Produção!$I$2:$I$109,_xlpm.pos)="","-------",INDEX(Produção!$I$2:$I$109,_xlpm.pos))))</f>
        <v>#REF!</v>
      </c>
      <c r="U25" s="42" t="e" cm="1">
        <f t="array" ref="U25">_xlfn.LET(_xlpm.canal,INDEX($E$2:$P$2,COLUMN()-COLUMN($Q$2)+1),_xlpm.pos,SUMPRODUCT((Produção!$B$2:$B$109=$A25)*(Produção!$F$2:$F$109=_xlpm.canal)*ROW(Produção!$I$2:$I$109))-1,IF(_xlpm.pos&lt;1,"-------",IF(INDEX(Produção!$I$2:$I$109,_xlpm.pos)="","-------",INDEX(Produção!$I$2:$I$109,_xlpm.pos))))</f>
        <v>#REF!</v>
      </c>
      <c r="V25" s="42" t="e" cm="1">
        <f t="array" ref="V25">_xlfn.LET(_xlpm.canal,INDEX($E$2:$P$2,COLUMN()-COLUMN($Q$2)+1),_xlpm.pos,SUMPRODUCT((Produção!$B$2:$B$109=$A25)*(Produção!$F$2:$F$109=_xlpm.canal)*ROW(Produção!$I$2:$I$109))-1,IF(_xlpm.pos&lt;1,"-------",IF(INDEX(Produção!$I$2:$I$109,_xlpm.pos)="","-------",INDEX(Produção!$I$2:$I$109,_xlpm.pos))))</f>
        <v>#REF!</v>
      </c>
      <c r="W25" s="42" t="e" cm="1">
        <f t="array" ref="W25">_xlfn.LET(_xlpm.canal,INDEX($E$2:$P$2,COLUMN()-COLUMN($Q$2)+1),_xlpm.pos,SUMPRODUCT((Produção!$B$2:$B$109=$A25)*(Produção!$F$2:$F$109=_xlpm.canal)*ROW(Produção!$I$2:$I$109))-1,IF(_xlpm.pos&lt;1,"-------",IF(INDEX(Produção!$I$2:$I$109,_xlpm.pos)="","-------",INDEX(Produção!$I$2:$I$109,_xlpm.pos))))</f>
        <v>#REF!</v>
      </c>
      <c r="X25" s="42" t="e" cm="1">
        <f t="array" ref="X25">_xlfn.LET(_xlpm.canal,INDEX($E$2:$P$2,COLUMN()-COLUMN($Q$2)+1),_xlpm.pos,SUMPRODUCT((Produção!$B$2:$B$109=$A25)*(Produção!$F$2:$F$109=_xlpm.canal)*ROW(Produção!$I$2:$I$109))-1,IF(_xlpm.pos&lt;1,"-------",IF(INDEX(Produção!$I$2:$I$109,_xlpm.pos)="","-------",INDEX(Produção!$I$2:$I$109,_xlpm.pos))))</f>
        <v>#REF!</v>
      </c>
      <c r="Y25" s="42" t="e" cm="1">
        <f t="array" ref="Y25">_xlfn.LET(_xlpm.canal,INDEX($E$2:$P$2,COLUMN()-COLUMN($Q$2)+1),_xlpm.pos,SUMPRODUCT((Produção!$B$2:$B$109=$A25)*(Produção!$F$2:$F$109=_xlpm.canal)*ROW(Produção!$I$2:$I$109))-1,IF(_xlpm.pos&lt;1,"-------",IF(INDEX(Produção!$I$2:$I$109,_xlpm.pos)="","-------",INDEX(Produção!$I$2:$I$109,_xlpm.pos))))</f>
        <v>#REF!</v>
      </c>
      <c r="Z25" s="42" t="e" cm="1">
        <f t="array" ref="Z25">_xlfn.LET(_xlpm.canal,INDEX($E$2:$P$2,COLUMN()-COLUMN($Q$2)+1),_xlpm.pos,SUMPRODUCT((Produção!$B$2:$B$109=$A25)*(Produção!$F$2:$F$109=_xlpm.canal)*ROW(Produção!$I$2:$I$109))-1,IF(_xlpm.pos&lt;1,"-------",IF(INDEX(Produção!$I$2:$I$109,_xlpm.pos)="","-------",INDEX(Produção!$I$2:$I$109,_xlpm.pos))))</f>
        <v>#REF!</v>
      </c>
      <c r="AA25" s="42" t="e" cm="1">
        <f t="array" ref="AA25">_xlfn.LET(_xlpm.canal,INDEX($E$2:$P$2,COLUMN()-COLUMN($Q$2)+1),_xlpm.pos,SUMPRODUCT((Produção!$B$2:$B$109=$A25)*(Produção!$F$2:$F$109=_xlpm.canal)*ROW(Produção!$I$2:$I$109))-1,IF(_xlpm.pos&lt;1,"-------",IF(INDEX(Produção!$I$2:$I$109,_xlpm.pos)="","-------",INDEX(Produção!$I$2:$I$109,_xlpm.pos))))</f>
        <v>#REF!</v>
      </c>
      <c r="AB25" s="42" t="e" cm="1">
        <f t="array" ref="AB25">_xlfn.LET(_xlpm.canal,INDEX($E$2:$P$2,COLUMN()-COLUMN($Q$2)+1),_xlpm.pos,SUMPRODUCT((Produção!$B$2:$B$109=$A25)*(Produção!$F$2:$F$109=_xlpm.canal)*ROW(Produção!$I$2:$I$109))-1,IF(_xlpm.pos&lt;1,"-------",IF(INDEX(Produção!$I$2:$I$109,_xlpm.pos)="","-------",INDEX(Produção!$I$2:$I$109,_xlpm.pos))))</f>
        <v>#REF!</v>
      </c>
      <c r="AD25" s="34" t="e" cm="1">
        <f t="array" ref="AD25">SUMPRODUCT(($Q25:$AB25&lt;&gt;"-------")*1)</f>
        <v>#REF!</v>
      </c>
      <c r="AE25" s="34">
        <f>RANK($D25,$D$3:$D$90)+COUNTIF($D$3:$D25,$D25)-1</f>
        <v>23</v>
      </c>
    </row>
    <row r="26" spans="1:31">
      <c r="A26" s="38" t="e" cm="1">
        <f t="array" ref="A26">INDEX(Produção!B$2:B$109,(ROW()-3)*12+1)</f>
        <v>#REF!</v>
      </c>
      <c r="B26" s="39" t="e" cm="1">
        <f t="array" ref="B26">INDEX(Produção!C$2:C$109,(ROW()-3)*12+1)</f>
        <v>#REF!</v>
      </c>
      <c r="C26" s="39" t="e" cm="1">
        <f t="array" ref="C26">INDEX(Produção!D$2:D$109,(ROW()-3)*12+1)</f>
        <v>#REF!</v>
      </c>
      <c r="D26" s="40">
        <f t="shared" si="0"/>
        <v>0</v>
      </c>
      <c r="E26" s="41">
        <f>SUMIFS(Produção!$G$2:$G$109,Produção!$B$2:$B$109,$A26,Produção!$F$2:$F$109,E$2)</f>
        <v>0</v>
      </c>
      <c r="F26" s="41">
        <f>SUMIFS(Produção!$G$2:$G$109,Produção!$B$2:$B$109,$A26,Produção!$F$2:$F$109,F$2)</f>
        <v>0</v>
      </c>
      <c r="G26" s="41">
        <f>SUMIFS(Produção!$G$2:$G$109,Produção!$B$2:$B$109,$A26,Produção!$F$2:$F$109,G$2)</f>
        <v>0</v>
      </c>
      <c r="H26" s="41">
        <f>SUMIFS(Produção!$G$2:$G$109,Produção!$B$2:$B$109,$A26,Produção!$F$2:$F$109,H$2)</f>
        <v>0</v>
      </c>
      <c r="I26" s="41">
        <f>SUMIFS(Produção!$G$2:$G$109,Produção!$B$2:$B$109,$A26,Produção!$F$2:$F$109,I$2)</f>
        <v>0</v>
      </c>
      <c r="J26" s="41">
        <f>SUMIFS(Produção!$G$2:$G$109,Produção!$B$2:$B$109,$A26,Produção!$F$2:$F$109,J$2)</f>
        <v>0</v>
      </c>
      <c r="K26" s="41">
        <f>SUMIFS(Produção!$G$2:$G$109,Produção!$B$2:$B$109,$A26,Produção!$F$2:$F$109,K$2)</f>
        <v>0</v>
      </c>
      <c r="L26" s="41">
        <f>SUMIFS(Produção!$G$2:$G$109,Produção!$B$2:$B$109,$A26,Produção!$F$2:$F$109,L$2)</f>
        <v>0</v>
      </c>
      <c r="M26" s="41">
        <f>SUMIFS(Produção!$G$2:$G$109,Produção!$B$2:$B$109,$A26,Produção!$F$2:$F$109,M$2)</f>
        <v>0</v>
      </c>
      <c r="N26" s="41">
        <f>SUMIFS(Produção!$G$2:$G$109,Produção!$B$2:$B$109,$A26,Produção!$F$2:$F$109,N$2)</f>
        <v>0</v>
      </c>
      <c r="O26" s="41">
        <f>SUMIFS(Produção!$G$2:$G$109,Produção!$B$2:$B$109,$A26,Produção!$F$2:$F$109,O$2)</f>
        <v>0</v>
      </c>
      <c r="P26" s="41">
        <f>SUMIFS(Produção!$G$2:$G$109,Produção!$B$2:$B$109,$A26,Produção!$F$2:$F$109,P$2)</f>
        <v>0</v>
      </c>
      <c r="Q26" s="42" t="e" cm="1">
        <f t="array" ref="Q26">_xlfn.LET(_xlpm.canal,INDEX($E$2:$P$2,COLUMN()-COLUMN($Q$2)+1),_xlpm.pos,SUMPRODUCT((Produção!$B$2:$B$109=$A26)*(Produção!$F$2:$F$109=_xlpm.canal)*ROW(Produção!$I$2:$I$109))-1,IF(_xlpm.pos&lt;1,"-------",IF(INDEX(Produção!$I$2:$I$109,_xlpm.pos)="","-------",INDEX(Produção!$I$2:$I$109,_xlpm.pos))))</f>
        <v>#REF!</v>
      </c>
      <c r="R26" s="42" t="e" cm="1">
        <f t="array" ref="R26">_xlfn.LET(_xlpm.canal,INDEX($E$2:$P$2,COLUMN()-COLUMN($Q$2)+1),_xlpm.pos,SUMPRODUCT((Produção!$B$2:$B$109=$A26)*(Produção!$F$2:$F$109=_xlpm.canal)*ROW(Produção!$I$2:$I$109))-1,IF(_xlpm.pos&lt;1,"-------",IF(INDEX(Produção!$I$2:$I$109,_xlpm.pos)="","-------",INDEX(Produção!$I$2:$I$109,_xlpm.pos))))</f>
        <v>#REF!</v>
      </c>
      <c r="S26" s="42" t="e" cm="1">
        <f t="array" ref="S26">_xlfn.LET(_xlpm.canal,INDEX($E$2:$P$2,COLUMN()-COLUMN($Q$2)+1),_xlpm.pos,SUMPRODUCT((Produção!$B$2:$B$109=$A26)*(Produção!$F$2:$F$109=_xlpm.canal)*ROW(Produção!$I$2:$I$109))-1,IF(_xlpm.pos&lt;1,"-------",IF(INDEX(Produção!$I$2:$I$109,_xlpm.pos)="","-------",INDEX(Produção!$I$2:$I$109,_xlpm.pos))))</f>
        <v>#REF!</v>
      </c>
      <c r="T26" s="42" t="e" cm="1">
        <f t="array" ref="T26">_xlfn.LET(_xlpm.canal,INDEX($E$2:$P$2,COLUMN()-COLUMN($Q$2)+1),_xlpm.pos,SUMPRODUCT((Produção!$B$2:$B$109=$A26)*(Produção!$F$2:$F$109=_xlpm.canal)*ROW(Produção!$I$2:$I$109))-1,IF(_xlpm.pos&lt;1,"-------",IF(INDEX(Produção!$I$2:$I$109,_xlpm.pos)="","-------",INDEX(Produção!$I$2:$I$109,_xlpm.pos))))</f>
        <v>#REF!</v>
      </c>
      <c r="U26" s="42" t="e" cm="1">
        <f t="array" ref="U26">_xlfn.LET(_xlpm.canal,INDEX($E$2:$P$2,COLUMN()-COLUMN($Q$2)+1),_xlpm.pos,SUMPRODUCT((Produção!$B$2:$B$109=$A26)*(Produção!$F$2:$F$109=_xlpm.canal)*ROW(Produção!$I$2:$I$109))-1,IF(_xlpm.pos&lt;1,"-------",IF(INDEX(Produção!$I$2:$I$109,_xlpm.pos)="","-------",INDEX(Produção!$I$2:$I$109,_xlpm.pos))))</f>
        <v>#REF!</v>
      </c>
      <c r="V26" s="42" t="e" cm="1">
        <f t="array" ref="V26">_xlfn.LET(_xlpm.canal,INDEX($E$2:$P$2,COLUMN()-COLUMN($Q$2)+1),_xlpm.pos,SUMPRODUCT((Produção!$B$2:$B$109=$A26)*(Produção!$F$2:$F$109=_xlpm.canal)*ROW(Produção!$I$2:$I$109))-1,IF(_xlpm.pos&lt;1,"-------",IF(INDEX(Produção!$I$2:$I$109,_xlpm.pos)="","-------",INDEX(Produção!$I$2:$I$109,_xlpm.pos))))</f>
        <v>#REF!</v>
      </c>
      <c r="W26" s="42" t="e" cm="1">
        <f t="array" ref="W26">_xlfn.LET(_xlpm.canal,INDEX($E$2:$P$2,COLUMN()-COLUMN($Q$2)+1),_xlpm.pos,SUMPRODUCT((Produção!$B$2:$B$109=$A26)*(Produção!$F$2:$F$109=_xlpm.canal)*ROW(Produção!$I$2:$I$109))-1,IF(_xlpm.pos&lt;1,"-------",IF(INDEX(Produção!$I$2:$I$109,_xlpm.pos)="","-------",INDEX(Produção!$I$2:$I$109,_xlpm.pos))))</f>
        <v>#REF!</v>
      </c>
      <c r="X26" s="42" t="e" cm="1">
        <f t="array" ref="X26">_xlfn.LET(_xlpm.canal,INDEX($E$2:$P$2,COLUMN()-COLUMN($Q$2)+1),_xlpm.pos,SUMPRODUCT((Produção!$B$2:$B$109=$A26)*(Produção!$F$2:$F$109=_xlpm.canal)*ROW(Produção!$I$2:$I$109))-1,IF(_xlpm.pos&lt;1,"-------",IF(INDEX(Produção!$I$2:$I$109,_xlpm.pos)="","-------",INDEX(Produção!$I$2:$I$109,_xlpm.pos))))</f>
        <v>#REF!</v>
      </c>
      <c r="Y26" s="42" t="e" cm="1">
        <f t="array" ref="Y26">_xlfn.LET(_xlpm.canal,INDEX($E$2:$P$2,COLUMN()-COLUMN($Q$2)+1),_xlpm.pos,SUMPRODUCT((Produção!$B$2:$B$109=$A26)*(Produção!$F$2:$F$109=_xlpm.canal)*ROW(Produção!$I$2:$I$109))-1,IF(_xlpm.pos&lt;1,"-------",IF(INDEX(Produção!$I$2:$I$109,_xlpm.pos)="","-------",INDEX(Produção!$I$2:$I$109,_xlpm.pos))))</f>
        <v>#REF!</v>
      </c>
      <c r="Z26" s="42" t="e" cm="1">
        <f t="array" ref="Z26">_xlfn.LET(_xlpm.canal,INDEX($E$2:$P$2,COLUMN()-COLUMN($Q$2)+1),_xlpm.pos,SUMPRODUCT((Produção!$B$2:$B$109=$A26)*(Produção!$F$2:$F$109=_xlpm.canal)*ROW(Produção!$I$2:$I$109))-1,IF(_xlpm.pos&lt;1,"-------",IF(INDEX(Produção!$I$2:$I$109,_xlpm.pos)="","-------",INDEX(Produção!$I$2:$I$109,_xlpm.pos))))</f>
        <v>#REF!</v>
      </c>
      <c r="AA26" s="42" t="e" cm="1">
        <f t="array" ref="AA26">_xlfn.LET(_xlpm.canal,INDEX($E$2:$P$2,COLUMN()-COLUMN($Q$2)+1),_xlpm.pos,SUMPRODUCT((Produção!$B$2:$B$109=$A26)*(Produção!$F$2:$F$109=_xlpm.canal)*ROW(Produção!$I$2:$I$109))-1,IF(_xlpm.pos&lt;1,"-------",IF(INDEX(Produção!$I$2:$I$109,_xlpm.pos)="","-------",INDEX(Produção!$I$2:$I$109,_xlpm.pos))))</f>
        <v>#REF!</v>
      </c>
      <c r="AB26" s="42" t="e" cm="1">
        <f t="array" ref="AB26">_xlfn.LET(_xlpm.canal,INDEX($E$2:$P$2,COLUMN()-COLUMN($Q$2)+1),_xlpm.pos,SUMPRODUCT((Produção!$B$2:$B$109=$A26)*(Produção!$F$2:$F$109=_xlpm.canal)*ROW(Produção!$I$2:$I$109))-1,IF(_xlpm.pos&lt;1,"-------",IF(INDEX(Produção!$I$2:$I$109,_xlpm.pos)="","-------",INDEX(Produção!$I$2:$I$109,_xlpm.pos))))</f>
        <v>#REF!</v>
      </c>
      <c r="AD26" s="34" t="e" cm="1">
        <f t="array" ref="AD26">SUMPRODUCT(($Q26:$AB26&lt;&gt;"-------")*1)</f>
        <v>#REF!</v>
      </c>
      <c r="AE26" s="34">
        <f>RANK($D26,$D$3:$D$90)+COUNTIF($D$3:$D26,$D26)-1</f>
        <v>24</v>
      </c>
    </row>
    <row r="27" spans="1:31">
      <c r="A27" s="38" t="e" cm="1">
        <f t="array" ref="A27">INDEX(Produção!B$2:B$109,(ROW()-3)*12+1)</f>
        <v>#REF!</v>
      </c>
      <c r="B27" s="39" t="e" cm="1">
        <f t="array" ref="B27">INDEX(Produção!C$2:C$109,(ROW()-3)*12+1)</f>
        <v>#REF!</v>
      </c>
      <c r="C27" s="39" t="e" cm="1">
        <f t="array" ref="C27">INDEX(Produção!D$2:D$109,(ROW()-3)*12+1)</f>
        <v>#REF!</v>
      </c>
      <c r="D27" s="40">
        <f t="shared" si="0"/>
        <v>0</v>
      </c>
      <c r="E27" s="41">
        <f>SUMIFS(Produção!$G$2:$G$109,Produção!$B$2:$B$109,$A27,Produção!$F$2:$F$109,E$2)</f>
        <v>0</v>
      </c>
      <c r="F27" s="41">
        <f>SUMIFS(Produção!$G$2:$G$109,Produção!$B$2:$B$109,$A27,Produção!$F$2:$F$109,F$2)</f>
        <v>0</v>
      </c>
      <c r="G27" s="41">
        <f>SUMIFS(Produção!$G$2:$G$109,Produção!$B$2:$B$109,$A27,Produção!$F$2:$F$109,G$2)</f>
        <v>0</v>
      </c>
      <c r="H27" s="41">
        <f>SUMIFS(Produção!$G$2:$G$109,Produção!$B$2:$B$109,$A27,Produção!$F$2:$F$109,H$2)</f>
        <v>0</v>
      </c>
      <c r="I27" s="41">
        <f>SUMIFS(Produção!$G$2:$G$109,Produção!$B$2:$B$109,$A27,Produção!$F$2:$F$109,I$2)</f>
        <v>0</v>
      </c>
      <c r="J27" s="41">
        <f>SUMIFS(Produção!$G$2:$G$109,Produção!$B$2:$B$109,$A27,Produção!$F$2:$F$109,J$2)</f>
        <v>0</v>
      </c>
      <c r="K27" s="41">
        <f>SUMIFS(Produção!$G$2:$G$109,Produção!$B$2:$B$109,$A27,Produção!$F$2:$F$109,K$2)</f>
        <v>0</v>
      </c>
      <c r="L27" s="41">
        <f>SUMIFS(Produção!$G$2:$G$109,Produção!$B$2:$B$109,$A27,Produção!$F$2:$F$109,L$2)</f>
        <v>0</v>
      </c>
      <c r="M27" s="41">
        <f>SUMIFS(Produção!$G$2:$G$109,Produção!$B$2:$B$109,$A27,Produção!$F$2:$F$109,M$2)</f>
        <v>0</v>
      </c>
      <c r="N27" s="41">
        <f>SUMIFS(Produção!$G$2:$G$109,Produção!$B$2:$B$109,$A27,Produção!$F$2:$F$109,N$2)</f>
        <v>0</v>
      </c>
      <c r="O27" s="41">
        <f>SUMIFS(Produção!$G$2:$G$109,Produção!$B$2:$B$109,$A27,Produção!$F$2:$F$109,O$2)</f>
        <v>0</v>
      </c>
      <c r="P27" s="41">
        <f>SUMIFS(Produção!$G$2:$G$109,Produção!$B$2:$B$109,$A27,Produção!$F$2:$F$109,P$2)</f>
        <v>0</v>
      </c>
      <c r="Q27" s="42" t="e" cm="1">
        <f t="array" ref="Q27">_xlfn.LET(_xlpm.canal,INDEX($E$2:$P$2,COLUMN()-COLUMN($Q$2)+1),_xlpm.pos,SUMPRODUCT((Produção!$B$2:$B$109=$A27)*(Produção!$F$2:$F$109=_xlpm.canal)*ROW(Produção!$I$2:$I$109))-1,IF(_xlpm.pos&lt;1,"-------",IF(INDEX(Produção!$I$2:$I$109,_xlpm.pos)="","-------",INDEX(Produção!$I$2:$I$109,_xlpm.pos))))</f>
        <v>#REF!</v>
      </c>
      <c r="R27" s="42" t="e" cm="1">
        <f t="array" ref="R27">_xlfn.LET(_xlpm.canal,INDEX($E$2:$P$2,COLUMN()-COLUMN($Q$2)+1),_xlpm.pos,SUMPRODUCT((Produção!$B$2:$B$109=$A27)*(Produção!$F$2:$F$109=_xlpm.canal)*ROW(Produção!$I$2:$I$109))-1,IF(_xlpm.pos&lt;1,"-------",IF(INDEX(Produção!$I$2:$I$109,_xlpm.pos)="","-------",INDEX(Produção!$I$2:$I$109,_xlpm.pos))))</f>
        <v>#REF!</v>
      </c>
      <c r="S27" s="42" t="e" cm="1">
        <f t="array" ref="S27">_xlfn.LET(_xlpm.canal,INDEX($E$2:$P$2,COLUMN()-COLUMN($Q$2)+1),_xlpm.pos,SUMPRODUCT((Produção!$B$2:$B$109=$A27)*(Produção!$F$2:$F$109=_xlpm.canal)*ROW(Produção!$I$2:$I$109))-1,IF(_xlpm.pos&lt;1,"-------",IF(INDEX(Produção!$I$2:$I$109,_xlpm.pos)="","-------",INDEX(Produção!$I$2:$I$109,_xlpm.pos))))</f>
        <v>#REF!</v>
      </c>
      <c r="T27" s="42" t="e" cm="1">
        <f t="array" ref="T27">_xlfn.LET(_xlpm.canal,INDEX($E$2:$P$2,COLUMN()-COLUMN($Q$2)+1),_xlpm.pos,SUMPRODUCT((Produção!$B$2:$B$109=$A27)*(Produção!$F$2:$F$109=_xlpm.canal)*ROW(Produção!$I$2:$I$109))-1,IF(_xlpm.pos&lt;1,"-------",IF(INDEX(Produção!$I$2:$I$109,_xlpm.pos)="","-------",INDEX(Produção!$I$2:$I$109,_xlpm.pos))))</f>
        <v>#REF!</v>
      </c>
      <c r="U27" s="42" t="e" cm="1">
        <f t="array" ref="U27">_xlfn.LET(_xlpm.canal,INDEX($E$2:$P$2,COLUMN()-COLUMN($Q$2)+1),_xlpm.pos,SUMPRODUCT((Produção!$B$2:$B$109=$A27)*(Produção!$F$2:$F$109=_xlpm.canal)*ROW(Produção!$I$2:$I$109))-1,IF(_xlpm.pos&lt;1,"-------",IF(INDEX(Produção!$I$2:$I$109,_xlpm.pos)="","-------",INDEX(Produção!$I$2:$I$109,_xlpm.pos))))</f>
        <v>#REF!</v>
      </c>
      <c r="V27" s="42" t="e" cm="1">
        <f t="array" ref="V27">_xlfn.LET(_xlpm.canal,INDEX($E$2:$P$2,COLUMN()-COLUMN($Q$2)+1),_xlpm.pos,SUMPRODUCT((Produção!$B$2:$B$109=$A27)*(Produção!$F$2:$F$109=_xlpm.canal)*ROW(Produção!$I$2:$I$109))-1,IF(_xlpm.pos&lt;1,"-------",IF(INDEX(Produção!$I$2:$I$109,_xlpm.pos)="","-------",INDEX(Produção!$I$2:$I$109,_xlpm.pos))))</f>
        <v>#REF!</v>
      </c>
      <c r="W27" s="42" t="e" cm="1">
        <f t="array" ref="W27">_xlfn.LET(_xlpm.canal,INDEX($E$2:$P$2,COLUMN()-COLUMN($Q$2)+1),_xlpm.pos,SUMPRODUCT((Produção!$B$2:$B$109=$A27)*(Produção!$F$2:$F$109=_xlpm.canal)*ROW(Produção!$I$2:$I$109))-1,IF(_xlpm.pos&lt;1,"-------",IF(INDEX(Produção!$I$2:$I$109,_xlpm.pos)="","-------",INDEX(Produção!$I$2:$I$109,_xlpm.pos))))</f>
        <v>#REF!</v>
      </c>
      <c r="X27" s="42" t="e" cm="1">
        <f t="array" ref="X27">_xlfn.LET(_xlpm.canal,INDEX($E$2:$P$2,COLUMN()-COLUMN($Q$2)+1),_xlpm.pos,SUMPRODUCT((Produção!$B$2:$B$109=$A27)*(Produção!$F$2:$F$109=_xlpm.canal)*ROW(Produção!$I$2:$I$109))-1,IF(_xlpm.pos&lt;1,"-------",IF(INDEX(Produção!$I$2:$I$109,_xlpm.pos)="","-------",INDEX(Produção!$I$2:$I$109,_xlpm.pos))))</f>
        <v>#REF!</v>
      </c>
      <c r="Y27" s="42" t="e" cm="1">
        <f t="array" ref="Y27">_xlfn.LET(_xlpm.canal,INDEX($E$2:$P$2,COLUMN()-COLUMN($Q$2)+1),_xlpm.pos,SUMPRODUCT((Produção!$B$2:$B$109=$A27)*(Produção!$F$2:$F$109=_xlpm.canal)*ROW(Produção!$I$2:$I$109))-1,IF(_xlpm.pos&lt;1,"-------",IF(INDEX(Produção!$I$2:$I$109,_xlpm.pos)="","-------",INDEX(Produção!$I$2:$I$109,_xlpm.pos))))</f>
        <v>#REF!</v>
      </c>
      <c r="Z27" s="42" t="e" cm="1">
        <f t="array" ref="Z27">_xlfn.LET(_xlpm.canal,INDEX($E$2:$P$2,COLUMN()-COLUMN($Q$2)+1),_xlpm.pos,SUMPRODUCT((Produção!$B$2:$B$109=$A27)*(Produção!$F$2:$F$109=_xlpm.canal)*ROW(Produção!$I$2:$I$109))-1,IF(_xlpm.pos&lt;1,"-------",IF(INDEX(Produção!$I$2:$I$109,_xlpm.pos)="","-------",INDEX(Produção!$I$2:$I$109,_xlpm.pos))))</f>
        <v>#REF!</v>
      </c>
      <c r="AA27" s="42" t="e" cm="1">
        <f t="array" ref="AA27">_xlfn.LET(_xlpm.canal,INDEX($E$2:$P$2,COLUMN()-COLUMN($Q$2)+1),_xlpm.pos,SUMPRODUCT((Produção!$B$2:$B$109=$A27)*(Produção!$F$2:$F$109=_xlpm.canal)*ROW(Produção!$I$2:$I$109))-1,IF(_xlpm.pos&lt;1,"-------",IF(INDEX(Produção!$I$2:$I$109,_xlpm.pos)="","-------",INDEX(Produção!$I$2:$I$109,_xlpm.pos))))</f>
        <v>#REF!</v>
      </c>
      <c r="AB27" s="42" t="e" cm="1">
        <f t="array" ref="AB27">_xlfn.LET(_xlpm.canal,INDEX($E$2:$P$2,COLUMN()-COLUMN($Q$2)+1),_xlpm.pos,SUMPRODUCT((Produção!$B$2:$B$109=$A27)*(Produção!$F$2:$F$109=_xlpm.canal)*ROW(Produção!$I$2:$I$109))-1,IF(_xlpm.pos&lt;1,"-------",IF(INDEX(Produção!$I$2:$I$109,_xlpm.pos)="","-------",INDEX(Produção!$I$2:$I$109,_xlpm.pos))))</f>
        <v>#REF!</v>
      </c>
      <c r="AD27" s="34" t="e" cm="1">
        <f t="array" ref="AD27">SUMPRODUCT(($Q27:$AB27&lt;&gt;"-------")*1)</f>
        <v>#REF!</v>
      </c>
      <c r="AE27" s="34">
        <f>RANK($D27,$D$3:$D$90)+COUNTIF($D$3:$D27,$D27)-1</f>
        <v>25</v>
      </c>
    </row>
    <row r="28" spans="1:31">
      <c r="A28" s="38" t="e" cm="1">
        <f t="array" ref="A28">INDEX(Produção!B$2:B$109,(ROW()-3)*12+1)</f>
        <v>#REF!</v>
      </c>
      <c r="B28" s="39" t="e" cm="1">
        <f t="array" ref="B28">INDEX(Produção!C$2:C$109,(ROW()-3)*12+1)</f>
        <v>#REF!</v>
      </c>
      <c r="C28" s="39" t="e" cm="1">
        <f t="array" ref="C28">INDEX(Produção!D$2:D$109,(ROW()-3)*12+1)</f>
        <v>#REF!</v>
      </c>
      <c r="D28" s="40">
        <f t="shared" si="0"/>
        <v>0</v>
      </c>
      <c r="E28" s="41">
        <f>SUMIFS(Produção!$G$2:$G$109,Produção!$B$2:$B$109,$A28,Produção!$F$2:$F$109,E$2)</f>
        <v>0</v>
      </c>
      <c r="F28" s="41">
        <f>SUMIFS(Produção!$G$2:$G$109,Produção!$B$2:$B$109,$A28,Produção!$F$2:$F$109,F$2)</f>
        <v>0</v>
      </c>
      <c r="G28" s="41">
        <f>SUMIFS(Produção!$G$2:$G$109,Produção!$B$2:$B$109,$A28,Produção!$F$2:$F$109,G$2)</f>
        <v>0</v>
      </c>
      <c r="H28" s="41">
        <f>SUMIFS(Produção!$G$2:$G$109,Produção!$B$2:$B$109,$A28,Produção!$F$2:$F$109,H$2)</f>
        <v>0</v>
      </c>
      <c r="I28" s="41">
        <f>SUMIFS(Produção!$G$2:$G$109,Produção!$B$2:$B$109,$A28,Produção!$F$2:$F$109,I$2)</f>
        <v>0</v>
      </c>
      <c r="J28" s="41">
        <f>SUMIFS(Produção!$G$2:$G$109,Produção!$B$2:$B$109,$A28,Produção!$F$2:$F$109,J$2)</f>
        <v>0</v>
      </c>
      <c r="K28" s="41">
        <f>SUMIFS(Produção!$G$2:$G$109,Produção!$B$2:$B$109,$A28,Produção!$F$2:$F$109,K$2)</f>
        <v>0</v>
      </c>
      <c r="L28" s="41">
        <f>SUMIFS(Produção!$G$2:$G$109,Produção!$B$2:$B$109,$A28,Produção!$F$2:$F$109,L$2)</f>
        <v>0</v>
      </c>
      <c r="M28" s="41">
        <f>SUMIFS(Produção!$G$2:$G$109,Produção!$B$2:$B$109,$A28,Produção!$F$2:$F$109,M$2)</f>
        <v>0</v>
      </c>
      <c r="N28" s="41">
        <f>SUMIFS(Produção!$G$2:$G$109,Produção!$B$2:$B$109,$A28,Produção!$F$2:$F$109,N$2)</f>
        <v>0</v>
      </c>
      <c r="O28" s="41">
        <f>SUMIFS(Produção!$G$2:$G$109,Produção!$B$2:$B$109,$A28,Produção!$F$2:$F$109,O$2)</f>
        <v>0</v>
      </c>
      <c r="P28" s="41">
        <f>SUMIFS(Produção!$G$2:$G$109,Produção!$B$2:$B$109,$A28,Produção!$F$2:$F$109,P$2)</f>
        <v>0</v>
      </c>
      <c r="Q28" s="42" t="e" cm="1">
        <f t="array" ref="Q28">_xlfn.LET(_xlpm.canal,INDEX($E$2:$P$2,COLUMN()-COLUMN($Q$2)+1),_xlpm.pos,SUMPRODUCT((Produção!$B$2:$B$109=$A28)*(Produção!$F$2:$F$109=_xlpm.canal)*ROW(Produção!$I$2:$I$109))-1,IF(_xlpm.pos&lt;1,"-------",IF(INDEX(Produção!$I$2:$I$109,_xlpm.pos)="","-------",INDEX(Produção!$I$2:$I$109,_xlpm.pos))))</f>
        <v>#REF!</v>
      </c>
      <c r="R28" s="42" t="e" cm="1">
        <f t="array" ref="R28">_xlfn.LET(_xlpm.canal,INDEX($E$2:$P$2,COLUMN()-COLUMN($Q$2)+1),_xlpm.pos,SUMPRODUCT((Produção!$B$2:$B$109=$A28)*(Produção!$F$2:$F$109=_xlpm.canal)*ROW(Produção!$I$2:$I$109))-1,IF(_xlpm.pos&lt;1,"-------",IF(INDEX(Produção!$I$2:$I$109,_xlpm.pos)="","-------",INDEX(Produção!$I$2:$I$109,_xlpm.pos))))</f>
        <v>#REF!</v>
      </c>
      <c r="S28" s="42" t="e" cm="1">
        <f t="array" ref="S28">_xlfn.LET(_xlpm.canal,INDEX($E$2:$P$2,COLUMN()-COLUMN($Q$2)+1),_xlpm.pos,SUMPRODUCT((Produção!$B$2:$B$109=$A28)*(Produção!$F$2:$F$109=_xlpm.canal)*ROW(Produção!$I$2:$I$109))-1,IF(_xlpm.pos&lt;1,"-------",IF(INDEX(Produção!$I$2:$I$109,_xlpm.pos)="","-------",INDEX(Produção!$I$2:$I$109,_xlpm.pos))))</f>
        <v>#REF!</v>
      </c>
      <c r="T28" s="42" t="e" cm="1">
        <f t="array" ref="T28">_xlfn.LET(_xlpm.canal,INDEX($E$2:$P$2,COLUMN()-COLUMN($Q$2)+1),_xlpm.pos,SUMPRODUCT((Produção!$B$2:$B$109=$A28)*(Produção!$F$2:$F$109=_xlpm.canal)*ROW(Produção!$I$2:$I$109))-1,IF(_xlpm.pos&lt;1,"-------",IF(INDEX(Produção!$I$2:$I$109,_xlpm.pos)="","-------",INDEX(Produção!$I$2:$I$109,_xlpm.pos))))</f>
        <v>#REF!</v>
      </c>
      <c r="U28" s="42" t="e" cm="1">
        <f t="array" ref="U28">_xlfn.LET(_xlpm.canal,INDEX($E$2:$P$2,COLUMN()-COLUMN($Q$2)+1),_xlpm.pos,SUMPRODUCT((Produção!$B$2:$B$109=$A28)*(Produção!$F$2:$F$109=_xlpm.canal)*ROW(Produção!$I$2:$I$109))-1,IF(_xlpm.pos&lt;1,"-------",IF(INDEX(Produção!$I$2:$I$109,_xlpm.pos)="","-------",INDEX(Produção!$I$2:$I$109,_xlpm.pos))))</f>
        <v>#REF!</v>
      </c>
      <c r="V28" s="42" t="e" cm="1">
        <f t="array" ref="V28">_xlfn.LET(_xlpm.canal,INDEX($E$2:$P$2,COLUMN()-COLUMN($Q$2)+1),_xlpm.pos,SUMPRODUCT((Produção!$B$2:$B$109=$A28)*(Produção!$F$2:$F$109=_xlpm.canal)*ROW(Produção!$I$2:$I$109))-1,IF(_xlpm.pos&lt;1,"-------",IF(INDEX(Produção!$I$2:$I$109,_xlpm.pos)="","-------",INDEX(Produção!$I$2:$I$109,_xlpm.pos))))</f>
        <v>#REF!</v>
      </c>
      <c r="W28" s="42" t="e" cm="1">
        <f t="array" ref="W28">_xlfn.LET(_xlpm.canal,INDEX($E$2:$P$2,COLUMN()-COLUMN($Q$2)+1),_xlpm.pos,SUMPRODUCT((Produção!$B$2:$B$109=$A28)*(Produção!$F$2:$F$109=_xlpm.canal)*ROW(Produção!$I$2:$I$109))-1,IF(_xlpm.pos&lt;1,"-------",IF(INDEX(Produção!$I$2:$I$109,_xlpm.pos)="","-------",INDEX(Produção!$I$2:$I$109,_xlpm.pos))))</f>
        <v>#REF!</v>
      </c>
      <c r="X28" s="42" t="e" cm="1">
        <f t="array" ref="X28">_xlfn.LET(_xlpm.canal,INDEX($E$2:$P$2,COLUMN()-COLUMN($Q$2)+1),_xlpm.pos,SUMPRODUCT((Produção!$B$2:$B$109=$A28)*(Produção!$F$2:$F$109=_xlpm.canal)*ROW(Produção!$I$2:$I$109))-1,IF(_xlpm.pos&lt;1,"-------",IF(INDEX(Produção!$I$2:$I$109,_xlpm.pos)="","-------",INDEX(Produção!$I$2:$I$109,_xlpm.pos))))</f>
        <v>#REF!</v>
      </c>
      <c r="Y28" s="42" t="e" cm="1">
        <f t="array" ref="Y28">_xlfn.LET(_xlpm.canal,INDEX($E$2:$P$2,COLUMN()-COLUMN($Q$2)+1),_xlpm.pos,SUMPRODUCT((Produção!$B$2:$B$109=$A28)*(Produção!$F$2:$F$109=_xlpm.canal)*ROW(Produção!$I$2:$I$109))-1,IF(_xlpm.pos&lt;1,"-------",IF(INDEX(Produção!$I$2:$I$109,_xlpm.pos)="","-------",INDEX(Produção!$I$2:$I$109,_xlpm.pos))))</f>
        <v>#REF!</v>
      </c>
      <c r="Z28" s="42" t="e" cm="1">
        <f t="array" ref="Z28">_xlfn.LET(_xlpm.canal,INDEX($E$2:$P$2,COLUMN()-COLUMN($Q$2)+1),_xlpm.pos,SUMPRODUCT((Produção!$B$2:$B$109=$A28)*(Produção!$F$2:$F$109=_xlpm.canal)*ROW(Produção!$I$2:$I$109))-1,IF(_xlpm.pos&lt;1,"-------",IF(INDEX(Produção!$I$2:$I$109,_xlpm.pos)="","-------",INDEX(Produção!$I$2:$I$109,_xlpm.pos))))</f>
        <v>#REF!</v>
      </c>
      <c r="AA28" s="42" t="e" cm="1">
        <f t="array" ref="AA28">_xlfn.LET(_xlpm.canal,INDEX($E$2:$P$2,COLUMN()-COLUMN($Q$2)+1),_xlpm.pos,SUMPRODUCT((Produção!$B$2:$B$109=$A28)*(Produção!$F$2:$F$109=_xlpm.canal)*ROW(Produção!$I$2:$I$109))-1,IF(_xlpm.pos&lt;1,"-------",IF(INDEX(Produção!$I$2:$I$109,_xlpm.pos)="","-------",INDEX(Produção!$I$2:$I$109,_xlpm.pos))))</f>
        <v>#REF!</v>
      </c>
      <c r="AB28" s="42" t="e" cm="1">
        <f t="array" ref="AB28">_xlfn.LET(_xlpm.canal,INDEX($E$2:$P$2,COLUMN()-COLUMN($Q$2)+1),_xlpm.pos,SUMPRODUCT((Produção!$B$2:$B$109=$A28)*(Produção!$F$2:$F$109=_xlpm.canal)*ROW(Produção!$I$2:$I$109))-1,IF(_xlpm.pos&lt;1,"-------",IF(INDEX(Produção!$I$2:$I$109,_xlpm.pos)="","-------",INDEX(Produção!$I$2:$I$109,_xlpm.pos))))</f>
        <v>#REF!</v>
      </c>
      <c r="AD28" s="34" t="e" cm="1">
        <f t="array" ref="AD28">SUMPRODUCT(($Q28:$AB28&lt;&gt;"-------")*1)</f>
        <v>#REF!</v>
      </c>
      <c r="AE28" s="34">
        <f>RANK($D28,$D$3:$D$90)+COUNTIF($D$3:$D28,$D28)-1</f>
        <v>26</v>
      </c>
    </row>
    <row r="29" spans="1:31">
      <c r="A29" s="38" t="e" cm="1">
        <f t="array" ref="A29">INDEX(Produção!B$2:B$109,(ROW()-3)*12+1)</f>
        <v>#REF!</v>
      </c>
      <c r="B29" s="39" t="e" cm="1">
        <f t="array" ref="B29">INDEX(Produção!C$2:C$109,(ROW()-3)*12+1)</f>
        <v>#REF!</v>
      </c>
      <c r="C29" s="39" t="e" cm="1">
        <f t="array" ref="C29">INDEX(Produção!D$2:D$109,(ROW()-3)*12+1)</f>
        <v>#REF!</v>
      </c>
      <c r="D29" s="40">
        <f t="shared" si="0"/>
        <v>0</v>
      </c>
      <c r="E29" s="41">
        <f>SUMIFS(Produção!$G$2:$G$109,Produção!$B$2:$B$109,$A29,Produção!$F$2:$F$109,E$2)</f>
        <v>0</v>
      </c>
      <c r="F29" s="41">
        <f>SUMIFS(Produção!$G$2:$G$109,Produção!$B$2:$B$109,$A29,Produção!$F$2:$F$109,F$2)</f>
        <v>0</v>
      </c>
      <c r="G29" s="41">
        <f>SUMIFS(Produção!$G$2:$G$109,Produção!$B$2:$B$109,$A29,Produção!$F$2:$F$109,G$2)</f>
        <v>0</v>
      </c>
      <c r="H29" s="41">
        <f>SUMIFS(Produção!$G$2:$G$109,Produção!$B$2:$B$109,$A29,Produção!$F$2:$F$109,H$2)</f>
        <v>0</v>
      </c>
      <c r="I29" s="41">
        <f>SUMIFS(Produção!$G$2:$G$109,Produção!$B$2:$B$109,$A29,Produção!$F$2:$F$109,I$2)</f>
        <v>0</v>
      </c>
      <c r="J29" s="41">
        <f>SUMIFS(Produção!$G$2:$G$109,Produção!$B$2:$B$109,$A29,Produção!$F$2:$F$109,J$2)</f>
        <v>0</v>
      </c>
      <c r="K29" s="41">
        <f>SUMIFS(Produção!$G$2:$G$109,Produção!$B$2:$B$109,$A29,Produção!$F$2:$F$109,K$2)</f>
        <v>0</v>
      </c>
      <c r="L29" s="41">
        <f>SUMIFS(Produção!$G$2:$G$109,Produção!$B$2:$B$109,$A29,Produção!$F$2:$F$109,L$2)</f>
        <v>0</v>
      </c>
      <c r="M29" s="41">
        <f>SUMIFS(Produção!$G$2:$G$109,Produção!$B$2:$B$109,$A29,Produção!$F$2:$F$109,M$2)</f>
        <v>0</v>
      </c>
      <c r="N29" s="41">
        <f>SUMIFS(Produção!$G$2:$G$109,Produção!$B$2:$B$109,$A29,Produção!$F$2:$F$109,N$2)</f>
        <v>0</v>
      </c>
      <c r="O29" s="41">
        <f>SUMIFS(Produção!$G$2:$G$109,Produção!$B$2:$B$109,$A29,Produção!$F$2:$F$109,O$2)</f>
        <v>0</v>
      </c>
      <c r="P29" s="41">
        <f>SUMIFS(Produção!$G$2:$G$109,Produção!$B$2:$B$109,$A29,Produção!$F$2:$F$109,P$2)</f>
        <v>0</v>
      </c>
      <c r="Q29" s="42" t="e" cm="1">
        <f t="array" ref="Q29">_xlfn.LET(_xlpm.canal,INDEX($E$2:$P$2,COLUMN()-COLUMN($Q$2)+1),_xlpm.pos,SUMPRODUCT((Produção!$B$2:$B$109=$A29)*(Produção!$F$2:$F$109=_xlpm.canal)*ROW(Produção!$I$2:$I$109))-1,IF(_xlpm.pos&lt;1,"-------",IF(INDEX(Produção!$I$2:$I$109,_xlpm.pos)="","-------",INDEX(Produção!$I$2:$I$109,_xlpm.pos))))</f>
        <v>#REF!</v>
      </c>
      <c r="R29" s="42" t="e" cm="1">
        <f t="array" ref="R29">_xlfn.LET(_xlpm.canal,INDEX($E$2:$P$2,COLUMN()-COLUMN($Q$2)+1),_xlpm.pos,SUMPRODUCT((Produção!$B$2:$B$109=$A29)*(Produção!$F$2:$F$109=_xlpm.canal)*ROW(Produção!$I$2:$I$109))-1,IF(_xlpm.pos&lt;1,"-------",IF(INDEX(Produção!$I$2:$I$109,_xlpm.pos)="","-------",INDEX(Produção!$I$2:$I$109,_xlpm.pos))))</f>
        <v>#REF!</v>
      </c>
      <c r="S29" s="42" t="e" cm="1">
        <f t="array" ref="S29">_xlfn.LET(_xlpm.canal,INDEX($E$2:$P$2,COLUMN()-COLUMN($Q$2)+1),_xlpm.pos,SUMPRODUCT((Produção!$B$2:$B$109=$A29)*(Produção!$F$2:$F$109=_xlpm.canal)*ROW(Produção!$I$2:$I$109))-1,IF(_xlpm.pos&lt;1,"-------",IF(INDEX(Produção!$I$2:$I$109,_xlpm.pos)="","-------",INDEX(Produção!$I$2:$I$109,_xlpm.pos))))</f>
        <v>#REF!</v>
      </c>
      <c r="T29" s="42" t="e" cm="1">
        <f t="array" ref="T29">_xlfn.LET(_xlpm.canal,INDEX($E$2:$P$2,COLUMN()-COLUMN($Q$2)+1),_xlpm.pos,SUMPRODUCT((Produção!$B$2:$B$109=$A29)*(Produção!$F$2:$F$109=_xlpm.canal)*ROW(Produção!$I$2:$I$109))-1,IF(_xlpm.pos&lt;1,"-------",IF(INDEX(Produção!$I$2:$I$109,_xlpm.pos)="","-------",INDEX(Produção!$I$2:$I$109,_xlpm.pos))))</f>
        <v>#REF!</v>
      </c>
      <c r="U29" s="42" t="e" cm="1">
        <f t="array" ref="U29">_xlfn.LET(_xlpm.canal,INDEX($E$2:$P$2,COLUMN()-COLUMN($Q$2)+1),_xlpm.pos,SUMPRODUCT((Produção!$B$2:$B$109=$A29)*(Produção!$F$2:$F$109=_xlpm.canal)*ROW(Produção!$I$2:$I$109))-1,IF(_xlpm.pos&lt;1,"-------",IF(INDEX(Produção!$I$2:$I$109,_xlpm.pos)="","-------",INDEX(Produção!$I$2:$I$109,_xlpm.pos))))</f>
        <v>#REF!</v>
      </c>
      <c r="V29" s="42" t="e" cm="1">
        <f t="array" ref="V29">_xlfn.LET(_xlpm.canal,INDEX($E$2:$P$2,COLUMN()-COLUMN($Q$2)+1),_xlpm.pos,SUMPRODUCT((Produção!$B$2:$B$109=$A29)*(Produção!$F$2:$F$109=_xlpm.canal)*ROW(Produção!$I$2:$I$109))-1,IF(_xlpm.pos&lt;1,"-------",IF(INDEX(Produção!$I$2:$I$109,_xlpm.pos)="","-------",INDEX(Produção!$I$2:$I$109,_xlpm.pos))))</f>
        <v>#REF!</v>
      </c>
      <c r="W29" s="42" t="e" cm="1">
        <f t="array" ref="W29">_xlfn.LET(_xlpm.canal,INDEX($E$2:$P$2,COLUMN()-COLUMN($Q$2)+1),_xlpm.pos,SUMPRODUCT((Produção!$B$2:$B$109=$A29)*(Produção!$F$2:$F$109=_xlpm.canal)*ROW(Produção!$I$2:$I$109))-1,IF(_xlpm.pos&lt;1,"-------",IF(INDEX(Produção!$I$2:$I$109,_xlpm.pos)="","-------",INDEX(Produção!$I$2:$I$109,_xlpm.pos))))</f>
        <v>#REF!</v>
      </c>
      <c r="X29" s="42" t="e" cm="1">
        <f t="array" ref="X29">_xlfn.LET(_xlpm.canal,INDEX($E$2:$P$2,COLUMN()-COLUMN($Q$2)+1),_xlpm.pos,SUMPRODUCT((Produção!$B$2:$B$109=$A29)*(Produção!$F$2:$F$109=_xlpm.canal)*ROW(Produção!$I$2:$I$109))-1,IF(_xlpm.pos&lt;1,"-------",IF(INDEX(Produção!$I$2:$I$109,_xlpm.pos)="","-------",INDEX(Produção!$I$2:$I$109,_xlpm.pos))))</f>
        <v>#REF!</v>
      </c>
      <c r="Y29" s="42" t="e" cm="1">
        <f t="array" ref="Y29">_xlfn.LET(_xlpm.canal,INDEX($E$2:$P$2,COLUMN()-COLUMN($Q$2)+1),_xlpm.pos,SUMPRODUCT((Produção!$B$2:$B$109=$A29)*(Produção!$F$2:$F$109=_xlpm.canal)*ROW(Produção!$I$2:$I$109))-1,IF(_xlpm.pos&lt;1,"-------",IF(INDEX(Produção!$I$2:$I$109,_xlpm.pos)="","-------",INDEX(Produção!$I$2:$I$109,_xlpm.pos))))</f>
        <v>#REF!</v>
      </c>
      <c r="Z29" s="42" t="e" cm="1">
        <f t="array" ref="Z29">_xlfn.LET(_xlpm.canal,INDEX($E$2:$P$2,COLUMN()-COLUMN($Q$2)+1),_xlpm.pos,SUMPRODUCT((Produção!$B$2:$B$109=$A29)*(Produção!$F$2:$F$109=_xlpm.canal)*ROW(Produção!$I$2:$I$109))-1,IF(_xlpm.pos&lt;1,"-------",IF(INDEX(Produção!$I$2:$I$109,_xlpm.pos)="","-------",INDEX(Produção!$I$2:$I$109,_xlpm.pos))))</f>
        <v>#REF!</v>
      </c>
      <c r="AA29" s="42" t="e" cm="1">
        <f t="array" ref="AA29">_xlfn.LET(_xlpm.canal,INDEX($E$2:$P$2,COLUMN()-COLUMN($Q$2)+1),_xlpm.pos,SUMPRODUCT((Produção!$B$2:$B$109=$A29)*(Produção!$F$2:$F$109=_xlpm.canal)*ROW(Produção!$I$2:$I$109))-1,IF(_xlpm.pos&lt;1,"-------",IF(INDEX(Produção!$I$2:$I$109,_xlpm.pos)="","-------",INDEX(Produção!$I$2:$I$109,_xlpm.pos))))</f>
        <v>#REF!</v>
      </c>
      <c r="AB29" s="42" t="e" cm="1">
        <f t="array" ref="AB29">_xlfn.LET(_xlpm.canal,INDEX($E$2:$P$2,COLUMN()-COLUMN($Q$2)+1),_xlpm.pos,SUMPRODUCT((Produção!$B$2:$B$109=$A29)*(Produção!$F$2:$F$109=_xlpm.canal)*ROW(Produção!$I$2:$I$109))-1,IF(_xlpm.pos&lt;1,"-------",IF(INDEX(Produção!$I$2:$I$109,_xlpm.pos)="","-------",INDEX(Produção!$I$2:$I$109,_xlpm.pos))))</f>
        <v>#REF!</v>
      </c>
      <c r="AD29" s="34" t="e" cm="1">
        <f t="array" ref="AD29">SUMPRODUCT(($Q29:$AB29&lt;&gt;"-------")*1)</f>
        <v>#REF!</v>
      </c>
      <c r="AE29" s="34">
        <f>RANK($D29,$D$3:$D$90)+COUNTIF($D$3:$D29,$D29)-1</f>
        <v>27</v>
      </c>
    </row>
    <row r="30" spans="1:31">
      <c r="A30" s="38" t="e" cm="1">
        <f t="array" ref="A30">INDEX(Produção!B$2:B$109,(ROW()-3)*12+1)</f>
        <v>#REF!</v>
      </c>
      <c r="B30" s="39" t="e" cm="1">
        <f t="array" ref="B30">INDEX(Produção!C$2:C$109,(ROW()-3)*12+1)</f>
        <v>#REF!</v>
      </c>
      <c r="C30" s="39" t="e" cm="1">
        <f t="array" ref="C30">INDEX(Produção!D$2:D$109,(ROW()-3)*12+1)</f>
        <v>#REF!</v>
      </c>
      <c r="D30" s="40">
        <f t="shared" si="0"/>
        <v>0</v>
      </c>
      <c r="E30" s="41">
        <f>SUMIFS(Produção!$G$2:$G$109,Produção!$B$2:$B$109,$A30,Produção!$F$2:$F$109,E$2)</f>
        <v>0</v>
      </c>
      <c r="F30" s="41">
        <f>SUMIFS(Produção!$G$2:$G$109,Produção!$B$2:$B$109,$A30,Produção!$F$2:$F$109,F$2)</f>
        <v>0</v>
      </c>
      <c r="G30" s="41">
        <f>SUMIFS(Produção!$G$2:$G$109,Produção!$B$2:$B$109,$A30,Produção!$F$2:$F$109,G$2)</f>
        <v>0</v>
      </c>
      <c r="H30" s="41">
        <f>SUMIFS(Produção!$G$2:$G$109,Produção!$B$2:$B$109,$A30,Produção!$F$2:$F$109,H$2)</f>
        <v>0</v>
      </c>
      <c r="I30" s="41">
        <f>SUMIFS(Produção!$G$2:$G$109,Produção!$B$2:$B$109,$A30,Produção!$F$2:$F$109,I$2)</f>
        <v>0</v>
      </c>
      <c r="J30" s="41">
        <f>SUMIFS(Produção!$G$2:$G$109,Produção!$B$2:$B$109,$A30,Produção!$F$2:$F$109,J$2)</f>
        <v>0</v>
      </c>
      <c r="K30" s="41">
        <f>SUMIFS(Produção!$G$2:$G$109,Produção!$B$2:$B$109,$A30,Produção!$F$2:$F$109,K$2)</f>
        <v>0</v>
      </c>
      <c r="L30" s="41">
        <f>SUMIFS(Produção!$G$2:$G$109,Produção!$B$2:$B$109,$A30,Produção!$F$2:$F$109,L$2)</f>
        <v>0</v>
      </c>
      <c r="M30" s="41">
        <f>SUMIFS(Produção!$G$2:$G$109,Produção!$B$2:$B$109,$A30,Produção!$F$2:$F$109,M$2)</f>
        <v>0</v>
      </c>
      <c r="N30" s="41">
        <f>SUMIFS(Produção!$G$2:$G$109,Produção!$B$2:$B$109,$A30,Produção!$F$2:$F$109,N$2)</f>
        <v>0</v>
      </c>
      <c r="O30" s="41">
        <f>SUMIFS(Produção!$G$2:$G$109,Produção!$B$2:$B$109,$A30,Produção!$F$2:$F$109,O$2)</f>
        <v>0</v>
      </c>
      <c r="P30" s="41">
        <f>SUMIFS(Produção!$G$2:$G$109,Produção!$B$2:$B$109,$A30,Produção!$F$2:$F$109,P$2)</f>
        <v>0</v>
      </c>
      <c r="Q30" s="42" t="e" cm="1">
        <f t="array" ref="Q30">_xlfn.LET(_xlpm.canal,INDEX($E$2:$P$2,COLUMN()-COLUMN($Q$2)+1),_xlpm.pos,SUMPRODUCT((Produção!$B$2:$B$109=$A30)*(Produção!$F$2:$F$109=_xlpm.canal)*ROW(Produção!$I$2:$I$109))-1,IF(_xlpm.pos&lt;1,"-------",IF(INDEX(Produção!$I$2:$I$109,_xlpm.pos)="","-------",INDEX(Produção!$I$2:$I$109,_xlpm.pos))))</f>
        <v>#REF!</v>
      </c>
      <c r="R30" s="42" t="e" cm="1">
        <f t="array" ref="R30">_xlfn.LET(_xlpm.canal,INDEX($E$2:$P$2,COLUMN()-COLUMN($Q$2)+1),_xlpm.pos,SUMPRODUCT((Produção!$B$2:$B$109=$A30)*(Produção!$F$2:$F$109=_xlpm.canal)*ROW(Produção!$I$2:$I$109))-1,IF(_xlpm.pos&lt;1,"-------",IF(INDEX(Produção!$I$2:$I$109,_xlpm.pos)="","-------",INDEX(Produção!$I$2:$I$109,_xlpm.pos))))</f>
        <v>#REF!</v>
      </c>
      <c r="S30" s="42" t="e" cm="1">
        <f t="array" ref="S30">_xlfn.LET(_xlpm.canal,INDEX($E$2:$P$2,COLUMN()-COLUMN($Q$2)+1),_xlpm.pos,SUMPRODUCT((Produção!$B$2:$B$109=$A30)*(Produção!$F$2:$F$109=_xlpm.canal)*ROW(Produção!$I$2:$I$109))-1,IF(_xlpm.pos&lt;1,"-------",IF(INDEX(Produção!$I$2:$I$109,_xlpm.pos)="","-------",INDEX(Produção!$I$2:$I$109,_xlpm.pos))))</f>
        <v>#REF!</v>
      </c>
      <c r="T30" s="42" t="e" cm="1">
        <f t="array" ref="T30">_xlfn.LET(_xlpm.canal,INDEX($E$2:$P$2,COLUMN()-COLUMN($Q$2)+1),_xlpm.pos,SUMPRODUCT((Produção!$B$2:$B$109=$A30)*(Produção!$F$2:$F$109=_xlpm.canal)*ROW(Produção!$I$2:$I$109))-1,IF(_xlpm.pos&lt;1,"-------",IF(INDEX(Produção!$I$2:$I$109,_xlpm.pos)="","-------",INDEX(Produção!$I$2:$I$109,_xlpm.pos))))</f>
        <v>#REF!</v>
      </c>
      <c r="U30" s="42" t="e" cm="1">
        <f t="array" ref="U30">_xlfn.LET(_xlpm.canal,INDEX($E$2:$P$2,COLUMN()-COLUMN($Q$2)+1),_xlpm.pos,SUMPRODUCT((Produção!$B$2:$B$109=$A30)*(Produção!$F$2:$F$109=_xlpm.canal)*ROW(Produção!$I$2:$I$109))-1,IF(_xlpm.pos&lt;1,"-------",IF(INDEX(Produção!$I$2:$I$109,_xlpm.pos)="","-------",INDEX(Produção!$I$2:$I$109,_xlpm.pos))))</f>
        <v>#REF!</v>
      </c>
      <c r="V30" s="42" t="e" cm="1">
        <f t="array" ref="V30">_xlfn.LET(_xlpm.canal,INDEX($E$2:$P$2,COLUMN()-COLUMN($Q$2)+1),_xlpm.pos,SUMPRODUCT((Produção!$B$2:$B$109=$A30)*(Produção!$F$2:$F$109=_xlpm.canal)*ROW(Produção!$I$2:$I$109))-1,IF(_xlpm.pos&lt;1,"-------",IF(INDEX(Produção!$I$2:$I$109,_xlpm.pos)="","-------",INDEX(Produção!$I$2:$I$109,_xlpm.pos))))</f>
        <v>#REF!</v>
      </c>
      <c r="W30" s="42" t="e" cm="1">
        <f t="array" ref="W30">_xlfn.LET(_xlpm.canal,INDEX($E$2:$P$2,COLUMN()-COLUMN($Q$2)+1),_xlpm.pos,SUMPRODUCT((Produção!$B$2:$B$109=$A30)*(Produção!$F$2:$F$109=_xlpm.canal)*ROW(Produção!$I$2:$I$109))-1,IF(_xlpm.pos&lt;1,"-------",IF(INDEX(Produção!$I$2:$I$109,_xlpm.pos)="","-------",INDEX(Produção!$I$2:$I$109,_xlpm.pos))))</f>
        <v>#REF!</v>
      </c>
      <c r="X30" s="42" t="e" cm="1">
        <f t="array" ref="X30">_xlfn.LET(_xlpm.canal,INDEX($E$2:$P$2,COLUMN()-COLUMN($Q$2)+1),_xlpm.pos,SUMPRODUCT((Produção!$B$2:$B$109=$A30)*(Produção!$F$2:$F$109=_xlpm.canal)*ROW(Produção!$I$2:$I$109))-1,IF(_xlpm.pos&lt;1,"-------",IF(INDEX(Produção!$I$2:$I$109,_xlpm.pos)="","-------",INDEX(Produção!$I$2:$I$109,_xlpm.pos))))</f>
        <v>#REF!</v>
      </c>
      <c r="Y30" s="42" t="e" cm="1">
        <f t="array" ref="Y30">_xlfn.LET(_xlpm.canal,INDEX($E$2:$P$2,COLUMN()-COLUMN($Q$2)+1),_xlpm.pos,SUMPRODUCT((Produção!$B$2:$B$109=$A30)*(Produção!$F$2:$F$109=_xlpm.canal)*ROW(Produção!$I$2:$I$109))-1,IF(_xlpm.pos&lt;1,"-------",IF(INDEX(Produção!$I$2:$I$109,_xlpm.pos)="","-------",INDEX(Produção!$I$2:$I$109,_xlpm.pos))))</f>
        <v>#REF!</v>
      </c>
      <c r="Z30" s="42" t="e" cm="1">
        <f t="array" ref="Z30">_xlfn.LET(_xlpm.canal,INDEX($E$2:$P$2,COLUMN()-COLUMN($Q$2)+1),_xlpm.pos,SUMPRODUCT((Produção!$B$2:$B$109=$A30)*(Produção!$F$2:$F$109=_xlpm.canal)*ROW(Produção!$I$2:$I$109))-1,IF(_xlpm.pos&lt;1,"-------",IF(INDEX(Produção!$I$2:$I$109,_xlpm.pos)="","-------",INDEX(Produção!$I$2:$I$109,_xlpm.pos))))</f>
        <v>#REF!</v>
      </c>
      <c r="AA30" s="42" t="e" cm="1">
        <f t="array" ref="AA30">_xlfn.LET(_xlpm.canal,INDEX($E$2:$P$2,COLUMN()-COLUMN($Q$2)+1),_xlpm.pos,SUMPRODUCT((Produção!$B$2:$B$109=$A30)*(Produção!$F$2:$F$109=_xlpm.canal)*ROW(Produção!$I$2:$I$109))-1,IF(_xlpm.pos&lt;1,"-------",IF(INDEX(Produção!$I$2:$I$109,_xlpm.pos)="","-------",INDEX(Produção!$I$2:$I$109,_xlpm.pos))))</f>
        <v>#REF!</v>
      </c>
      <c r="AB30" s="42" t="e" cm="1">
        <f t="array" ref="AB30">_xlfn.LET(_xlpm.canal,INDEX($E$2:$P$2,COLUMN()-COLUMN($Q$2)+1),_xlpm.pos,SUMPRODUCT((Produção!$B$2:$B$109=$A30)*(Produção!$F$2:$F$109=_xlpm.canal)*ROW(Produção!$I$2:$I$109))-1,IF(_xlpm.pos&lt;1,"-------",IF(INDEX(Produção!$I$2:$I$109,_xlpm.pos)="","-------",INDEX(Produção!$I$2:$I$109,_xlpm.pos))))</f>
        <v>#REF!</v>
      </c>
      <c r="AD30" s="34" t="e" cm="1">
        <f t="array" ref="AD30">SUMPRODUCT(($Q30:$AB30&lt;&gt;"-------")*1)</f>
        <v>#REF!</v>
      </c>
      <c r="AE30" s="34">
        <f>RANK($D30,$D$3:$D$90)+COUNTIF($D$3:$D30,$D30)-1</f>
        <v>28</v>
      </c>
    </row>
    <row r="31" spans="1:31">
      <c r="A31" s="38" t="e" cm="1">
        <f t="array" ref="A31">INDEX(Produção!B$2:B$109,(ROW()-3)*12+1)</f>
        <v>#REF!</v>
      </c>
      <c r="B31" s="39" t="e" cm="1">
        <f t="array" ref="B31">INDEX(Produção!C$2:C$109,(ROW()-3)*12+1)</f>
        <v>#REF!</v>
      </c>
      <c r="C31" s="39" t="e" cm="1">
        <f t="array" ref="C31">INDEX(Produção!D$2:D$109,(ROW()-3)*12+1)</f>
        <v>#REF!</v>
      </c>
      <c r="D31" s="40">
        <f t="shared" si="0"/>
        <v>0</v>
      </c>
      <c r="E31" s="41">
        <f>SUMIFS(Produção!$G$2:$G$109,Produção!$B$2:$B$109,$A31,Produção!$F$2:$F$109,E$2)</f>
        <v>0</v>
      </c>
      <c r="F31" s="41">
        <f>SUMIFS(Produção!$G$2:$G$109,Produção!$B$2:$B$109,$A31,Produção!$F$2:$F$109,F$2)</f>
        <v>0</v>
      </c>
      <c r="G31" s="41">
        <f>SUMIFS(Produção!$G$2:$G$109,Produção!$B$2:$B$109,$A31,Produção!$F$2:$F$109,G$2)</f>
        <v>0</v>
      </c>
      <c r="H31" s="41">
        <f>SUMIFS(Produção!$G$2:$G$109,Produção!$B$2:$B$109,$A31,Produção!$F$2:$F$109,H$2)</f>
        <v>0</v>
      </c>
      <c r="I31" s="41">
        <f>SUMIFS(Produção!$G$2:$G$109,Produção!$B$2:$B$109,$A31,Produção!$F$2:$F$109,I$2)</f>
        <v>0</v>
      </c>
      <c r="J31" s="41">
        <f>SUMIFS(Produção!$G$2:$G$109,Produção!$B$2:$B$109,$A31,Produção!$F$2:$F$109,J$2)</f>
        <v>0</v>
      </c>
      <c r="K31" s="41">
        <f>SUMIFS(Produção!$G$2:$G$109,Produção!$B$2:$B$109,$A31,Produção!$F$2:$F$109,K$2)</f>
        <v>0</v>
      </c>
      <c r="L31" s="41">
        <f>SUMIFS(Produção!$G$2:$G$109,Produção!$B$2:$B$109,$A31,Produção!$F$2:$F$109,L$2)</f>
        <v>0</v>
      </c>
      <c r="M31" s="41">
        <f>SUMIFS(Produção!$G$2:$G$109,Produção!$B$2:$B$109,$A31,Produção!$F$2:$F$109,M$2)</f>
        <v>0</v>
      </c>
      <c r="N31" s="41">
        <f>SUMIFS(Produção!$G$2:$G$109,Produção!$B$2:$B$109,$A31,Produção!$F$2:$F$109,N$2)</f>
        <v>0</v>
      </c>
      <c r="O31" s="41">
        <f>SUMIFS(Produção!$G$2:$G$109,Produção!$B$2:$B$109,$A31,Produção!$F$2:$F$109,O$2)</f>
        <v>0</v>
      </c>
      <c r="P31" s="41">
        <f>SUMIFS(Produção!$G$2:$G$109,Produção!$B$2:$B$109,$A31,Produção!$F$2:$F$109,P$2)</f>
        <v>0</v>
      </c>
      <c r="Q31" s="42" t="e" cm="1">
        <f t="array" ref="Q31">_xlfn.LET(_xlpm.canal,INDEX($E$2:$P$2,COLUMN()-COLUMN($Q$2)+1),_xlpm.pos,SUMPRODUCT((Produção!$B$2:$B$109=$A31)*(Produção!$F$2:$F$109=_xlpm.canal)*ROW(Produção!$I$2:$I$109))-1,IF(_xlpm.pos&lt;1,"-------",IF(INDEX(Produção!$I$2:$I$109,_xlpm.pos)="","-------",INDEX(Produção!$I$2:$I$109,_xlpm.pos))))</f>
        <v>#REF!</v>
      </c>
      <c r="R31" s="42" t="e" cm="1">
        <f t="array" ref="R31">_xlfn.LET(_xlpm.canal,INDEX($E$2:$P$2,COLUMN()-COLUMN($Q$2)+1),_xlpm.pos,SUMPRODUCT((Produção!$B$2:$B$109=$A31)*(Produção!$F$2:$F$109=_xlpm.canal)*ROW(Produção!$I$2:$I$109))-1,IF(_xlpm.pos&lt;1,"-------",IF(INDEX(Produção!$I$2:$I$109,_xlpm.pos)="","-------",INDEX(Produção!$I$2:$I$109,_xlpm.pos))))</f>
        <v>#REF!</v>
      </c>
      <c r="S31" s="42" t="e" cm="1">
        <f t="array" ref="S31">_xlfn.LET(_xlpm.canal,INDEX($E$2:$P$2,COLUMN()-COLUMN($Q$2)+1),_xlpm.pos,SUMPRODUCT((Produção!$B$2:$B$109=$A31)*(Produção!$F$2:$F$109=_xlpm.canal)*ROW(Produção!$I$2:$I$109))-1,IF(_xlpm.pos&lt;1,"-------",IF(INDEX(Produção!$I$2:$I$109,_xlpm.pos)="","-------",INDEX(Produção!$I$2:$I$109,_xlpm.pos))))</f>
        <v>#REF!</v>
      </c>
      <c r="T31" s="42" t="e" cm="1">
        <f t="array" ref="T31">_xlfn.LET(_xlpm.canal,INDEX($E$2:$P$2,COLUMN()-COLUMN($Q$2)+1),_xlpm.pos,SUMPRODUCT((Produção!$B$2:$B$109=$A31)*(Produção!$F$2:$F$109=_xlpm.canal)*ROW(Produção!$I$2:$I$109))-1,IF(_xlpm.pos&lt;1,"-------",IF(INDEX(Produção!$I$2:$I$109,_xlpm.pos)="","-------",INDEX(Produção!$I$2:$I$109,_xlpm.pos))))</f>
        <v>#REF!</v>
      </c>
      <c r="U31" s="42" t="e" cm="1">
        <f t="array" ref="U31">_xlfn.LET(_xlpm.canal,INDEX($E$2:$P$2,COLUMN()-COLUMN($Q$2)+1),_xlpm.pos,SUMPRODUCT((Produção!$B$2:$B$109=$A31)*(Produção!$F$2:$F$109=_xlpm.canal)*ROW(Produção!$I$2:$I$109))-1,IF(_xlpm.pos&lt;1,"-------",IF(INDEX(Produção!$I$2:$I$109,_xlpm.pos)="","-------",INDEX(Produção!$I$2:$I$109,_xlpm.pos))))</f>
        <v>#REF!</v>
      </c>
      <c r="V31" s="42" t="e" cm="1">
        <f t="array" ref="V31">_xlfn.LET(_xlpm.canal,INDEX($E$2:$P$2,COLUMN()-COLUMN($Q$2)+1),_xlpm.pos,SUMPRODUCT((Produção!$B$2:$B$109=$A31)*(Produção!$F$2:$F$109=_xlpm.canal)*ROW(Produção!$I$2:$I$109))-1,IF(_xlpm.pos&lt;1,"-------",IF(INDEX(Produção!$I$2:$I$109,_xlpm.pos)="","-------",INDEX(Produção!$I$2:$I$109,_xlpm.pos))))</f>
        <v>#REF!</v>
      </c>
      <c r="W31" s="42" t="e" cm="1">
        <f t="array" ref="W31">_xlfn.LET(_xlpm.canal,INDEX($E$2:$P$2,COLUMN()-COLUMN($Q$2)+1),_xlpm.pos,SUMPRODUCT((Produção!$B$2:$B$109=$A31)*(Produção!$F$2:$F$109=_xlpm.canal)*ROW(Produção!$I$2:$I$109))-1,IF(_xlpm.pos&lt;1,"-------",IF(INDEX(Produção!$I$2:$I$109,_xlpm.pos)="","-------",INDEX(Produção!$I$2:$I$109,_xlpm.pos))))</f>
        <v>#REF!</v>
      </c>
      <c r="X31" s="42" t="e" cm="1">
        <f t="array" ref="X31">_xlfn.LET(_xlpm.canal,INDEX($E$2:$P$2,COLUMN()-COLUMN($Q$2)+1),_xlpm.pos,SUMPRODUCT((Produção!$B$2:$B$109=$A31)*(Produção!$F$2:$F$109=_xlpm.canal)*ROW(Produção!$I$2:$I$109))-1,IF(_xlpm.pos&lt;1,"-------",IF(INDEX(Produção!$I$2:$I$109,_xlpm.pos)="","-------",INDEX(Produção!$I$2:$I$109,_xlpm.pos))))</f>
        <v>#REF!</v>
      </c>
      <c r="Y31" s="42" t="e" cm="1">
        <f t="array" ref="Y31">_xlfn.LET(_xlpm.canal,INDEX($E$2:$P$2,COLUMN()-COLUMN($Q$2)+1),_xlpm.pos,SUMPRODUCT((Produção!$B$2:$B$109=$A31)*(Produção!$F$2:$F$109=_xlpm.canal)*ROW(Produção!$I$2:$I$109))-1,IF(_xlpm.pos&lt;1,"-------",IF(INDEX(Produção!$I$2:$I$109,_xlpm.pos)="","-------",INDEX(Produção!$I$2:$I$109,_xlpm.pos))))</f>
        <v>#REF!</v>
      </c>
      <c r="Z31" s="42" t="e" cm="1">
        <f t="array" ref="Z31">_xlfn.LET(_xlpm.canal,INDEX($E$2:$P$2,COLUMN()-COLUMN($Q$2)+1),_xlpm.pos,SUMPRODUCT((Produção!$B$2:$B$109=$A31)*(Produção!$F$2:$F$109=_xlpm.canal)*ROW(Produção!$I$2:$I$109))-1,IF(_xlpm.pos&lt;1,"-------",IF(INDEX(Produção!$I$2:$I$109,_xlpm.pos)="","-------",INDEX(Produção!$I$2:$I$109,_xlpm.pos))))</f>
        <v>#REF!</v>
      </c>
      <c r="AA31" s="42" t="e" cm="1">
        <f t="array" ref="AA31">_xlfn.LET(_xlpm.canal,INDEX($E$2:$P$2,COLUMN()-COLUMN($Q$2)+1),_xlpm.pos,SUMPRODUCT((Produção!$B$2:$B$109=$A31)*(Produção!$F$2:$F$109=_xlpm.canal)*ROW(Produção!$I$2:$I$109))-1,IF(_xlpm.pos&lt;1,"-------",IF(INDEX(Produção!$I$2:$I$109,_xlpm.pos)="","-------",INDEX(Produção!$I$2:$I$109,_xlpm.pos))))</f>
        <v>#REF!</v>
      </c>
      <c r="AB31" s="42" t="e" cm="1">
        <f t="array" ref="AB31">_xlfn.LET(_xlpm.canal,INDEX($E$2:$P$2,COLUMN()-COLUMN($Q$2)+1),_xlpm.pos,SUMPRODUCT((Produção!$B$2:$B$109=$A31)*(Produção!$F$2:$F$109=_xlpm.canal)*ROW(Produção!$I$2:$I$109))-1,IF(_xlpm.pos&lt;1,"-------",IF(INDEX(Produção!$I$2:$I$109,_xlpm.pos)="","-------",INDEX(Produção!$I$2:$I$109,_xlpm.pos))))</f>
        <v>#REF!</v>
      </c>
      <c r="AD31" s="34" t="e" cm="1">
        <f t="array" ref="AD31">SUMPRODUCT(($Q31:$AB31&lt;&gt;"-------")*1)</f>
        <v>#REF!</v>
      </c>
      <c r="AE31" s="34">
        <f>RANK($D31,$D$3:$D$90)+COUNTIF($D$3:$D31,$D31)-1</f>
        <v>29</v>
      </c>
    </row>
    <row r="32" spans="1:31">
      <c r="A32" s="38" t="e" cm="1">
        <f t="array" ref="A32">INDEX(Produção!B$2:B$109,(ROW()-3)*12+1)</f>
        <v>#REF!</v>
      </c>
      <c r="B32" s="39" t="e" cm="1">
        <f t="array" ref="B32">INDEX(Produção!C$2:C$109,(ROW()-3)*12+1)</f>
        <v>#REF!</v>
      </c>
      <c r="C32" s="39" t="e" cm="1">
        <f t="array" ref="C32">INDEX(Produção!D$2:D$109,(ROW()-3)*12+1)</f>
        <v>#REF!</v>
      </c>
      <c r="D32" s="40">
        <f t="shared" si="0"/>
        <v>0</v>
      </c>
      <c r="E32" s="41">
        <f>SUMIFS(Produção!$G$2:$G$109,Produção!$B$2:$B$109,$A32,Produção!$F$2:$F$109,E$2)</f>
        <v>0</v>
      </c>
      <c r="F32" s="41">
        <f>SUMIFS(Produção!$G$2:$G$109,Produção!$B$2:$B$109,$A32,Produção!$F$2:$F$109,F$2)</f>
        <v>0</v>
      </c>
      <c r="G32" s="41">
        <f>SUMIFS(Produção!$G$2:$G$109,Produção!$B$2:$B$109,$A32,Produção!$F$2:$F$109,G$2)</f>
        <v>0</v>
      </c>
      <c r="H32" s="41">
        <f>SUMIFS(Produção!$G$2:$G$109,Produção!$B$2:$B$109,$A32,Produção!$F$2:$F$109,H$2)</f>
        <v>0</v>
      </c>
      <c r="I32" s="41">
        <f>SUMIFS(Produção!$G$2:$G$109,Produção!$B$2:$B$109,$A32,Produção!$F$2:$F$109,I$2)</f>
        <v>0</v>
      </c>
      <c r="J32" s="41">
        <f>SUMIFS(Produção!$G$2:$G$109,Produção!$B$2:$B$109,$A32,Produção!$F$2:$F$109,J$2)</f>
        <v>0</v>
      </c>
      <c r="K32" s="41">
        <f>SUMIFS(Produção!$G$2:$G$109,Produção!$B$2:$B$109,$A32,Produção!$F$2:$F$109,K$2)</f>
        <v>0</v>
      </c>
      <c r="L32" s="41">
        <f>SUMIFS(Produção!$G$2:$G$109,Produção!$B$2:$B$109,$A32,Produção!$F$2:$F$109,L$2)</f>
        <v>0</v>
      </c>
      <c r="M32" s="41">
        <f>SUMIFS(Produção!$G$2:$G$109,Produção!$B$2:$B$109,$A32,Produção!$F$2:$F$109,M$2)</f>
        <v>0</v>
      </c>
      <c r="N32" s="41">
        <f>SUMIFS(Produção!$G$2:$G$109,Produção!$B$2:$B$109,$A32,Produção!$F$2:$F$109,N$2)</f>
        <v>0</v>
      </c>
      <c r="O32" s="41">
        <f>SUMIFS(Produção!$G$2:$G$109,Produção!$B$2:$B$109,$A32,Produção!$F$2:$F$109,O$2)</f>
        <v>0</v>
      </c>
      <c r="P32" s="41">
        <f>SUMIFS(Produção!$G$2:$G$109,Produção!$B$2:$B$109,$A32,Produção!$F$2:$F$109,P$2)</f>
        <v>0</v>
      </c>
      <c r="Q32" s="42" t="e" cm="1">
        <f t="array" ref="Q32">_xlfn.LET(_xlpm.canal,INDEX($E$2:$P$2,COLUMN()-COLUMN($Q$2)+1),_xlpm.pos,SUMPRODUCT((Produção!$B$2:$B$109=$A32)*(Produção!$F$2:$F$109=_xlpm.canal)*ROW(Produção!$I$2:$I$109))-1,IF(_xlpm.pos&lt;1,"-------",IF(INDEX(Produção!$I$2:$I$109,_xlpm.pos)="","-------",INDEX(Produção!$I$2:$I$109,_xlpm.pos))))</f>
        <v>#REF!</v>
      </c>
      <c r="R32" s="42" t="e" cm="1">
        <f t="array" ref="R32">_xlfn.LET(_xlpm.canal,INDEX($E$2:$P$2,COLUMN()-COLUMN($Q$2)+1),_xlpm.pos,SUMPRODUCT((Produção!$B$2:$B$109=$A32)*(Produção!$F$2:$F$109=_xlpm.canal)*ROW(Produção!$I$2:$I$109))-1,IF(_xlpm.pos&lt;1,"-------",IF(INDEX(Produção!$I$2:$I$109,_xlpm.pos)="","-------",INDEX(Produção!$I$2:$I$109,_xlpm.pos))))</f>
        <v>#REF!</v>
      </c>
      <c r="S32" s="42" t="e" cm="1">
        <f t="array" ref="S32">_xlfn.LET(_xlpm.canal,INDEX($E$2:$P$2,COLUMN()-COLUMN($Q$2)+1),_xlpm.pos,SUMPRODUCT((Produção!$B$2:$B$109=$A32)*(Produção!$F$2:$F$109=_xlpm.canal)*ROW(Produção!$I$2:$I$109))-1,IF(_xlpm.pos&lt;1,"-------",IF(INDEX(Produção!$I$2:$I$109,_xlpm.pos)="","-------",INDEX(Produção!$I$2:$I$109,_xlpm.pos))))</f>
        <v>#REF!</v>
      </c>
      <c r="T32" s="42" t="e" cm="1">
        <f t="array" ref="T32">_xlfn.LET(_xlpm.canal,INDEX($E$2:$P$2,COLUMN()-COLUMN($Q$2)+1),_xlpm.pos,SUMPRODUCT((Produção!$B$2:$B$109=$A32)*(Produção!$F$2:$F$109=_xlpm.canal)*ROW(Produção!$I$2:$I$109))-1,IF(_xlpm.pos&lt;1,"-------",IF(INDEX(Produção!$I$2:$I$109,_xlpm.pos)="","-------",INDEX(Produção!$I$2:$I$109,_xlpm.pos))))</f>
        <v>#REF!</v>
      </c>
      <c r="U32" s="42" t="e" cm="1">
        <f t="array" ref="U32">_xlfn.LET(_xlpm.canal,INDEX($E$2:$P$2,COLUMN()-COLUMN($Q$2)+1),_xlpm.pos,SUMPRODUCT((Produção!$B$2:$B$109=$A32)*(Produção!$F$2:$F$109=_xlpm.canal)*ROW(Produção!$I$2:$I$109))-1,IF(_xlpm.pos&lt;1,"-------",IF(INDEX(Produção!$I$2:$I$109,_xlpm.pos)="","-------",INDEX(Produção!$I$2:$I$109,_xlpm.pos))))</f>
        <v>#REF!</v>
      </c>
      <c r="V32" s="42" t="e" cm="1">
        <f t="array" ref="V32">_xlfn.LET(_xlpm.canal,INDEX($E$2:$P$2,COLUMN()-COLUMN($Q$2)+1),_xlpm.pos,SUMPRODUCT((Produção!$B$2:$B$109=$A32)*(Produção!$F$2:$F$109=_xlpm.canal)*ROW(Produção!$I$2:$I$109))-1,IF(_xlpm.pos&lt;1,"-------",IF(INDEX(Produção!$I$2:$I$109,_xlpm.pos)="","-------",INDEX(Produção!$I$2:$I$109,_xlpm.pos))))</f>
        <v>#REF!</v>
      </c>
      <c r="W32" s="42" t="e" cm="1">
        <f t="array" ref="W32">_xlfn.LET(_xlpm.canal,INDEX($E$2:$P$2,COLUMN()-COLUMN($Q$2)+1),_xlpm.pos,SUMPRODUCT((Produção!$B$2:$B$109=$A32)*(Produção!$F$2:$F$109=_xlpm.canal)*ROW(Produção!$I$2:$I$109))-1,IF(_xlpm.pos&lt;1,"-------",IF(INDEX(Produção!$I$2:$I$109,_xlpm.pos)="","-------",INDEX(Produção!$I$2:$I$109,_xlpm.pos))))</f>
        <v>#REF!</v>
      </c>
      <c r="X32" s="42" t="e" cm="1">
        <f t="array" ref="X32">_xlfn.LET(_xlpm.canal,INDEX($E$2:$P$2,COLUMN()-COLUMN($Q$2)+1),_xlpm.pos,SUMPRODUCT((Produção!$B$2:$B$109=$A32)*(Produção!$F$2:$F$109=_xlpm.canal)*ROW(Produção!$I$2:$I$109))-1,IF(_xlpm.pos&lt;1,"-------",IF(INDEX(Produção!$I$2:$I$109,_xlpm.pos)="","-------",INDEX(Produção!$I$2:$I$109,_xlpm.pos))))</f>
        <v>#REF!</v>
      </c>
      <c r="Y32" s="42" t="e" cm="1">
        <f t="array" ref="Y32">_xlfn.LET(_xlpm.canal,INDEX($E$2:$P$2,COLUMN()-COLUMN($Q$2)+1),_xlpm.pos,SUMPRODUCT((Produção!$B$2:$B$109=$A32)*(Produção!$F$2:$F$109=_xlpm.canal)*ROW(Produção!$I$2:$I$109))-1,IF(_xlpm.pos&lt;1,"-------",IF(INDEX(Produção!$I$2:$I$109,_xlpm.pos)="","-------",INDEX(Produção!$I$2:$I$109,_xlpm.pos))))</f>
        <v>#REF!</v>
      </c>
      <c r="Z32" s="42" t="e" cm="1">
        <f t="array" ref="Z32">_xlfn.LET(_xlpm.canal,INDEX($E$2:$P$2,COLUMN()-COLUMN($Q$2)+1),_xlpm.pos,SUMPRODUCT((Produção!$B$2:$B$109=$A32)*(Produção!$F$2:$F$109=_xlpm.canal)*ROW(Produção!$I$2:$I$109))-1,IF(_xlpm.pos&lt;1,"-------",IF(INDEX(Produção!$I$2:$I$109,_xlpm.pos)="","-------",INDEX(Produção!$I$2:$I$109,_xlpm.pos))))</f>
        <v>#REF!</v>
      </c>
      <c r="AA32" s="42" t="e" cm="1">
        <f t="array" ref="AA32">_xlfn.LET(_xlpm.canal,INDEX($E$2:$P$2,COLUMN()-COLUMN($Q$2)+1),_xlpm.pos,SUMPRODUCT((Produção!$B$2:$B$109=$A32)*(Produção!$F$2:$F$109=_xlpm.canal)*ROW(Produção!$I$2:$I$109))-1,IF(_xlpm.pos&lt;1,"-------",IF(INDEX(Produção!$I$2:$I$109,_xlpm.pos)="","-------",INDEX(Produção!$I$2:$I$109,_xlpm.pos))))</f>
        <v>#REF!</v>
      </c>
      <c r="AB32" s="42" t="e" cm="1">
        <f t="array" ref="AB32">_xlfn.LET(_xlpm.canal,INDEX($E$2:$P$2,COLUMN()-COLUMN($Q$2)+1),_xlpm.pos,SUMPRODUCT((Produção!$B$2:$B$109=$A32)*(Produção!$F$2:$F$109=_xlpm.canal)*ROW(Produção!$I$2:$I$109))-1,IF(_xlpm.pos&lt;1,"-------",IF(INDEX(Produção!$I$2:$I$109,_xlpm.pos)="","-------",INDEX(Produção!$I$2:$I$109,_xlpm.pos))))</f>
        <v>#REF!</v>
      </c>
      <c r="AD32" s="34" t="e" cm="1">
        <f t="array" ref="AD32">SUMPRODUCT(($Q32:$AB32&lt;&gt;"-------")*1)</f>
        <v>#REF!</v>
      </c>
      <c r="AE32" s="34">
        <f>RANK($D32,$D$3:$D$90)+COUNTIF($D$3:$D32,$D32)-1</f>
        <v>30</v>
      </c>
    </row>
    <row r="33" spans="1:31">
      <c r="A33" s="38" t="e" cm="1">
        <f t="array" ref="A33">INDEX(Produção!B$2:B$109,(ROW()-3)*12+1)</f>
        <v>#REF!</v>
      </c>
      <c r="B33" s="39" t="e" cm="1">
        <f t="array" ref="B33">INDEX(Produção!C$2:C$109,(ROW()-3)*12+1)</f>
        <v>#REF!</v>
      </c>
      <c r="C33" s="39" t="e" cm="1">
        <f t="array" ref="C33">INDEX(Produção!D$2:D$109,(ROW()-3)*12+1)</f>
        <v>#REF!</v>
      </c>
      <c r="D33" s="40">
        <f t="shared" si="0"/>
        <v>0</v>
      </c>
      <c r="E33" s="41">
        <f>SUMIFS(Produção!$G$2:$G$109,Produção!$B$2:$B$109,$A33,Produção!$F$2:$F$109,E$2)</f>
        <v>0</v>
      </c>
      <c r="F33" s="41">
        <f>SUMIFS(Produção!$G$2:$G$109,Produção!$B$2:$B$109,$A33,Produção!$F$2:$F$109,F$2)</f>
        <v>0</v>
      </c>
      <c r="G33" s="41">
        <f>SUMIFS(Produção!$G$2:$G$109,Produção!$B$2:$B$109,$A33,Produção!$F$2:$F$109,G$2)</f>
        <v>0</v>
      </c>
      <c r="H33" s="41">
        <f>SUMIFS(Produção!$G$2:$G$109,Produção!$B$2:$B$109,$A33,Produção!$F$2:$F$109,H$2)</f>
        <v>0</v>
      </c>
      <c r="I33" s="41">
        <f>SUMIFS(Produção!$G$2:$G$109,Produção!$B$2:$B$109,$A33,Produção!$F$2:$F$109,I$2)</f>
        <v>0</v>
      </c>
      <c r="J33" s="41">
        <f>SUMIFS(Produção!$G$2:$G$109,Produção!$B$2:$B$109,$A33,Produção!$F$2:$F$109,J$2)</f>
        <v>0</v>
      </c>
      <c r="K33" s="41">
        <f>SUMIFS(Produção!$G$2:$G$109,Produção!$B$2:$B$109,$A33,Produção!$F$2:$F$109,K$2)</f>
        <v>0</v>
      </c>
      <c r="L33" s="41">
        <f>SUMIFS(Produção!$G$2:$G$109,Produção!$B$2:$B$109,$A33,Produção!$F$2:$F$109,L$2)</f>
        <v>0</v>
      </c>
      <c r="M33" s="41">
        <f>SUMIFS(Produção!$G$2:$G$109,Produção!$B$2:$B$109,$A33,Produção!$F$2:$F$109,M$2)</f>
        <v>0</v>
      </c>
      <c r="N33" s="41">
        <f>SUMIFS(Produção!$G$2:$G$109,Produção!$B$2:$B$109,$A33,Produção!$F$2:$F$109,N$2)</f>
        <v>0</v>
      </c>
      <c r="O33" s="41">
        <f>SUMIFS(Produção!$G$2:$G$109,Produção!$B$2:$B$109,$A33,Produção!$F$2:$F$109,O$2)</f>
        <v>0</v>
      </c>
      <c r="P33" s="41">
        <f>SUMIFS(Produção!$G$2:$G$109,Produção!$B$2:$B$109,$A33,Produção!$F$2:$F$109,P$2)</f>
        <v>0</v>
      </c>
      <c r="Q33" s="42" t="e" cm="1">
        <f t="array" ref="Q33">_xlfn.LET(_xlpm.canal,INDEX($E$2:$P$2,COLUMN()-COLUMN($Q$2)+1),_xlpm.pos,SUMPRODUCT((Produção!$B$2:$B$109=$A33)*(Produção!$F$2:$F$109=_xlpm.canal)*ROW(Produção!$I$2:$I$109))-1,IF(_xlpm.pos&lt;1,"-------",IF(INDEX(Produção!$I$2:$I$109,_xlpm.pos)="","-------",INDEX(Produção!$I$2:$I$109,_xlpm.pos))))</f>
        <v>#REF!</v>
      </c>
      <c r="R33" s="42" t="e" cm="1">
        <f t="array" ref="R33">_xlfn.LET(_xlpm.canal,INDEX($E$2:$P$2,COLUMN()-COLUMN($Q$2)+1),_xlpm.pos,SUMPRODUCT((Produção!$B$2:$B$109=$A33)*(Produção!$F$2:$F$109=_xlpm.canal)*ROW(Produção!$I$2:$I$109))-1,IF(_xlpm.pos&lt;1,"-------",IF(INDEX(Produção!$I$2:$I$109,_xlpm.pos)="","-------",INDEX(Produção!$I$2:$I$109,_xlpm.pos))))</f>
        <v>#REF!</v>
      </c>
      <c r="S33" s="42" t="e" cm="1">
        <f t="array" ref="S33">_xlfn.LET(_xlpm.canal,INDEX($E$2:$P$2,COLUMN()-COLUMN($Q$2)+1),_xlpm.pos,SUMPRODUCT((Produção!$B$2:$B$109=$A33)*(Produção!$F$2:$F$109=_xlpm.canal)*ROW(Produção!$I$2:$I$109))-1,IF(_xlpm.pos&lt;1,"-------",IF(INDEX(Produção!$I$2:$I$109,_xlpm.pos)="","-------",INDEX(Produção!$I$2:$I$109,_xlpm.pos))))</f>
        <v>#REF!</v>
      </c>
      <c r="T33" s="42" t="e" cm="1">
        <f t="array" ref="T33">_xlfn.LET(_xlpm.canal,INDEX($E$2:$P$2,COLUMN()-COLUMN($Q$2)+1),_xlpm.pos,SUMPRODUCT((Produção!$B$2:$B$109=$A33)*(Produção!$F$2:$F$109=_xlpm.canal)*ROW(Produção!$I$2:$I$109))-1,IF(_xlpm.pos&lt;1,"-------",IF(INDEX(Produção!$I$2:$I$109,_xlpm.pos)="","-------",INDEX(Produção!$I$2:$I$109,_xlpm.pos))))</f>
        <v>#REF!</v>
      </c>
      <c r="U33" s="42" t="e" cm="1">
        <f t="array" ref="U33">_xlfn.LET(_xlpm.canal,INDEX($E$2:$P$2,COLUMN()-COLUMN($Q$2)+1),_xlpm.pos,SUMPRODUCT((Produção!$B$2:$B$109=$A33)*(Produção!$F$2:$F$109=_xlpm.canal)*ROW(Produção!$I$2:$I$109))-1,IF(_xlpm.pos&lt;1,"-------",IF(INDEX(Produção!$I$2:$I$109,_xlpm.pos)="","-------",INDEX(Produção!$I$2:$I$109,_xlpm.pos))))</f>
        <v>#REF!</v>
      </c>
      <c r="V33" s="42" t="e" cm="1">
        <f t="array" ref="V33">_xlfn.LET(_xlpm.canal,INDEX($E$2:$P$2,COLUMN()-COLUMN($Q$2)+1),_xlpm.pos,SUMPRODUCT((Produção!$B$2:$B$109=$A33)*(Produção!$F$2:$F$109=_xlpm.canal)*ROW(Produção!$I$2:$I$109))-1,IF(_xlpm.pos&lt;1,"-------",IF(INDEX(Produção!$I$2:$I$109,_xlpm.pos)="","-------",INDEX(Produção!$I$2:$I$109,_xlpm.pos))))</f>
        <v>#REF!</v>
      </c>
      <c r="W33" s="42" t="e" cm="1">
        <f t="array" ref="W33">_xlfn.LET(_xlpm.canal,INDEX($E$2:$P$2,COLUMN()-COLUMN($Q$2)+1),_xlpm.pos,SUMPRODUCT((Produção!$B$2:$B$109=$A33)*(Produção!$F$2:$F$109=_xlpm.canal)*ROW(Produção!$I$2:$I$109))-1,IF(_xlpm.pos&lt;1,"-------",IF(INDEX(Produção!$I$2:$I$109,_xlpm.pos)="","-------",INDEX(Produção!$I$2:$I$109,_xlpm.pos))))</f>
        <v>#REF!</v>
      </c>
      <c r="X33" s="42" t="e" cm="1">
        <f t="array" ref="X33">_xlfn.LET(_xlpm.canal,INDEX($E$2:$P$2,COLUMN()-COLUMN($Q$2)+1),_xlpm.pos,SUMPRODUCT((Produção!$B$2:$B$109=$A33)*(Produção!$F$2:$F$109=_xlpm.canal)*ROW(Produção!$I$2:$I$109))-1,IF(_xlpm.pos&lt;1,"-------",IF(INDEX(Produção!$I$2:$I$109,_xlpm.pos)="","-------",INDEX(Produção!$I$2:$I$109,_xlpm.pos))))</f>
        <v>#REF!</v>
      </c>
      <c r="Y33" s="42" t="e" cm="1">
        <f t="array" ref="Y33">_xlfn.LET(_xlpm.canal,INDEX($E$2:$P$2,COLUMN()-COLUMN($Q$2)+1),_xlpm.pos,SUMPRODUCT((Produção!$B$2:$B$109=$A33)*(Produção!$F$2:$F$109=_xlpm.canal)*ROW(Produção!$I$2:$I$109))-1,IF(_xlpm.pos&lt;1,"-------",IF(INDEX(Produção!$I$2:$I$109,_xlpm.pos)="","-------",INDEX(Produção!$I$2:$I$109,_xlpm.pos))))</f>
        <v>#REF!</v>
      </c>
      <c r="Z33" s="42" t="e" cm="1">
        <f t="array" ref="Z33">_xlfn.LET(_xlpm.canal,INDEX($E$2:$P$2,COLUMN()-COLUMN($Q$2)+1),_xlpm.pos,SUMPRODUCT((Produção!$B$2:$B$109=$A33)*(Produção!$F$2:$F$109=_xlpm.canal)*ROW(Produção!$I$2:$I$109))-1,IF(_xlpm.pos&lt;1,"-------",IF(INDEX(Produção!$I$2:$I$109,_xlpm.pos)="","-------",INDEX(Produção!$I$2:$I$109,_xlpm.pos))))</f>
        <v>#REF!</v>
      </c>
      <c r="AA33" s="42" t="e" cm="1">
        <f t="array" ref="AA33">_xlfn.LET(_xlpm.canal,INDEX($E$2:$P$2,COLUMN()-COLUMN($Q$2)+1),_xlpm.pos,SUMPRODUCT((Produção!$B$2:$B$109=$A33)*(Produção!$F$2:$F$109=_xlpm.canal)*ROW(Produção!$I$2:$I$109))-1,IF(_xlpm.pos&lt;1,"-------",IF(INDEX(Produção!$I$2:$I$109,_xlpm.pos)="","-------",INDEX(Produção!$I$2:$I$109,_xlpm.pos))))</f>
        <v>#REF!</v>
      </c>
      <c r="AB33" s="42" t="e" cm="1">
        <f t="array" ref="AB33">_xlfn.LET(_xlpm.canal,INDEX($E$2:$P$2,COLUMN()-COLUMN($Q$2)+1),_xlpm.pos,SUMPRODUCT((Produção!$B$2:$B$109=$A33)*(Produção!$F$2:$F$109=_xlpm.canal)*ROW(Produção!$I$2:$I$109))-1,IF(_xlpm.pos&lt;1,"-------",IF(INDEX(Produção!$I$2:$I$109,_xlpm.pos)="","-------",INDEX(Produção!$I$2:$I$109,_xlpm.pos))))</f>
        <v>#REF!</v>
      </c>
      <c r="AD33" s="34" t="e" cm="1">
        <f t="array" ref="AD33">SUMPRODUCT(($Q33:$AB33&lt;&gt;"-------")*1)</f>
        <v>#REF!</v>
      </c>
      <c r="AE33" s="34">
        <f>RANK($D33,$D$3:$D$90)+COUNTIF($D$3:$D33,$D33)-1</f>
        <v>31</v>
      </c>
    </row>
    <row r="34" spans="1:31">
      <c r="A34" s="38" t="e" cm="1">
        <f t="array" ref="A34">INDEX(Produção!B$2:B$109,(ROW()-3)*12+1)</f>
        <v>#REF!</v>
      </c>
      <c r="B34" s="39" t="e" cm="1">
        <f t="array" ref="B34">INDEX(Produção!C$2:C$109,(ROW()-3)*12+1)</f>
        <v>#REF!</v>
      </c>
      <c r="C34" s="39" t="e" cm="1">
        <f t="array" ref="C34">INDEX(Produção!D$2:D$109,(ROW()-3)*12+1)</f>
        <v>#REF!</v>
      </c>
      <c r="D34" s="40">
        <f t="shared" si="0"/>
        <v>0</v>
      </c>
      <c r="E34" s="41">
        <f>SUMIFS(Produção!$G$2:$G$109,Produção!$B$2:$B$109,$A34,Produção!$F$2:$F$109,E$2)</f>
        <v>0</v>
      </c>
      <c r="F34" s="41">
        <f>SUMIFS(Produção!$G$2:$G$109,Produção!$B$2:$B$109,$A34,Produção!$F$2:$F$109,F$2)</f>
        <v>0</v>
      </c>
      <c r="G34" s="41">
        <f>SUMIFS(Produção!$G$2:$G$109,Produção!$B$2:$B$109,$A34,Produção!$F$2:$F$109,G$2)</f>
        <v>0</v>
      </c>
      <c r="H34" s="41">
        <f>SUMIFS(Produção!$G$2:$G$109,Produção!$B$2:$B$109,$A34,Produção!$F$2:$F$109,H$2)</f>
        <v>0</v>
      </c>
      <c r="I34" s="41">
        <f>SUMIFS(Produção!$G$2:$G$109,Produção!$B$2:$B$109,$A34,Produção!$F$2:$F$109,I$2)</f>
        <v>0</v>
      </c>
      <c r="J34" s="41">
        <f>SUMIFS(Produção!$G$2:$G$109,Produção!$B$2:$B$109,$A34,Produção!$F$2:$F$109,J$2)</f>
        <v>0</v>
      </c>
      <c r="K34" s="41">
        <f>SUMIFS(Produção!$G$2:$G$109,Produção!$B$2:$B$109,$A34,Produção!$F$2:$F$109,K$2)</f>
        <v>0</v>
      </c>
      <c r="L34" s="41">
        <f>SUMIFS(Produção!$G$2:$G$109,Produção!$B$2:$B$109,$A34,Produção!$F$2:$F$109,L$2)</f>
        <v>0</v>
      </c>
      <c r="M34" s="41">
        <f>SUMIFS(Produção!$G$2:$G$109,Produção!$B$2:$B$109,$A34,Produção!$F$2:$F$109,M$2)</f>
        <v>0</v>
      </c>
      <c r="N34" s="41">
        <f>SUMIFS(Produção!$G$2:$G$109,Produção!$B$2:$B$109,$A34,Produção!$F$2:$F$109,N$2)</f>
        <v>0</v>
      </c>
      <c r="O34" s="41">
        <f>SUMIFS(Produção!$G$2:$G$109,Produção!$B$2:$B$109,$A34,Produção!$F$2:$F$109,O$2)</f>
        <v>0</v>
      </c>
      <c r="P34" s="41">
        <f>SUMIFS(Produção!$G$2:$G$109,Produção!$B$2:$B$109,$A34,Produção!$F$2:$F$109,P$2)</f>
        <v>0</v>
      </c>
      <c r="Q34" s="42" t="e" cm="1">
        <f t="array" ref="Q34">_xlfn.LET(_xlpm.canal,INDEX($E$2:$P$2,COLUMN()-COLUMN($Q$2)+1),_xlpm.pos,SUMPRODUCT((Produção!$B$2:$B$109=$A34)*(Produção!$F$2:$F$109=_xlpm.canal)*ROW(Produção!$I$2:$I$109))-1,IF(_xlpm.pos&lt;1,"-------",IF(INDEX(Produção!$I$2:$I$109,_xlpm.pos)="","-------",INDEX(Produção!$I$2:$I$109,_xlpm.pos))))</f>
        <v>#REF!</v>
      </c>
      <c r="R34" s="42" t="e" cm="1">
        <f t="array" ref="R34">_xlfn.LET(_xlpm.canal,INDEX($E$2:$P$2,COLUMN()-COLUMN($Q$2)+1),_xlpm.pos,SUMPRODUCT((Produção!$B$2:$B$109=$A34)*(Produção!$F$2:$F$109=_xlpm.canal)*ROW(Produção!$I$2:$I$109))-1,IF(_xlpm.pos&lt;1,"-------",IF(INDEX(Produção!$I$2:$I$109,_xlpm.pos)="","-------",INDEX(Produção!$I$2:$I$109,_xlpm.pos))))</f>
        <v>#REF!</v>
      </c>
      <c r="S34" s="42" t="e" cm="1">
        <f t="array" ref="S34">_xlfn.LET(_xlpm.canal,INDEX($E$2:$P$2,COLUMN()-COLUMN($Q$2)+1),_xlpm.pos,SUMPRODUCT((Produção!$B$2:$B$109=$A34)*(Produção!$F$2:$F$109=_xlpm.canal)*ROW(Produção!$I$2:$I$109))-1,IF(_xlpm.pos&lt;1,"-------",IF(INDEX(Produção!$I$2:$I$109,_xlpm.pos)="","-------",INDEX(Produção!$I$2:$I$109,_xlpm.pos))))</f>
        <v>#REF!</v>
      </c>
      <c r="T34" s="42" t="e" cm="1">
        <f t="array" ref="T34">_xlfn.LET(_xlpm.canal,INDEX($E$2:$P$2,COLUMN()-COLUMN($Q$2)+1),_xlpm.pos,SUMPRODUCT((Produção!$B$2:$B$109=$A34)*(Produção!$F$2:$F$109=_xlpm.canal)*ROW(Produção!$I$2:$I$109))-1,IF(_xlpm.pos&lt;1,"-------",IF(INDEX(Produção!$I$2:$I$109,_xlpm.pos)="","-------",INDEX(Produção!$I$2:$I$109,_xlpm.pos))))</f>
        <v>#REF!</v>
      </c>
      <c r="U34" s="42" t="e" cm="1">
        <f t="array" ref="U34">_xlfn.LET(_xlpm.canal,INDEX($E$2:$P$2,COLUMN()-COLUMN($Q$2)+1),_xlpm.pos,SUMPRODUCT((Produção!$B$2:$B$109=$A34)*(Produção!$F$2:$F$109=_xlpm.canal)*ROW(Produção!$I$2:$I$109))-1,IF(_xlpm.pos&lt;1,"-------",IF(INDEX(Produção!$I$2:$I$109,_xlpm.pos)="","-------",INDEX(Produção!$I$2:$I$109,_xlpm.pos))))</f>
        <v>#REF!</v>
      </c>
      <c r="V34" s="42" t="e" cm="1">
        <f t="array" ref="V34">_xlfn.LET(_xlpm.canal,INDEX($E$2:$P$2,COLUMN()-COLUMN($Q$2)+1),_xlpm.pos,SUMPRODUCT((Produção!$B$2:$B$109=$A34)*(Produção!$F$2:$F$109=_xlpm.canal)*ROW(Produção!$I$2:$I$109))-1,IF(_xlpm.pos&lt;1,"-------",IF(INDEX(Produção!$I$2:$I$109,_xlpm.pos)="","-------",INDEX(Produção!$I$2:$I$109,_xlpm.pos))))</f>
        <v>#REF!</v>
      </c>
      <c r="W34" s="42" t="e" cm="1">
        <f t="array" ref="W34">_xlfn.LET(_xlpm.canal,INDEX($E$2:$P$2,COLUMN()-COLUMN($Q$2)+1),_xlpm.pos,SUMPRODUCT((Produção!$B$2:$B$109=$A34)*(Produção!$F$2:$F$109=_xlpm.canal)*ROW(Produção!$I$2:$I$109))-1,IF(_xlpm.pos&lt;1,"-------",IF(INDEX(Produção!$I$2:$I$109,_xlpm.pos)="","-------",INDEX(Produção!$I$2:$I$109,_xlpm.pos))))</f>
        <v>#REF!</v>
      </c>
      <c r="X34" s="42" t="e" cm="1">
        <f t="array" ref="X34">_xlfn.LET(_xlpm.canal,INDEX($E$2:$P$2,COLUMN()-COLUMN($Q$2)+1),_xlpm.pos,SUMPRODUCT((Produção!$B$2:$B$109=$A34)*(Produção!$F$2:$F$109=_xlpm.canal)*ROW(Produção!$I$2:$I$109))-1,IF(_xlpm.pos&lt;1,"-------",IF(INDEX(Produção!$I$2:$I$109,_xlpm.pos)="","-------",INDEX(Produção!$I$2:$I$109,_xlpm.pos))))</f>
        <v>#REF!</v>
      </c>
      <c r="Y34" s="42" t="e" cm="1">
        <f t="array" ref="Y34">_xlfn.LET(_xlpm.canal,INDEX($E$2:$P$2,COLUMN()-COLUMN($Q$2)+1),_xlpm.pos,SUMPRODUCT((Produção!$B$2:$B$109=$A34)*(Produção!$F$2:$F$109=_xlpm.canal)*ROW(Produção!$I$2:$I$109))-1,IF(_xlpm.pos&lt;1,"-------",IF(INDEX(Produção!$I$2:$I$109,_xlpm.pos)="","-------",INDEX(Produção!$I$2:$I$109,_xlpm.pos))))</f>
        <v>#REF!</v>
      </c>
      <c r="Z34" s="42" t="e" cm="1">
        <f t="array" ref="Z34">_xlfn.LET(_xlpm.canal,INDEX($E$2:$P$2,COLUMN()-COLUMN($Q$2)+1),_xlpm.pos,SUMPRODUCT((Produção!$B$2:$B$109=$A34)*(Produção!$F$2:$F$109=_xlpm.canal)*ROW(Produção!$I$2:$I$109))-1,IF(_xlpm.pos&lt;1,"-------",IF(INDEX(Produção!$I$2:$I$109,_xlpm.pos)="","-------",INDEX(Produção!$I$2:$I$109,_xlpm.pos))))</f>
        <v>#REF!</v>
      </c>
      <c r="AA34" s="42" t="e" cm="1">
        <f t="array" ref="AA34">_xlfn.LET(_xlpm.canal,INDEX($E$2:$P$2,COLUMN()-COLUMN($Q$2)+1),_xlpm.pos,SUMPRODUCT((Produção!$B$2:$B$109=$A34)*(Produção!$F$2:$F$109=_xlpm.canal)*ROW(Produção!$I$2:$I$109))-1,IF(_xlpm.pos&lt;1,"-------",IF(INDEX(Produção!$I$2:$I$109,_xlpm.pos)="","-------",INDEX(Produção!$I$2:$I$109,_xlpm.pos))))</f>
        <v>#REF!</v>
      </c>
      <c r="AB34" s="42" t="e" cm="1">
        <f t="array" ref="AB34">_xlfn.LET(_xlpm.canal,INDEX($E$2:$P$2,COLUMN()-COLUMN($Q$2)+1),_xlpm.pos,SUMPRODUCT((Produção!$B$2:$B$109=$A34)*(Produção!$F$2:$F$109=_xlpm.canal)*ROW(Produção!$I$2:$I$109))-1,IF(_xlpm.pos&lt;1,"-------",IF(INDEX(Produção!$I$2:$I$109,_xlpm.pos)="","-------",INDEX(Produção!$I$2:$I$109,_xlpm.pos))))</f>
        <v>#REF!</v>
      </c>
      <c r="AD34" s="34" t="e" cm="1">
        <f t="array" ref="AD34">SUMPRODUCT(($Q34:$AB34&lt;&gt;"-------")*1)</f>
        <v>#REF!</v>
      </c>
      <c r="AE34" s="34">
        <f>RANK($D34,$D$3:$D$90)+COUNTIF($D$3:$D34,$D34)-1</f>
        <v>32</v>
      </c>
    </row>
    <row r="35" spans="1:31">
      <c r="A35" s="38" t="e" cm="1">
        <f t="array" ref="A35">INDEX(Produção!B$2:B$109,(ROW()-3)*12+1)</f>
        <v>#REF!</v>
      </c>
      <c r="B35" s="39" t="e" cm="1">
        <f t="array" ref="B35">INDEX(Produção!C$2:C$109,(ROW()-3)*12+1)</f>
        <v>#REF!</v>
      </c>
      <c r="C35" s="39" t="e" cm="1">
        <f t="array" ref="C35">INDEX(Produção!D$2:D$109,(ROW()-3)*12+1)</f>
        <v>#REF!</v>
      </c>
      <c r="D35" s="40">
        <f t="shared" si="0"/>
        <v>0</v>
      </c>
      <c r="E35" s="41">
        <f>SUMIFS(Produção!$G$2:$G$109,Produção!$B$2:$B$109,$A35,Produção!$F$2:$F$109,E$2)</f>
        <v>0</v>
      </c>
      <c r="F35" s="41">
        <f>SUMIFS(Produção!$G$2:$G$109,Produção!$B$2:$B$109,$A35,Produção!$F$2:$F$109,F$2)</f>
        <v>0</v>
      </c>
      <c r="G35" s="41">
        <f>SUMIFS(Produção!$G$2:$G$109,Produção!$B$2:$B$109,$A35,Produção!$F$2:$F$109,G$2)</f>
        <v>0</v>
      </c>
      <c r="H35" s="41">
        <f>SUMIFS(Produção!$G$2:$G$109,Produção!$B$2:$B$109,$A35,Produção!$F$2:$F$109,H$2)</f>
        <v>0</v>
      </c>
      <c r="I35" s="41">
        <f>SUMIFS(Produção!$G$2:$G$109,Produção!$B$2:$B$109,$A35,Produção!$F$2:$F$109,I$2)</f>
        <v>0</v>
      </c>
      <c r="J35" s="41">
        <f>SUMIFS(Produção!$G$2:$G$109,Produção!$B$2:$B$109,$A35,Produção!$F$2:$F$109,J$2)</f>
        <v>0</v>
      </c>
      <c r="K35" s="41">
        <f>SUMIFS(Produção!$G$2:$G$109,Produção!$B$2:$B$109,$A35,Produção!$F$2:$F$109,K$2)</f>
        <v>0</v>
      </c>
      <c r="L35" s="41">
        <f>SUMIFS(Produção!$G$2:$G$109,Produção!$B$2:$B$109,$A35,Produção!$F$2:$F$109,L$2)</f>
        <v>0</v>
      </c>
      <c r="M35" s="41">
        <f>SUMIFS(Produção!$G$2:$G$109,Produção!$B$2:$B$109,$A35,Produção!$F$2:$F$109,M$2)</f>
        <v>0</v>
      </c>
      <c r="N35" s="41">
        <f>SUMIFS(Produção!$G$2:$G$109,Produção!$B$2:$B$109,$A35,Produção!$F$2:$F$109,N$2)</f>
        <v>0</v>
      </c>
      <c r="O35" s="41">
        <f>SUMIFS(Produção!$G$2:$G$109,Produção!$B$2:$B$109,$A35,Produção!$F$2:$F$109,O$2)</f>
        <v>0</v>
      </c>
      <c r="P35" s="41">
        <f>SUMIFS(Produção!$G$2:$G$109,Produção!$B$2:$B$109,$A35,Produção!$F$2:$F$109,P$2)</f>
        <v>0</v>
      </c>
      <c r="Q35" s="42" t="e" cm="1">
        <f t="array" ref="Q35">_xlfn.LET(_xlpm.canal,INDEX($E$2:$P$2,COLUMN()-COLUMN($Q$2)+1),_xlpm.pos,SUMPRODUCT((Produção!$B$2:$B$109=$A35)*(Produção!$F$2:$F$109=_xlpm.canal)*ROW(Produção!$I$2:$I$109))-1,IF(_xlpm.pos&lt;1,"-------",IF(INDEX(Produção!$I$2:$I$109,_xlpm.pos)="","-------",INDEX(Produção!$I$2:$I$109,_xlpm.pos))))</f>
        <v>#REF!</v>
      </c>
      <c r="R35" s="42" t="e" cm="1">
        <f t="array" ref="R35">_xlfn.LET(_xlpm.canal,INDEX($E$2:$P$2,COLUMN()-COLUMN($Q$2)+1),_xlpm.pos,SUMPRODUCT((Produção!$B$2:$B$109=$A35)*(Produção!$F$2:$F$109=_xlpm.canal)*ROW(Produção!$I$2:$I$109))-1,IF(_xlpm.pos&lt;1,"-------",IF(INDEX(Produção!$I$2:$I$109,_xlpm.pos)="","-------",INDEX(Produção!$I$2:$I$109,_xlpm.pos))))</f>
        <v>#REF!</v>
      </c>
      <c r="S35" s="42" t="e" cm="1">
        <f t="array" ref="S35">_xlfn.LET(_xlpm.canal,INDEX($E$2:$P$2,COLUMN()-COLUMN($Q$2)+1),_xlpm.pos,SUMPRODUCT((Produção!$B$2:$B$109=$A35)*(Produção!$F$2:$F$109=_xlpm.canal)*ROW(Produção!$I$2:$I$109))-1,IF(_xlpm.pos&lt;1,"-------",IF(INDEX(Produção!$I$2:$I$109,_xlpm.pos)="","-------",INDEX(Produção!$I$2:$I$109,_xlpm.pos))))</f>
        <v>#REF!</v>
      </c>
      <c r="T35" s="42" t="e" cm="1">
        <f t="array" ref="T35">_xlfn.LET(_xlpm.canal,INDEX($E$2:$P$2,COLUMN()-COLUMN($Q$2)+1),_xlpm.pos,SUMPRODUCT((Produção!$B$2:$B$109=$A35)*(Produção!$F$2:$F$109=_xlpm.canal)*ROW(Produção!$I$2:$I$109))-1,IF(_xlpm.pos&lt;1,"-------",IF(INDEX(Produção!$I$2:$I$109,_xlpm.pos)="","-------",INDEX(Produção!$I$2:$I$109,_xlpm.pos))))</f>
        <v>#REF!</v>
      </c>
      <c r="U35" s="42" t="e" cm="1">
        <f t="array" ref="U35">_xlfn.LET(_xlpm.canal,INDEX($E$2:$P$2,COLUMN()-COLUMN($Q$2)+1),_xlpm.pos,SUMPRODUCT((Produção!$B$2:$B$109=$A35)*(Produção!$F$2:$F$109=_xlpm.canal)*ROW(Produção!$I$2:$I$109))-1,IF(_xlpm.pos&lt;1,"-------",IF(INDEX(Produção!$I$2:$I$109,_xlpm.pos)="","-------",INDEX(Produção!$I$2:$I$109,_xlpm.pos))))</f>
        <v>#REF!</v>
      </c>
      <c r="V35" s="42" t="e" cm="1">
        <f t="array" ref="V35">_xlfn.LET(_xlpm.canal,INDEX($E$2:$P$2,COLUMN()-COLUMN($Q$2)+1),_xlpm.pos,SUMPRODUCT((Produção!$B$2:$B$109=$A35)*(Produção!$F$2:$F$109=_xlpm.canal)*ROW(Produção!$I$2:$I$109))-1,IF(_xlpm.pos&lt;1,"-------",IF(INDEX(Produção!$I$2:$I$109,_xlpm.pos)="","-------",INDEX(Produção!$I$2:$I$109,_xlpm.pos))))</f>
        <v>#REF!</v>
      </c>
      <c r="W35" s="42" t="e" cm="1">
        <f t="array" ref="W35">_xlfn.LET(_xlpm.canal,INDEX($E$2:$P$2,COLUMN()-COLUMN($Q$2)+1),_xlpm.pos,SUMPRODUCT((Produção!$B$2:$B$109=$A35)*(Produção!$F$2:$F$109=_xlpm.canal)*ROW(Produção!$I$2:$I$109))-1,IF(_xlpm.pos&lt;1,"-------",IF(INDEX(Produção!$I$2:$I$109,_xlpm.pos)="","-------",INDEX(Produção!$I$2:$I$109,_xlpm.pos))))</f>
        <v>#REF!</v>
      </c>
      <c r="X35" s="42" t="e" cm="1">
        <f t="array" ref="X35">_xlfn.LET(_xlpm.canal,INDEX($E$2:$P$2,COLUMN()-COLUMN($Q$2)+1),_xlpm.pos,SUMPRODUCT((Produção!$B$2:$B$109=$A35)*(Produção!$F$2:$F$109=_xlpm.canal)*ROW(Produção!$I$2:$I$109))-1,IF(_xlpm.pos&lt;1,"-------",IF(INDEX(Produção!$I$2:$I$109,_xlpm.pos)="","-------",INDEX(Produção!$I$2:$I$109,_xlpm.pos))))</f>
        <v>#REF!</v>
      </c>
      <c r="Y35" s="42" t="e" cm="1">
        <f t="array" ref="Y35">_xlfn.LET(_xlpm.canal,INDEX($E$2:$P$2,COLUMN()-COLUMN($Q$2)+1),_xlpm.pos,SUMPRODUCT((Produção!$B$2:$B$109=$A35)*(Produção!$F$2:$F$109=_xlpm.canal)*ROW(Produção!$I$2:$I$109))-1,IF(_xlpm.pos&lt;1,"-------",IF(INDEX(Produção!$I$2:$I$109,_xlpm.pos)="","-------",INDEX(Produção!$I$2:$I$109,_xlpm.pos))))</f>
        <v>#REF!</v>
      </c>
      <c r="Z35" s="42" t="e" cm="1">
        <f t="array" ref="Z35">_xlfn.LET(_xlpm.canal,INDEX($E$2:$P$2,COLUMN()-COLUMN($Q$2)+1),_xlpm.pos,SUMPRODUCT((Produção!$B$2:$B$109=$A35)*(Produção!$F$2:$F$109=_xlpm.canal)*ROW(Produção!$I$2:$I$109))-1,IF(_xlpm.pos&lt;1,"-------",IF(INDEX(Produção!$I$2:$I$109,_xlpm.pos)="","-------",INDEX(Produção!$I$2:$I$109,_xlpm.pos))))</f>
        <v>#REF!</v>
      </c>
      <c r="AA35" s="42" t="e" cm="1">
        <f t="array" ref="AA35">_xlfn.LET(_xlpm.canal,INDEX($E$2:$P$2,COLUMN()-COLUMN($Q$2)+1),_xlpm.pos,SUMPRODUCT((Produção!$B$2:$B$109=$A35)*(Produção!$F$2:$F$109=_xlpm.canal)*ROW(Produção!$I$2:$I$109))-1,IF(_xlpm.pos&lt;1,"-------",IF(INDEX(Produção!$I$2:$I$109,_xlpm.pos)="","-------",INDEX(Produção!$I$2:$I$109,_xlpm.pos))))</f>
        <v>#REF!</v>
      </c>
      <c r="AB35" s="42" t="e" cm="1">
        <f t="array" ref="AB35">_xlfn.LET(_xlpm.canal,INDEX($E$2:$P$2,COLUMN()-COLUMN($Q$2)+1),_xlpm.pos,SUMPRODUCT((Produção!$B$2:$B$109=$A35)*(Produção!$F$2:$F$109=_xlpm.canal)*ROW(Produção!$I$2:$I$109))-1,IF(_xlpm.pos&lt;1,"-------",IF(INDEX(Produção!$I$2:$I$109,_xlpm.pos)="","-------",INDEX(Produção!$I$2:$I$109,_xlpm.pos))))</f>
        <v>#REF!</v>
      </c>
      <c r="AD35" s="34" t="e" cm="1">
        <f t="array" ref="AD35">SUMPRODUCT(($Q35:$AB35&lt;&gt;"-------")*1)</f>
        <v>#REF!</v>
      </c>
      <c r="AE35" s="34">
        <f>RANK($D35,$D$3:$D$90)+COUNTIF($D$3:$D35,$D35)-1</f>
        <v>33</v>
      </c>
    </row>
    <row r="36" spans="1:31">
      <c r="A36" s="38" t="e" cm="1">
        <f t="array" ref="A36">INDEX(Produção!B$2:B$109,(ROW()-3)*12+1)</f>
        <v>#REF!</v>
      </c>
      <c r="B36" s="39" t="e" cm="1">
        <f t="array" ref="B36">INDEX(Produção!C$2:C$109,(ROW()-3)*12+1)</f>
        <v>#REF!</v>
      </c>
      <c r="C36" s="39" t="e" cm="1">
        <f t="array" ref="C36">INDEX(Produção!D$2:D$109,(ROW()-3)*12+1)</f>
        <v>#REF!</v>
      </c>
      <c r="D36" s="40">
        <f t="shared" si="0"/>
        <v>0</v>
      </c>
      <c r="E36" s="41">
        <f>SUMIFS(Produção!$G$2:$G$109,Produção!$B$2:$B$109,$A36,Produção!$F$2:$F$109,E$2)</f>
        <v>0</v>
      </c>
      <c r="F36" s="41">
        <f>SUMIFS(Produção!$G$2:$G$109,Produção!$B$2:$B$109,$A36,Produção!$F$2:$F$109,F$2)</f>
        <v>0</v>
      </c>
      <c r="G36" s="41">
        <f>SUMIFS(Produção!$G$2:$G$109,Produção!$B$2:$B$109,$A36,Produção!$F$2:$F$109,G$2)</f>
        <v>0</v>
      </c>
      <c r="H36" s="41">
        <f>SUMIFS(Produção!$G$2:$G$109,Produção!$B$2:$B$109,$A36,Produção!$F$2:$F$109,H$2)</f>
        <v>0</v>
      </c>
      <c r="I36" s="41">
        <f>SUMIFS(Produção!$G$2:$G$109,Produção!$B$2:$B$109,$A36,Produção!$F$2:$F$109,I$2)</f>
        <v>0</v>
      </c>
      <c r="J36" s="41">
        <f>SUMIFS(Produção!$G$2:$G$109,Produção!$B$2:$B$109,$A36,Produção!$F$2:$F$109,J$2)</f>
        <v>0</v>
      </c>
      <c r="K36" s="41">
        <f>SUMIFS(Produção!$G$2:$G$109,Produção!$B$2:$B$109,$A36,Produção!$F$2:$F$109,K$2)</f>
        <v>0</v>
      </c>
      <c r="L36" s="41">
        <f>SUMIFS(Produção!$G$2:$G$109,Produção!$B$2:$B$109,$A36,Produção!$F$2:$F$109,L$2)</f>
        <v>0</v>
      </c>
      <c r="M36" s="41">
        <f>SUMIFS(Produção!$G$2:$G$109,Produção!$B$2:$B$109,$A36,Produção!$F$2:$F$109,M$2)</f>
        <v>0</v>
      </c>
      <c r="N36" s="41">
        <f>SUMIFS(Produção!$G$2:$G$109,Produção!$B$2:$B$109,$A36,Produção!$F$2:$F$109,N$2)</f>
        <v>0</v>
      </c>
      <c r="O36" s="41">
        <f>SUMIFS(Produção!$G$2:$G$109,Produção!$B$2:$B$109,$A36,Produção!$F$2:$F$109,O$2)</f>
        <v>0</v>
      </c>
      <c r="P36" s="41">
        <f>SUMIFS(Produção!$G$2:$G$109,Produção!$B$2:$B$109,$A36,Produção!$F$2:$F$109,P$2)</f>
        <v>0</v>
      </c>
      <c r="Q36" s="42" t="e" cm="1">
        <f t="array" ref="Q36">_xlfn.LET(_xlpm.canal,INDEX($E$2:$P$2,COLUMN()-COLUMN($Q$2)+1),_xlpm.pos,SUMPRODUCT((Produção!$B$2:$B$109=$A36)*(Produção!$F$2:$F$109=_xlpm.canal)*ROW(Produção!$I$2:$I$109))-1,IF(_xlpm.pos&lt;1,"-------",IF(INDEX(Produção!$I$2:$I$109,_xlpm.pos)="","-------",INDEX(Produção!$I$2:$I$109,_xlpm.pos))))</f>
        <v>#REF!</v>
      </c>
      <c r="R36" s="42" t="e" cm="1">
        <f t="array" ref="R36">_xlfn.LET(_xlpm.canal,INDEX($E$2:$P$2,COLUMN()-COLUMN($Q$2)+1),_xlpm.pos,SUMPRODUCT((Produção!$B$2:$B$109=$A36)*(Produção!$F$2:$F$109=_xlpm.canal)*ROW(Produção!$I$2:$I$109))-1,IF(_xlpm.pos&lt;1,"-------",IF(INDEX(Produção!$I$2:$I$109,_xlpm.pos)="","-------",INDEX(Produção!$I$2:$I$109,_xlpm.pos))))</f>
        <v>#REF!</v>
      </c>
      <c r="S36" s="42" t="e" cm="1">
        <f t="array" ref="S36">_xlfn.LET(_xlpm.canal,INDEX($E$2:$P$2,COLUMN()-COLUMN($Q$2)+1),_xlpm.pos,SUMPRODUCT((Produção!$B$2:$B$109=$A36)*(Produção!$F$2:$F$109=_xlpm.canal)*ROW(Produção!$I$2:$I$109))-1,IF(_xlpm.pos&lt;1,"-------",IF(INDEX(Produção!$I$2:$I$109,_xlpm.pos)="","-------",INDEX(Produção!$I$2:$I$109,_xlpm.pos))))</f>
        <v>#REF!</v>
      </c>
      <c r="T36" s="42" t="e" cm="1">
        <f t="array" ref="T36">_xlfn.LET(_xlpm.canal,INDEX($E$2:$P$2,COLUMN()-COLUMN($Q$2)+1),_xlpm.pos,SUMPRODUCT((Produção!$B$2:$B$109=$A36)*(Produção!$F$2:$F$109=_xlpm.canal)*ROW(Produção!$I$2:$I$109))-1,IF(_xlpm.pos&lt;1,"-------",IF(INDEX(Produção!$I$2:$I$109,_xlpm.pos)="","-------",INDEX(Produção!$I$2:$I$109,_xlpm.pos))))</f>
        <v>#REF!</v>
      </c>
      <c r="U36" s="42" t="e" cm="1">
        <f t="array" ref="U36">_xlfn.LET(_xlpm.canal,INDEX($E$2:$P$2,COLUMN()-COLUMN($Q$2)+1),_xlpm.pos,SUMPRODUCT((Produção!$B$2:$B$109=$A36)*(Produção!$F$2:$F$109=_xlpm.canal)*ROW(Produção!$I$2:$I$109))-1,IF(_xlpm.pos&lt;1,"-------",IF(INDEX(Produção!$I$2:$I$109,_xlpm.pos)="","-------",INDEX(Produção!$I$2:$I$109,_xlpm.pos))))</f>
        <v>#REF!</v>
      </c>
      <c r="V36" s="42" t="e" cm="1">
        <f t="array" ref="V36">_xlfn.LET(_xlpm.canal,INDEX($E$2:$P$2,COLUMN()-COLUMN($Q$2)+1),_xlpm.pos,SUMPRODUCT((Produção!$B$2:$B$109=$A36)*(Produção!$F$2:$F$109=_xlpm.canal)*ROW(Produção!$I$2:$I$109))-1,IF(_xlpm.pos&lt;1,"-------",IF(INDEX(Produção!$I$2:$I$109,_xlpm.pos)="","-------",INDEX(Produção!$I$2:$I$109,_xlpm.pos))))</f>
        <v>#REF!</v>
      </c>
      <c r="W36" s="42" t="e" cm="1">
        <f t="array" ref="W36">_xlfn.LET(_xlpm.canal,INDEX($E$2:$P$2,COLUMN()-COLUMN($Q$2)+1),_xlpm.pos,SUMPRODUCT((Produção!$B$2:$B$109=$A36)*(Produção!$F$2:$F$109=_xlpm.canal)*ROW(Produção!$I$2:$I$109))-1,IF(_xlpm.pos&lt;1,"-------",IF(INDEX(Produção!$I$2:$I$109,_xlpm.pos)="","-------",INDEX(Produção!$I$2:$I$109,_xlpm.pos))))</f>
        <v>#REF!</v>
      </c>
      <c r="X36" s="42" t="e" cm="1">
        <f t="array" ref="X36">_xlfn.LET(_xlpm.canal,INDEX($E$2:$P$2,COLUMN()-COLUMN($Q$2)+1),_xlpm.pos,SUMPRODUCT((Produção!$B$2:$B$109=$A36)*(Produção!$F$2:$F$109=_xlpm.canal)*ROW(Produção!$I$2:$I$109))-1,IF(_xlpm.pos&lt;1,"-------",IF(INDEX(Produção!$I$2:$I$109,_xlpm.pos)="","-------",INDEX(Produção!$I$2:$I$109,_xlpm.pos))))</f>
        <v>#REF!</v>
      </c>
      <c r="Y36" s="42" t="e" cm="1">
        <f t="array" ref="Y36">_xlfn.LET(_xlpm.canal,INDEX($E$2:$P$2,COLUMN()-COLUMN($Q$2)+1),_xlpm.pos,SUMPRODUCT((Produção!$B$2:$B$109=$A36)*(Produção!$F$2:$F$109=_xlpm.canal)*ROW(Produção!$I$2:$I$109))-1,IF(_xlpm.pos&lt;1,"-------",IF(INDEX(Produção!$I$2:$I$109,_xlpm.pos)="","-------",INDEX(Produção!$I$2:$I$109,_xlpm.pos))))</f>
        <v>#REF!</v>
      </c>
      <c r="Z36" s="42" t="e" cm="1">
        <f t="array" ref="Z36">_xlfn.LET(_xlpm.canal,INDEX($E$2:$P$2,COLUMN()-COLUMN($Q$2)+1),_xlpm.pos,SUMPRODUCT((Produção!$B$2:$B$109=$A36)*(Produção!$F$2:$F$109=_xlpm.canal)*ROW(Produção!$I$2:$I$109))-1,IF(_xlpm.pos&lt;1,"-------",IF(INDEX(Produção!$I$2:$I$109,_xlpm.pos)="","-------",INDEX(Produção!$I$2:$I$109,_xlpm.pos))))</f>
        <v>#REF!</v>
      </c>
      <c r="AA36" s="42" t="e" cm="1">
        <f t="array" ref="AA36">_xlfn.LET(_xlpm.canal,INDEX($E$2:$P$2,COLUMN()-COLUMN($Q$2)+1),_xlpm.pos,SUMPRODUCT((Produção!$B$2:$B$109=$A36)*(Produção!$F$2:$F$109=_xlpm.canal)*ROW(Produção!$I$2:$I$109))-1,IF(_xlpm.pos&lt;1,"-------",IF(INDEX(Produção!$I$2:$I$109,_xlpm.pos)="","-------",INDEX(Produção!$I$2:$I$109,_xlpm.pos))))</f>
        <v>#REF!</v>
      </c>
      <c r="AB36" s="42" t="e" cm="1">
        <f t="array" ref="AB36">_xlfn.LET(_xlpm.canal,INDEX($E$2:$P$2,COLUMN()-COLUMN($Q$2)+1),_xlpm.pos,SUMPRODUCT((Produção!$B$2:$B$109=$A36)*(Produção!$F$2:$F$109=_xlpm.canal)*ROW(Produção!$I$2:$I$109))-1,IF(_xlpm.pos&lt;1,"-------",IF(INDEX(Produção!$I$2:$I$109,_xlpm.pos)="","-------",INDEX(Produção!$I$2:$I$109,_xlpm.pos))))</f>
        <v>#REF!</v>
      </c>
      <c r="AD36" s="34" t="e" cm="1">
        <f t="array" ref="AD36">SUMPRODUCT(($Q36:$AB36&lt;&gt;"-------")*1)</f>
        <v>#REF!</v>
      </c>
      <c r="AE36" s="34">
        <f>RANK($D36,$D$3:$D$90)+COUNTIF($D$3:$D36,$D36)-1</f>
        <v>34</v>
      </c>
    </row>
    <row r="37" spans="1:31">
      <c r="A37" s="38" t="e" cm="1">
        <f t="array" ref="A37">INDEX(Produção!B$2:B$109,(ROW()-3)*12+1)</f>
        <v>#REF!</v>
      </c>
      <c r="B37" s="39" t="e" cm="1">
        <f t="array" ref="B37">INDEX(Produção!C$2:C$109,(ROW()-3)*12+1)</f>
        <v>#REF!</v>
      </c>
      <c r="C37" s="39" t="e" cm="1">
        <f t="array" ref="C37">INDEX(Produção!D$2:D$109,(ROW()-3)*12+1)</f>
        <v>#REF!</v>
      </c>
      <c r="D37" s="40">
        <f t="shared" si="0"/>
        <v>0</v>
      </c>
      <c r="E37" s="41">
        <f>SUMIFS(Produção!$G$2:$G$109,Produção!$B$2:$B$109,$A37,Produção!$F$2:$F$109,E$2)</f>
        <v>0</v>
      </c>
      <c r="F37" s="41">
        <f>SUMIFS(Produção!$G$2:$G$109,Produção!$B$2:$B$109,$A37,Produção!$F$2:$F$109,F$2)</f>
        <v>0</v>
      </c>
      <c r="G37" s="41">
        <f>SUMIFS(Produção!$G$2:$G$109,Produção!$B$2:$B$109,$A37,Produção!$F$2:$F$109,G$2)</f>
        <v>0</v>
      </c>
      <c r="H37" s="41">
        <f>SUMIFS(Produção!$G$2:$G$109,Produção!$B$2:$B$109,$A37,Produção!$F$2:$F$109,H$2)</f>
        <v>0</v>
      </c>
      <c r="I37" s="41">
        <f>SUMIFS(Produção!$G$2:$G$109,Produção!$B$2:$B$109,$A37,Produção!$F$2:$F$109,I$2)</f>
        <v>0</v>
      </c>
      <c r="J37" s="41">
        <f>SUMIFS(Produção!$G$2:$G$109,Produção!$B$2:$B$109,$A37,Produção!$F$2:$F$109,J$2)</f>
        <v>0</v>
      </c>
      <c r="K37" s="41">
        <f>SUMIFS(Produção!$G$2:$G$109,Produção!$B$2:$B$109,$A37,Produção!$F$2:$F$109,K$2)</f>
        <v>0</v>
      </c>
      <c r="L37" s="41">
        <f>SUMIFS(Produção!$G$2:$G$109,Produção!$B$2:$B$109,$A37,Produção!$F$2:$F$109,L$2)</f>
        <v>0</v>
      </c>
      <c r="M37" s="41">
        <f>SUMIFS(Produção!$G$2:$G$109,Produção!$B$2:$B$109,$A37,Produção!$F$2:$F$109,M$2)</f>
        <v>0</v>
      </c>
      <c r="N37" s="41">
        <f>SUMIFS(Produção!$G$2:$G$109,Produção!$B$2:$B$109,$A37,Produção!$F$2:$F$109,N$2)</f>
        <v>0</v>
      </c>
      <c r="O37" s="41">
        <f>SUMIFS(Produção!$G$2:$G$109,Produção!$B$2:$B$109,$A37,Produção!$F$2:$F$109,O$2)</f>
        <v>0</v>
      </c>
      <c r="P37" s="41">
        <f>SUMIFS(Produção!$G$2:$G$109,Produção!$B$2:$B$109,$A37,Produção!$F$2:$F$109,P$2)</f>
        <v>0</v>
      </c>
      <c r="Q37" s="42" t="e" cm="1">
        <f t="array" ref="Q37">_xlfn.LET(_xlpm.canal,INDEX($E$2:$P$2,COLUMN()-COLUMN($Q$2)+1),_xlpm.pos,SUMPRODUCT((Produção!$B$2:$B$109=$A37)*(Produção!$F$2:$F$109=_xlpm.canal)*ROW(Produção!$I$2:$I$109))-1,IF(_xlpm.pos&lt;1,"-------",IF(INDEX(Produção!$I$2:$I$109,_xlpm.pos)="","-------",INDEX(Produção!$I$2:$I$109,_xlpm.pos))))</f>
        <v>#REF!</v>
      </c>
      <c r="R37" s="42" t="e" cm="1">
        <f t="array" ref="R37">_xlfn.LET(_xlpm.canal,INDEX($E$2:$P$2,COLUMN()-COLUMN($Q$2)+1),_xlpm.pos,SUMPRODUCT((Produção!$B$2:$B$109=$A37)*(Produção!$F$2:$F$109=_xlpm.canal)*ROW(Produção!$I$2:$I$109))-1,IF(_xlpm.pos&lt;1,"-------",IF(INDEX(Produção!$I$2:$I$109,_xlpm.pos)="","-------",INDEX(Produção!$I$2:$I$109,_xlpm.pos))))</f>
        <v>#REF!</v>
      </c>
      <c r="S37" s="42" t="e" cm="1">
        <f t="array" ref="S37">_xlfn.LET(_xlpm.canal,INDEX($E$2:$P$2,COLUMN()-COLUMN($Q$2)+1),_xlpm.pos,SUMPRODUCT((Produção!$B$2:$B$109=$A37)*(Produção!$F$2:$F$109=_xlpm.canal)*ROW(Produção!$I$2:$I$109))-1,IF(_xlpm.pos&lt;1,"-------",IF(INDEX(Produção!$I$2:$I$109,_xlpm.pos)="","-------",INDEX(Produção!$I$2:$I$109,_xlpm.pos))))</f>
        <v>#REF!</v>
      </c>
      <c r="T37" s="42" t="e" cm="1">
        <f t="array" ref="T37">_xlfn.LET(_xlpm.canal,INDEX($E$2:$P$2,COLUMN()-COLUMN($Q$2)+1),_xlpm.pos,SUMPRODUCT((Produção!$B$2:$B$109=$A37)*(Produção!$F$2:$F$109=_xlpm.canal)*ROW(Produção!$I$2:$I$109))-1,IF(_xlpm.pos&lt;1,"-------",IF(INDEX(Produção!$I$2:$I$109,_xlpm.pos)="","-------",INDEX(Produção!$I$2:$I$109,_xlpm.pos))))</f>
        <v>#REF!</v>
      </c>
      <c r="U37" s="42" t="e" cm="1">
        <f t="array" ref="U37">_xlfn.LET(_xlpm.canal,INDEX($E$2:$P$2,COLUMN()-COLUMN($Q$2)+1),_xlpm.pos,SUMPRODUCT((Produção!$B$2:$B$109=$A37)*(Produção!$F$2:$F$109=_xlpm.canal)*ROW(Produção!$I$2:$I$109))-1,IF(_xlpm.pos&lt;1,"-------",IF(INDEX(Produção!$I$2:$I$109,_xlpm.pos)="","-------",INDEX(Produção!$I$2:$I$109,_xlpm.pos))))</f>
        <v>#REF!</v>
      </c>
      <c r="V37" s="42" t="e" cm="1">
        <f t="array" ref="V37">_xlfn.LET(_xlpm.canal,INDEX($E$2:$P$2,COLUMN()-COLUMN($Q$2)+1),_xlpm.pos,SUMPRODUCT((Produção!$B$2:$B$109=$A37)*(Produção!$F$2:$F$109=_xlpm.canal)*ROW(Produção!$I$2:$I$109))-1,IF(_xlpm.pos&lt;1,"-------",IF(INDEX(Produção!$I$2:$I$109,_xlpm.pos)="","-------",INDEX(Produção!$I$2:$I$109,_xlpm.pos))))</f>
        <v>#REF!</v>
      </c>
      <c r="W37" s="42" t="e" cm="1">
        <f t="array" ref="W37">_xlfn.LET(_xlpm.canal,INDEX($E$2:$P$2,COLUMN()-COLUMN($Q$2)+1),_xlpm.pos,SUMPRODUCT((Produção!$B$2:$B$109=$A37)*(Produção!$F$2:$F$109=_xlpm.canal)*ROW(Produção!$I$2:$I$109))-1,IF(_xlpm.pos&lt;1,"-------",IF(INDEX(Produção!$I$2:$I$109,_xlpm.pos)="","-------",INDEX(Produção!$I$2:$I$109,_xlpm.pos))))</f>
        <v>#REF!</v>
      </c>
      <c r="X37" s="42" t="e" cm="1">
        <f t="array" ref="X37">_xlfn.LET(_xlpm.canal,INDEX($E$2:$P$2,COLUMN()-COLUMN($Q$2)+1),_xlpm.pos,SUMPRODUCT((Produção!$B$2:$B$109=$A37)*(Produção!$F$2:$F$109=_xlpm.canal)*ROW(Produção!$I$2:$I$109))-1,IF(_xlpm.pos&lt;1,"-------",IF(INDEX(Produção!$I$2:$I$109,_xlpm.pos)="","-------",INDEX(Produção!$I$2:$I$109,_xlpm.pos))))</f>
        <v>#REF!</v>
      </c>
      <c r="Y37" s="42" t="e" cm="1">
        <f t="array" ref="Y37">_xlfn.LET(_xlpm.canal,INDEX($E$2:$P$2,COLUMN()-COLUMN($Q$2)+1),_xlpm.pos,SUMPRODUCT((Produção!$B$2:$B$109=$A37)*(Produção!$F$2:$F$109=_xlpm.canal)*ROW(Produção!$I$2:$I$109))-1,IF(_xlpm.pos&lt;1,"-------",IF(INDEX(Produção!$I$2:$I$109,_xlpm.pos)="","-------",INDEX(Produção!$I$2:$I$109,_xlpm.pos))))</f>
        <v>#REF!</v>
      </c>
      <c r="Z37" s="42" t="e" cm="1">
        <f t="array" ref="Z37">_xlfn.LET(_xlpm.canal,INDEX($E$2:$P$2,COLUMN()-COLUMN($Q$2)+1),_xlpm.pos,SUMPRODUCT((Produção!$B$2:$B$109=$A37)*(Produção!$F$2:$F$109=_xlpm.canal)*ROW(Produção!$I$2:$I$109))-1,IF(_xlpm.pos&lt;1,"-------",IF(INDEX(Produção!$I$2:$I$109,_xlpm.pos)="","-------",INDEX(Produção!$I$2:$I$109,_xlpm.pos))))</f>
        <v>#REF!</v>
      </c>
      <c r="AA37" s="42" t="e" cm="1">
        <f t="array" ref="AA37">_xlfn.LET(_xlpm.canal,INDEX($E$2:$P$2,COLUMN()-COLUMN($Q$2)+1),_xlpm.pos,SUMPRODUCT((Produção!$B$2:$B$109=$A37)*(Produção!$F$2:$F$109=_xlpm.canal)*ROW(Produção!$I$2:$I$109))-1,IF(_xlpm.pos&lt;1,"-------",IF(INDEX(Produção!$I$2:$I$109,_xlpm.pos)="","-------",INDEX(Produção!$I$2:$I$109,_xlpm.pos))))</f>
        <v>#REF!</v>
      </c>
      <c r="AB37" s="42" t="e" cm="1">
        <f t="array" ref="AB37">_xlfn.LET(_xlpm.canal,INDEX($E$2:$P$2,COLUMN()-COLUMN($Q$2)+1),_xlpm.pos,SUMPRODUCT((Produção!$B$2:$B$109=$A37)*(Produção!$F$2:$F$109=_xlpm.canal)*ROW(Produção!$I$2:$I$109))-1,IF(_xlpm.pos&lt;1,"-------",IF(INDEX(Produção!$I$2:$I$109,_xlpm.pos)="","-------",INDEX(Produção!$I$2:$I$109,_xlpm.pos))))</f>
        <v>#REF!</v>
      </c>
      <c r="AD37" s="34" t="e" cm="1">
        <f t="array" ref="AD37">SUMPRODUCT(($Q37:$AB37&lt;&gt;"-------")*1)</f>
        <v>#REF!</v>
      </c>
      <c r="AE37" s="34">
        <f>RANK($D37,$D$3:$D$90)+COUNTIF($D$3:$D37,$D37)-1</f>
        <v>35</v>
      </c>
    </row>
    <row r="38" spans="1:31">
      <c r="A38" s="38" t="e" cm="1">
        <f t="array" ref="A38">INDEX(Produção!B$2:B$109,(ROW()-3)*12+1)</f>
        <v>#REF!</v>
      </c>
      <c r="B38" s="39" t="e" cm="1">
        <f t="array" ref="B38">INDEX(Produção!C$2:C$109,(ROW()-3)*12+1)</f>
        <v>#REF!</v>
      </c>
      <c r="C38" s="39" t="e" cm="1">
        <f t="array" ref="C38">INDEX(Produção!D$2:D$109,(ROW()-3)*12+1)</f>
        <v>#REF!</v>
      </c>
      <c r="D38" s="40">
        <f t="shared" si="0"/>
        <v>0</v>
      </c>
      <c r="E38" s="41">
        <f>SUMIFS(Produção!$G$2:$G$109,Produção!$B$2:$B$109,$A38,Produção!$F$2:$F$109,E$2)</f>
        <v>0</v>
      </c>
      <c r="F38" s="41">
        <f>SUMIFS(Produção!$G$2:$G$109,Produção!$B$2:$B$109,$A38,Produção!$F$2:$F$109,F$2)</f>
        <v>0</v>
      </c>
      <c r="G38" s="41">
        <f>SUMIFS(Produção!$G$2:$G$109,Produção!$B$2:$B$109,$A38,Produção!$F$2:$F$109,G$2)</f>
        <v>0</v>
      </c>
      <c r="H38" s="41">
        <f>SUMIFS(Produção!$G$2:$G$109,Produção!$B$2:$B$109,$A38,Produção!$F$2:$F$109,H$2)</f>
        <v>0</v>
      </c>
      <c r="I38" s="41">
        <f>SUMIFS(Produção!$G$2:$G$109,Produção!$B$2:$B$109,$A38,Produção!$F$2:$F$109,I$2)</f>
        <v>0</v>
      </c>
      <c r="J38" s="41">
        <f>SUMIFS(Produção!$G$2:$G$109,Produção!$B$2:$B$109,$A38,Produção!$F$2:$F$109,J$2)</f>
        <v>0</v>
      </c>
      <c r="K38" s="41">
        <f>SUMIFS(Produção!$G$2:$G$109,Produção!$B$2:$B$109,$A38,Produção!$F$2:$F$109,K$2)</f>
        <v>0</v>
      </c>
      <c r="L38" s="41">
        <f>SUMIFS(Produção!$G$2:$G$109,Produção!$B$2:$B$109,$A38,Produção!$F$2:$F$109,L$2)</f>
        <v>0</v>
      </c>
      <c r="M38" s="41">
        <f>SUMIFS(Produção!$G$2:$G$109,Produção!$B$2:$B$109,$A38,Produção!$F$2:$F$109,M$2)</f>
        <v>0</v>
      </c>
      <c r="N38" s="41">
        <f>SUMIFS(Produção!$G$2:$G$109,Produção!$B$2:$B$109,$A38,Produção!$F$2:$F$109,N$2)</f>
        <v>0</v>
      </c>
      <c r="O38" s="41">
        <f>SUMIFS(Produção!$G$2:$G$109,Produção!$B$2:$B$109,$A38,Produção!$F$2:$F$109,O$2)</f>
        <v>0</v>
      </c>
      <c r="P38" s="41">
        <f>SUMIFS(Produção!$G$2:$G$109,Produção!$B$2:$B$109,$A38,Produção!$F$2:$F$109,P$2)</f>
        <v>0</v>
      </c>
      <c r="Q38" s="42" t="e" cm="1">
        <f t="array" ref="Q38">_xlfn.LET(_xlpm.canal,INDEX($E$2:$P$2,COLUMN()-COLUMN($Q$2)+1),_xlpm.pos,SUMPRODUCT((Produção!$B$2:$B$109=$A38)*(Produção!$F$2:$F$109=_xlpm.canal)*ROW(Produção!$I$2:$I$109))-1,IF(_xlpm.pos&lt;1,"-------",IF(INDEX(Produção!$I$2:$I$109,_xlpm.pos)="","-------",INDEX(Produção!$I$2:$I$109,_xlpm.pos))))</f>
        <v>#REF!</v>
      </c>
      <c r="R38" s="42" t="e" cm="1">
        <f t="array" ref="R38">_xlfn.LET(_xlpm.canal,INDEX($E$2:$P$2,COLUMN()-COLUMN($Q$2)+1),_xlpm.pos,SUMPRODUCT((Produção!$B$2:$B$109=$A38)*(Produção!$F$2:$F$109=_xlpm.canal)*ROW(Produção!$I$2:$I$109))-1,IF(_xlpm.pos&lt;1,"-------",IF(INDEX(Produção!$I$2:$I$109,_xlpm.pos)="","-------",INDEX(Produção!$I$2:$I$109,_xlpm.pos))))</f>
        <v>#REF!</v>
      </c>
      <c r="S38" s="42" t="e" cm="1">
        <f t="array" ref="S38">_xlfn.LET(_xlpm.canal,INDEX($E$2:$P$2,COLUMN()-COLUMN($Q$2)+1),_xlpm.pos,SUMPRODUCT((Produção!$B$2:$B$109=$A38)*(Produção!$F$2:$F$109=_xlpm.canal)*ROW(Produção!$I$2:$I$109))-1,IF(_xlpm.pos&lt;1,"-------",IF(INDEX(Produção!$I$2:$I$109,_xlpm.pos)="","-------",INDEX(Produção!$I$2:$I$109,_xlpm.pos))))</f>
        <v>#REF!</v>
      </c>
      <c r="T38" s="42" t="e" cm="1">
        <f t="array" ref="T38">_xlfn.LET(_xlpm.canal,INDEX($E$2:$P$2,COLUMN()-COLUMN($Q$2)+1),_xlpm.pos,SUMPRODUCT((Produção!$B$2:$B$109=$A38)*(Produção!$F$2:$F$109=_xlpm.canal)*ROW(Produção!$I$2:$I$109))-1,IF(_xlpm.pos&lt;1,"-------",IF(INDEX(Produção!$I$2:$I$109,_xlpm.pos)="","-------",INDEX(Produção!$I$2:$I$109,_xlpm.pos))))</f>
        <v>#REF!</v>
      </c>
      <c r="U38" s="42" t="e" cm="1">
        <f t="array" ref="U38">_xlfn.LET(_xlpm.canal,INDEX($E$2:$P$2,COLUMN()-COLUMN($Q$2)+1),_xlpm.pos,SUMPRODUCT((Produção!$B$2:$B$109=$A38)*(Produção!$F$2:$F$109=_xlpm.canal)*ROW(Produção!$I$2:$I$109))-1,IF(_xlpm.pos&lt;1,"-------",IF(INDEX(Produção!$I$2:$I$109,_xlpm.pos)="","-------",INDEX(Produção!$I$2:$I$109,_xlpm.pos))))</f>
        <v>#REF!</v>
      </c>
      <c r="V38" s="42" t="e" cm="1">
        <f t="array" ref="V38">_xlfn.LET(_xlpm.canal,INDEX($E$2:$P$2,COLUMN()-COLUMN($Q$2)+1),_xlpm.pos,SUMPRODUCT((Produção!$B$2:$B$109=$A38)*(Produção!$F$2:$F$109=_xlpm.canal)*ROW(Produção!$I$2:$I$109))-1,IF(_xlpm.pos&lt;1,"-------",IF(INDEX(Produção!$I$2:$I$109,_xlpm.pos)="","-------",INDEX(Produção!$I$2:$I$109,_xlpm.pos))))</f>
        <v>#REF!</v>
      </c>
      <c r="W38" s="42" t="e" cm="1">
        <f t="array" ref="W38">_xlfn.LET(_xlpm.canal,INDEX($E$2:$P$2,COLUMN()-COLUMN($Q$2)+1),_xlpm.pos,SUMPRODUCT((Produção!$B$2:$B$109=$A38)*(Produção!$F$2:$F$109=_xlpm.canal)*ROW(Produção!$I$2:$I$109))-1,IF(_xlpm.pos&lt;1,"-------",IF(INDEX(Produção!$I$2:$I$109,_xlpm.pos)="","-------",INDEX(Produção!$I$2:$I$109,_xlpm.pos))))</f>
        <v>#REF!</v>
      </c>
      <c r="X38" s="42" t="e" cm="1">
        <f t="array" ref="X38">_xlfn.LET(_xlpm.canal,INDEX($E$2:$P$2,COLUMN()-COLUMN($Q$2)+1),_xlpm.pos,SUMPRODUCT((Produção!$B$2:$B$109=$A38)*(Produção!$F$2:$F$109=_xlpm.canal)*ROW(Produção!$I$2:$I$109))-1,IF(_xlpm.pos&lt;1,"-------",IF(INDEX(Produção!$I$2:$I$109,_xlpm.pos)="","-------",INDEX(Produção!$I$2:$I$109,_xlpm.pos))))</f>
        <v>#REF!</v>
      </c>
      <c r="Y38" s="42" t="e" cm="1">
        <f t="array" ref="Y38">_xlfn.LET(_xlpm.canal,INDEX($E$2:$P$2,COLUMN()-COLUMN($Q$2)+1),_xlpm.pos,SUMPRODUCT((Produção!$B$2:$B$109=$A38)*(Produção!$F$2:$F$109=_xlpm.canal)*ROW(Produção!$I$2:$I$109))-1,IF(_xlpm.pos&lt;1,"-------",IF(INDEX(Produção!$I$2:$I$109,_xlpm.pos)="","-------",INDEX(Produção!$I$2:$I$109,_xlpm.pos))))</f>
        <v>#REF!</v>
      </c>
      <c r="Z38" s="42" t="e" cm="1">
        <f t="array" ref="Z38">_xlfn.LET(_xlpm.canal,INDEX($E$2:$P$2,COLUMN()-COLUMN($Q$2)+1),_xlpm.pos,SUMPRODUCT((Produção!$B$2:$B$109=$A38)*(Produção!$F$2:$F$109=_xlpm.canal)*ROW(Produção!$I$2:$I$109))-1,IF(_xlpm.pos&lt;1,"-------",IF(INDEX(Produção!$I$2:$I$109,_xlpm.pos)="","-------",INDEX(Produção!$I$2:$I$109,_xlpm.pos))))</f>
        <v>#REF!</v>
      </c>
      <c r="AA38" s="42" t="e" cm="1">
        <f t="array" ref="AA38">_xlfn.LET(_xlpm.canal,INDEX($E$2:$P$2,COLUMN()-COLUMN($Q$2)+1),_xlpm.pos,SUMPRODUCT((Produção!$B$2:$B$109=$A38)*(Produção!$F$2:$F$109=_xlpm.canal)*ROW(Produção!$I$2:$I$109))-1,IF(_xlpm.pos&lt;1,"-------",IF(INDEX(Produção!$I$2:$I$109,_xlpm.pos)="","-------",INDEX(Produção!$I$2:$I$109,_xlpm.pos))))</f>
        <v>#REF!</v>
      </c>
      <c r="AB38" s="42" t="e" cm="1">
        <f t="array" ref="AB38">_xlfn.LET(_xlpm.canal,INDEX($E$2:$P$2,COLUMN()-COLUMN($Q$2)+1),_xlpm.pos,SUMPRODUCT((Produção!$B$2:$B$109=$A38)*(Produção!$F$2:$F$109=_xlpm.canal)*ROW(Produção!$I$2:$I$109))-1,IF(_xlpm.pos&lt;1,"-------",IF(INDEX(Produção!$I$2:$I$109,_xlpm.pos)="","-------",INDEX(Produção!$I$2:$I$109,_xlpm.pos))))</f>
        <v>#REF!</v>
      </c>
      <c r="AD38" s="34" t="e" cm="1">
        <f t="array" ref="AD38">SUMPRODUCT(($Q38:$AB38&lt;&gt;"-------")*1)</f>
        <v>#REF!</v>
      </c>
      <c r="AE38" s="34">
        <f>RANK($D38,$D$3:$D$90)+COUNTIF($D$3:$D38,$D38)-1</f>
        <v>36</v>
      </c>
    </row>
    <row r="39" spans="1:31">
      <c r="A39" s="38" t="e" cm="1">
        <f t="array" ref="A39">INDEX(Produção!B$2:B$109,(ROW()-3)*12+1)</f>
        <v>#REF!</v>
      </c>
      <c r="B39" s="39" t="e" cm="1">
        <f t="array" ref="B39">INDEX(Produção!C$2:C$109,(ROW()-3)*12+1)</f>
        <v>#REF!</v>
      </c>
      <c r="C39" s="39" t="e" cm="1">
        <f t="array" ref="C39">INDEX(Produção!D$2:D$109,(ROW()-3)*12+1)</f>
        <v>#REF!</v>
      </c>
      <c r="D39" s="40">
        <f t="shared" si="0"/>
        <v>0</v>
      </c>
      <c r="E39" s="41">
        <f>SUMIFS(Produção!$G$2:$G$109,Produção!$B$2:$B$109,$A39,Produção!$F$2:$F$109,E$2)</f>
        <v>0</v>
      </c>
      <c r="F39" s="41">
        <f>SUMIFS(Produção!$G$2:$G$109,Produção!$B$2:$B$109,$A39,Produção!$F$2:$F$109,F$2)</f>
        <v>0</v>
      </c>
      <c r="G39" s="41">
        <f>SUMIFS(Produção!$G$2:$G$109,Produção!$B$2:$B$109,$A39,Produção!$F$2:$F$109,G$2)</f>
        <v>0</v>
      </c>
      <c r="H39" s="41">
        <f>SUMIFS(Produção!$G$2:$G$109,Produção!$B$2:$B$109,$A39,Produção!$F$2:$F$109,H$2)</f>
        <v>0</v>
      </c>
      <c r="I39" s="41">
        <f>SUMIFS(Produção!$G$2:$G$109,Produção!$B$2:$B$109,$A39,Produção!$F$2:$F$109,I$2)</f>
        <v>0</v>
      </c>
      <c r="J39" s="41">
        <f>SUMIFS(Produção!$G$2:$G$109,Produção!$B$2:$B$109,$A39,Produção!$F$2:$F$109,J$2)</f>
        <v>0</v>
      </c>
      <c r="K39" s="41">
        <f>SUMIFS(Produção!$G$2:$G$109,Produção!$B$2:$B$109,$A39,Produção!$F$2:$F$109,K$2)</f>
        <v>0</v>
      </c>
      <c r="L39" s="41">
        <f>SUMIFS(Produção!$G$2:$G$109,Produção!$B$2:$B$109,$A39,Produção!$F$2:$F$109,L$2)</f>
        <v>0</v>
      </c>
      <c r="M39" s="41">
        <f>SUMIFS(Produção!$G$2:$G$109,Produção!$B$2:$B$109,$A39,Produção!$F$2:$F$109,M$2)</f>
        <v>0</v>
      </c>
      <c r="N39" s="41">
        <f>SUMIFS(Produção!$G$2:$G$109,Produção!$B$2:$B$109,$A39,Produção!$F$2:$F$109,N$2)</f>
        <v>0</v>
      </c>
      <c r="O39" s="41">
        <f>SUMIFS(Produção!$G$2:$G$109,Produção!$B$2:$B$109,$A39,Produção!$F$2:$F$109,O$2)</f>
        <v>0</v>
      </c>
      <c r="P39" s="41">
        <f>SUMIFS(Produção!$G$2:$G$109,Produção!$B$2:$B$109,$A39,Produção!$F$2:$F$109,P$2)</f>
        <v>0</v>
      </c>
      <c r="Q39" s="42" t="e" cm="1">
        <f t="array" ref="Q39">_xlfn.LET(_xlpm.canal,INDEX($E$2:$P$2,COLUMN()-COLUMN($Q$2)+1),_xlpm.pos,SUMPRODUCT((Produção!$B$2:$B$109=$A39)*(Produção!$F$2:$F$109=_xlpm.canal)*ROW(Produção!$I$2:$I$109))-1,IF(_xlpm.pos&lt;1,"-------",IF(INDEX(Produção!$I$2:$I$109,_xlpm.pos)="","-------",INDEX(Produção!$I$2:$I$109,_xlpm.pos))))</f>
        <v>#REF!</v>
      </c>
      <c r="R39" s="42" t="e" cm="1">
        <f t="array" ref="R39">_xlfn.LET(_xlpm.canal,INDEX($E$2:$P$2,COLUMN()-COLUMN($Q$2)+1),_xlpm.pos,SUMPRODUCT((Produção!$B$2:$B$109=$A39)*(Produção!$F$2:$F$109=_xlpm.canal)*ROW(Produção!$I$2:$I$109))-1,IF(_xlpm.pos&lt;1,"-------",IF(INDEX(Produção!$I$2:$I$109,_xlpm.pos)="","-------",INDEX(Produção!$I$2:$I$109,_xlpm.pos))))</f>
        <v>#REF!</v>
      </c>
      <c r="S39" s="42" t="e" cm="1">
        <f t="array" ref="S39">_xlfn.LET(_xlpm.canal,INDEX($E$2:$P$2,COLUMN()-COLUMN($Q$2)+1),_xlpm.pos,SUMPRODUCT((Produção!$B$2:$B$109=$A39)*(Produção!$F$2:$F$109=_xlpm.canal)*ROW(Produção!$I$2:$I$109))-1,IF(_xlpm.pos&lt;1,"-------",IF(INDEX(Produção!$I$2:$I$109,_xlpm.pos)="","-------",INDEX(Produção!$I$2:$I$109,_xlpm.pos))))</f>
        <v>#REF!</v>
      </c>
      <c r="T39" s="42" t="e" cm="1">
        <f t="array" ref="T39">_xlfn.LET(_xlpm.canal,INDEX($E$2:$P$2,COLUMN()-COLUMN($Q$2)+1),_xlpm.pos,SUMPRODUCT((Produção!$B$2:$B$109=$A39)*(Produção!$F$2:$F$109=_xlpm.canal)*ROW(Produção!$I$2:$I$109))-1,IF(_xlpm.pos&lt;1,"-------",IF(INDEX(Produção!$I$2:$I$109,_xlpm.pos)="","-------",INDEX(Produção!$I$2:$I$109,_xlpm.pos))))</f>
        <v>#REF!</v>
      </c>
      <c r="U39" s="42" t="e" cm="1">
        <f t="array" ref="U39">_xlfn.LET(_xlpm.canal,INDEX($E$2:$P$2,COLUMN()-COLUMN($Q$2)+1),_xlpm.pos,SUMPRODUCT((Produção!$B$2:$B$109=$A39)*(Produção!$F$2:$F$109=_xlpm.canal)*ROW(Produção!$I$2:$I$109))-1,IF(_xlpm.pos&lt;1,"-------",IF(INDEX(Produção!$I$2:$I$109,_xlpm.pos)="","-------",INDEX(Produção!$I$2:$I$109,_xlpm.pos))))</f>
        <v>#REF!</v>
      </c>
      <c r="V39" s="42" t="e" cm="1">
        <f t="array" ref="V39">_xlfn.LET(_xlpm.canal,INDEX($E$2:$P$2,COLUMN()-COLUMN($Q$2)+1),_xlpm.pos,SUMPRODUCT((Produção!$B$2:$B$109=$A39)*(Produção!$F$2:$F$109=_xlpm.canal)*ROW(Produção!$I$2:$I$109))-1,IF(_xlpm.pos&lt;1,"-------",IF(INDEX(Produção!$I$2:$I$109,_xlpm.pos)="","-------",INDEX(Produção!$I$2:$I$109,_xlpm.pos))))</f>
        <v>#REF!</v>
      </c>
      <c r="W39" s="42" t="e" cm="1">
        <f t="array" ref="W39">_xlfn.LET(_xlpm.canal,INDEX($E$2:$P$2,COLUMN()-COLUMN($Q$2)+1),_xlpm.pos,SUMPRODUCT((Produção!$B$2:$B$109=$A39)*(Produção!$F$2:$F$109=_xlpm.canal)*ROW(Produção!$I$2:$I$109))-1,IF(_xlpm.pos&lt;1,"-------",IF(INDEX(Produção!$I$2:$I$109,_xlpm.pos)="","-------",INDEX(Produção!$I$2:$I$109,_xlpm.pos))))</f>
        <v>#REF!</v>
      </c>
      <c r="X39" s="42" t="e" cm="1">
        <f t="array" ref="X39">_xlfn.LET(_xlpm.canal,INDEX($E$2:$P$2,COLUMN()-COLUMN($Q$2)+1),_xlpm.pos,SUMPRODUCT((Produção!$B$2:$B$109=$A39)*(Produção!$F$2:$F$109=_xlpm.canal)*ROW(Produção!$I$2:$I$109))-1,IF(_xlpm.pos&lt;1,"-------",IF(INDEX(Produção!$I$2:$I$109,_xlpm.pos)="","-------",INDEX(Produção!$I$2:$I$109,_xlpm.pos))))</f>
        <v>#REF!</v>
      </c>
      <c r="Y39" s="42" t="e" cm="1">
        <f t="array" ref="Y39">_xlfn.LET(_xlpm.canal,INDEX($E$2:$P$2,COLUMN()-COLUMN($Q$2)+1),_xlpm.pos,SUMPRODUCT((Produção!$B$2:$B$109=$A39)*(Produção!$F$2:$F$109=_xlpm.canal)*ROW(Produção!$I$2:$I$109))-1,IF(_xlpm.pos&lt;1,"-------",IF(INDEX(Produção!$I$2:$I$109,_xlpm.pos)="","-------",INDEX(Produção!$I$2:$I$109,_xlpm.pos))))</f>
        <v>#REF!</v>
      </c>
      <c r="Z39" s="42" t="e" cm="1">
        <f t="array" ref="Z39">_xlfn.LET(_xlpm.canal,INDEX($E$2:$P$2,COLUMN()-COLUMN($Q$2)+1),_xlpm.pos,SUMPRODUCT((Produção!$B$2:$B$109=$A39)*(Produção!$F$2:$F$109=_xlpm.canal)*ROW(Produção!$I$2:$I$109))-1,IF(_xlpm.pos&lt;1,"-------",IF(INDEX(Produção!$I$2:$I$109,_xlpm.pos)="","-------",INDEX(Produção!$I$2:$I$109,_xlpm.pos))))</f>
        <v>#REF!</v>
      </c>
      <c r="AA39" s="42" t="e" cm="1">
        <f t="array" ref="AA39">_xlfn.LET(_xlpm.canal,INDEX($E$2:$P$2,COLUMN()-COLUMN($Q$2)+1),_xlpm.pos,SUMPRODUCT((Produção!$B$2:$B$109=$A39)*(Produção!$F$2:$F$109=_xlpm.canal)*ROW(Produção!$I$2:$I$109))-1,IF(_xlpm.pos&lt;1,"-------",IF(INDEX(Produção!$I$2:$I$109,_xlpm.pos)="","-------",INDEX(Produção!$I$2:$I$109,_xlpm.pos))))</f>
        <v>#REF!</v>
      </c>
      <c r="AB39" s="42" t="e" cm="1">
        <f t="array" ref="AB39">_xlfn.LET(_xlpm.canal,INDEX($E$2:$P$2,COLUMN()-COLUMN($Q$2)+1),_xlpm.pos,SUMPRODUCT((Produção!$B$2:$B$109=$A39)*(Produção!$F$2:$F$109=_xlpm.canal)*ROW(Produção!$I$2:$I$109))-1,IF(_xlpm.pos&lt;1,"-------",IF(INDEX(Produção!$I$2:$I$109,_xlpm.pos)="","-------",INDEX(Produção!$I$2:$I$109,_xlpm.pos))))</f>
        <v>#REF!</v>
      </c>
      <c r="AD39" s="34" t="e" cm="1">
        <f t="array" ref="AD39">SUMPRODUCT(($Q39:$AB39&lt;&gt;"-------")*1)</f>
        <v>#REF!</v>
      </c>
      <c r="AE39" s="34">
        <f>RANK($D39,$D$3:$D$90)+COUNTIF($D$3:$D39,$D39)-1</f>
        <v>37</v>
      </c>
    </row>
    <row r="40" spans="1:31">
      <c r="A40" s="38" t="e" cm="1">
        <f t="array" ref="A40">INDEX(Produção!B$2:B$109,(ROW()-3)*12+1)</f>
        <v>#REF!</v>
      </c>
      <c r="B40" s="39" t="e" cm="1">
        <f t="array" ref="B40">INDEX(Produção!C$2:C$109,(ROW()-3)*12+1)</f>
        <v>#REF!</v>
      </c>
      <c r="C40" s="39" t="e" cm="1">
        <f t="array" ref="C40">INDEX(Produção!D$2:D$109,(ROW()-3)*12+1)</f>
        <v>#REF!</v>
      </c>
      <c r="D40" s="40">
        <f t="shared" si="0"/>
        <v>0</v>
      </c>
      <c r="E40" s="41">
        <f>SUMIFS(Produção!$G$2:$G$109,Produção!$B$2:$B$109,$A40,Produção!$F$2:$F$109,E$2)</f>
        <v>0</v>
      </c>
      <c r="F40" s="41">
        <f>SUMIFS(Produção!$G$2:$G$109,Produção!$B$2:$B$109,$A40,Produção!$F$2:$F$109,F$2)</f>
        <v>0</v>
      </c>
      <c r="G40" s="41">
        <f>SUMIFS(Produção!$G$2:$G$109,Produção!$B$2:$B$109,$A40,Produção!$F$2:$F$109,G$2)</f>
        <v>0</v>
      </c>
      <c r="H40" s="41">
        <f>SUMIFS(Produção!$G$2:$G$109,Produção!$B$2:$B$109,$A40,Produção!$F$2:$F$109,H$2)</f>
        <v>0</v>
      </c>
      <c r="I40" s="41">
        <f>SUMIFS(Produção!$G$2:$G$109,Produção!$B$2:$B$109,$A40,Produção!$F$2:$F$109,I$2)</f>
        <v>0</v>
      </c>
      <c r="J40" s="41">
        <f>SUMIFS(Produção!$G$2:$G$109,Produção!$B$2:$B$109,$A40,Produção!$F$2:$F$109,J$2)</f>
        <v>0</v>
      </c>
      <c r="K40" s="41">
        <f>SUMIFS(Produção!$G$2:$G$109,Produção!$B$2:$B$109,$A40,Produção!$F$2:$F$109,K$2)</f>
        <v>0</v>
      </c>
      <c r="L40" s="41">
        <f>SUMIFS(Produção!$G$2:$G$109,Produção!$B$2:$B$109,$A40,Produção!$F$2:$F$109,L$2)</f>
        <v>0</v>
      </c>
      <c r="M40" s="41">
        <f>SUMIFS(Produção!$G$2:$G$109,Produção!$B$2:$B$109,$A40,Produção!$F$2:$F$109,M$2)</f>
        <v>0</v>
      </c>
      <c r="N40" s="41">
        <f>SUMIFS(Produção!$G$2:$G$109,Produção!$B$2:$B$109,$A40,Produção!$F$2:$F$109,N$2)</f>
        <v>0</v>
      </c>
      <c r="O40" s="41">
        <f>SUMIFS(Produção!$G$2:$G$109,Produção!$B$2:$B$109,$A40,Produção!$F$2:$F$109,O$2)</f>
        <v>0</v>
      </c>
      <c r="P40" s="41">
        <f>SUMIFS(Produção!$G$2:$G$109,Produção!$B$2:$B$109,$A40,Produção!$F$2:$F$109,P$2)</f>
        <v>0</v>
      </c>
      <c r="Q40" s="42" t="e" cm="1">
        <f t="array" ref="Q40">_xlfn.LET(_xlpm.canal,INDEX($E$2:$P$2,COLUMN()-COLUMN($Q$2)+1),_xlpm.pos,SUMPRODUCT((Produção!$B$2:$B$109=$A40)*(Produção!$F$2:$F$109=_xlpm.canal)*ROW(Produção!$I$2:$I$109))-1,IF(_xlpm.pos&lt;1,"-------",IF(INDEX(Produção!$I$2:$I$109,_xlpm.pos)="","-------",INDEX(Produção!$I$2:$I$109,_xlpm.pos))))</f>
        <v>#REF!</v>
      </c>
      <c r="R40" s="42" t="e" cm="1">
        <f t="array" ref="R40">_xlfn.LET(_xlpm.canal,INDEX($E$2:$P$2,COLUMN()-COLUMN($Q$2)+1),_xlpm.pos,SUMPRODUCT((Produção!$B$2:$B$109=$A40)*(Produção!$F$2:$F$109=_xlpm.canal)*ROW(Produção!$I$2:$I$109))-1,IF(_xlpm.pos&lt;1,"-------",IF(INDEX(Produção!$I$2:$I$109,_xlpm.pos)="","-------",INDEX(Produção!$I$2:$I$109,_xlpm.pos))))</f>
        <v>#REF!</v>
      </c>
      <c r="S40" s="42" t="e" cm="1">
        <f t="array" ref="S40">_xlfn.LET(_xlpm.canal,INDEX($E$2:$P$2,COLUMN()-COLUMN($Q$2)+1),_xlpm.pos,SUMPRODUCT((Produção!$B$2:$B$109=$A40)*(Produção!$F$2:$F$109=_xlpm.canal)*ROW(Produção!$I$2:$I$109))-1,IF(_xlpm.pos&lt;1,"-------",IF(INDEX(Produção!$I$2:$I$109,_xlpm.pos)="","-------",INDEX(Produção!$I$2:$I$109,_xlpm.pos))))</f>
        <v>#REF!</v>
      </c>
      <c r="T40" s="42" t="e" cm="1">
        <f t="array" ref="T40">_xlfn.LET(_xlpm.canal,INDEX($E$2:$P$2,COLUMN()-COLUMN($Q$2)+1),_xlpm.pos,SUMPRODUCT((Produção!$B$2:$B$109=$A40)*(Produção!$F$2:$F$109=_xlpm.canal)*ROW(Produção!$I$2:$I$109))-1,IF(_xlpm.pos&lt;1,"-------",IF(INDEX(Produção!$I$2:$I$109,_xlpm.pos)="","-------",INDEX(Produção!$I$2:$I$109,_xlpm.pos))))</f>
        <v>#REF!</v>
      </c>
      <c r="U40" s="42" t="e" cm="1">
        <f t="array" ref="U40">_xlfn.LET(_xlpm.canal,INDEX($E$2:$P$2,COLUMN()-COLUMN($Q$2)+1),_xlpm.pos,SUMPRODUCT((Produção!$B$2:$B$109=$A40)*(Produção!$F$2:$F$109=_xlpm.canal)*ROW(Produção!$I$2:$I$109))-1,IF(_xlpm.pos&lt;1,"-------",IF(INDEX(Produção!$I$2:$I$109,_xlpm.pos)="","-------",INDEX(Produção!$I$2:$I$109,_xlpm.pos))))</f>
        <v>#REF!</v>
      </c>
      <c r="V40" s="42" t="e" cm="1">
        <f t="array" ref="V40">_xlfn.LET(_xlpm.canal,INDEX($E$2:$P$2,COLUMN()-COLUMN($Q$2)+1),_xlpm.pos,SUMPRODUCT((Produção!$B$2:$B$109=$A40)*(Produção!$F$2:$F$109=_xlpm.canal)*ROW(Produção!$I$2:$I$109))-1,IF(_xlpm.pos&lt;1,"-------",IF(INDEX(Produção!$I$2:$I$109,_xlpm.pos)="","-------",INDEX(Produção!$I$2:$I$109,_xlpm.pos))))</f>
        <v>#REF!</v>
      </c>
      <c r="W40" s="42" t="e" cm="1">
        <f t="array" ref="W40">_xlfn.LET(_xlpm.canal,INDEX($E$2:$P$2,COLUMN()-COLUMN($Q$2)+1),_xlpm.pos,SUMPRODUCT((Produção!$B$2:$B$109=$A40)*(Produção!$F$2:$F$109=_xlpm.canal)*ROW(Produção!$I$2:$I$109))-1,IF(_xlpm.pos&lt;1,"-------",IF(INDEX(Produção!$I$2:$I$109,_xlpm.pos)="","-------",INDEX(Produção!$I$2:$I$109,_xlpm.pos))))</f>
        <v>#REF!</v>
      </c>
      <c r="X40" s="42" t="e" cm="1">
        <f t="array" ref="X40">_xlfn.LET(_xlpm.canal,INDEX($E$2:$P$2,COLUMN()-COLUMN($Q$2)+1),_xlpm.pos,SUMPRODUCT((Produção!$B$2:$B$109=$A40)*(Produção!$F$2:$F$109=_xlpm.canal)*ROW(Produção!$I$2:$I$109))-1,IF(_xlpm.pos&lt;1,"-------",IF(INDEX(Produção!$I$2:$I$109,_xlpm.pos)="","-------",INDEX(Produção!$I$2:$I$109,_xlpm.pos))))</f>
        <v>#REF!</v>
      </c>
      <c r="Y40" s="42" t="e" cm="1">
        <f t="array" ref="Y40">_xlfn.LET(_xlpm.canal,INDEX($E$2:$P$2,COLUMN()-COLUMN($Q$2)+1),_xlpm.pos,SUMPRODUCT((Produção!$B$2:$B$109=$A40)*(Produção!$F$2:$F$109=_xlpm.canal)*ROW(Produção!$I$2:$I$109))-1,IF(_xlpm.pos&lt;1,"-------",IF(INDEX(Produção!$I$2:$I$109,_xlpm.pos)="","-------",INDEX(Produção!$I$2:$I$109,_xlpm.pos))))</f>
        <v>#REF!</v>
      </c>
      <c r="Z40" s="42" t="e" cm="1">
        <f t="array" ref="Z40">_xlfn.LET(_xlpm.canal,INDEX($E$2:$P$2,COLUMN()-COLUMN($Q$2)+1),_xlpm.pos,SUMPRODUCT((Produção!$B$2:$B$109=$A40)*(Produção!$F$2:$F$109=_xlpm.canal)*ROW(Produção!$I$2:$I$109))-1,IF(_xlpm.pos&lt;1,"-------",IF(INDEX(Produção!$I$2:$I$109,_xlpm.pos)="","-------",INDEX(Produção!$I$2:$I$109,_xlpm.pos))))</f>
        <v>#REF!</v>
      </c>
      <c r="AA40" s="42" t="e" cm="1">
        <f t="array" ref="AA40">_xlfn.LET(_xlpm.canal,INDEX($E$2:$P$2,COLUMN()-COLUMN($Q$2)+1),_xlpm.pos,SUMPRODUCT((Produção!$B$2:$B$109=$A40)*(Produção!$F$2:$F$109=_xlpm.canal)*ROW(Produção!$I$2:$I$109))-1,IF(_xlpm.pos&lt;1,"-------",IF(INDEX(Produção!$I$2:$I$109,_xlpm.pos)="","-------",INDEX(Produção!$I$2:$I$109,_xlpm.pos))))</f>
        <v>#REF!</v>
      </c>
      <c r="AB40" s="42" t="e" cm="1">
        <f t="array" ref="AB40">_xlfn.LET(_xlpm.canal,INDEX($E$2:$P$2,COLUMN()-COLUMN($Q$2)+1),_xlpm.pos,SUMPRODUCT((Produção!$B$2:$B$109=$A40)*(Produção!$F$2:$F$109=_xlpm.canal)*ROW(Produção!$I$2:$I$109))-1,IF(_xlpm.pos&lt;1,"-------",IF(INDEX(Produção!$I$2:$I$109,_xlpm.pos)="","-------",INDEX(Produção!$I$2:$I$109,_xlpm.pos))))</f>
        <v>#REF!</v>
      </c>
      <c r="AD40" s="34" t="e" cm="1">
        <f t="array" ref="AD40">SUMPRODUCT(($Q40:$AB40&lt;&gt;"-------")*1)</f>
        <v>#REF!</v>
      </c>
      <c r="AE40" s="34">
        <f>RANK($D40,$D$3:$D$90)+COUNTIF($D$3:$D40,$D40)-1</f>
        <v>38</v>
      </c>
    </row>
    <row r="41" spans="1:31">
      <c r="A41" s="38" t="e" cm="1">
        <f t="array" ref="A41">INDEX(Produção!B$2:B$109,(ROW()-3)*12+1)</f>
        <v>#REF!</v>
      </c>
      <c r="B41" s="39" t="e" cm="1">
        <f t="array" ref="B41">INDEX(Produção!C$2:C$109,(ROW()-3)*12+1)</f>
        <v>#REF!</v>
      </c>
      <c r="C41" s="39" t="e" cm="1">
        <f t="array" ref="C41">INDEX(Produção!D$2:D$109,(ROW()-3)*12+1)</f>
        <v>#REF!</v>
      </c>
      <c r="D41" s="40">
        <f t="shared" si="0"/>
        <v>0</v>
      </c>
      <c r="E41" s="41">
        <f>SUMIFS(Produção!$G$2:$G$109,Produção!$B$2:$B$109,$A41,Produção!$F$2:$F$109,E$2)</f>
        <v>0</v>
      </c>
      <c r="F41" s="41">
        <f>SUMIFS(Produção!$G$2:$G$109,Produção!$B$2:$B$109,$A41,Produção!$F$2:$F$109,F$2)</f>
        <v>0</v>
      </c>
      <c r="G41" s="41">
        <f>SUMIFS(Produção!$G$2:$G$109,Produção!$B$2:$B$109,$A41,Produção!$F$2:$F$109,G$2)</f>
        <v>0</v>
      </c>
      <c r="H41" s="41">
        <f>SUMIFS(Produção!$G$2:$G$109,Produção!$B$2:$B$109,$A41,Produção!$F$2:$F$109,H$2)</f>
        <v>0</v>
      </c>
      <c r="I41" s="41">
        <f>SUMIFS(Produção!$G$2:$G$109,Produção!$B$2:$B$109,$A41,Produção!$F$2:$F$109,I$2)</f>
        <v>0</v>
      </c>
      <c r="J41" s="41">
        <f>SUMIFS(Produção!$G$2:$G$109,Produção!$B$2:$B$109,$A41,Produção!$F$2:$F$109,J$2)</f>
        <v>0</v>
      </c>
      <c r="K41" s="41">
        <f>SUMIFS(Produção!$G$2:$G$109,Produção!$B$2:$B$109,$A41,Produção!$F$2:$F$109,K$2)</f>
        <v>0</v>
      </c>
      <c r="L41" s="41">
        <f>SUMIFS(Produção!$G$2:$G$109,Produção!$B$2:$B$109,$A41,Produção!$F$2:$F$109,L$2)</f>
        <v>0</v>
      </c>
      <c r="M41" s="41">
        <f>SUMIFS(Produção!$G$2:$G$109,Produção!$B$2:$B$109,$A41,Produção!$F$2:$F$109,M$2)</f>
        <v>0</v>
      </c>
      <c r="N41" s="41">
        <f>SUMIFS(Produção!$G$2:$G$109,Produção!$B$2:$B$109,$A41,Produção!$F$2:$F$109,N$2)</f>
        <v>0</v>
      </c>
      <c r="O41" s="41">
        <f>SUMIFS(Produção!$G$2:$G$109,Produção!$B$2:$B$109,$A41,Produção!$F$2:$F$109,O$2)</f>
        <v>0</v>
      </c>
      <c r="P41" s="41">
        <f>SUMIFS(Produção!$G$2:$G$109,Produção!$B$2:$B$109,$A41,Produção!$F$2:$F$109,P$2)</f>
        <v>0</v>
      </c>
      <c r="Q41" s="42" t="e" cm="1">
        <f t="array" ref="Q41">_xlfn.LET(_xlpm.canal,INDEX($E$2:$P$2,COLUMN()-COLUMN($Q$2)+1),_xlpm.pos,SUMPRODUCT((Produção!$B$2:$B$109=$A41)*(Produção!$F$2:$F$109=_xlpm.canal)*ROW(Produção!$I$2:$I$109))-1,IF(_xlpm.pos&lt;1,"-------",IF(INDEX(Produção!$I$2:$I$109,_xlpm.pos)="","-------",INDEX(Produção!$I$2:$I$109,_xlpm.pos))))</f>
        <v>#REF!</v>
      </c>
      <c r="R41" s="42" t="e" cm="1">
        <f t="array" ref="R41">_xlfn.LET(_xlpm.canal,INDEX($E$2:$P$2,COLUMN()-COLUMN($Q$2)+1),_xlpm.pos,SUMPRODUCT((Produção!$B$2:$B$109=$A41)*(Produção!$F$2:$F$109=_xlpm.canal)*ROW(Produção!$I$2:$I$109))-1,IF(_xlpm.pos&lt;1,"-------",IF(INDEX(Produção!$I$2:$I$109,_xlpm.pos)="","-------",INDEX(Produção!$I$2:$I$109,_xlpm.pos))))</f>
        <v>#REF!</v>
      </c>
      <c r="S41" s="42" t="e" cm="1">
        <f t="array" ref="S41">_xlfn.LET(_xlpm.canal,INDEX($E$2:$P$2,COLUMN()-COLUMN($Q$2)+1),_xlpm.pos,SUMPRODUCT((Produção!$B$2:$B$109=$A41)*(Produção!$F$2:$F$109=_xlpm.canal)*ROW(Produção!$I$2:$I$109))-1,IF(_xlpm.pos&lt;1,"-------",IF(INDEX(Produção!$I$2:$I$109,_xlpm.pos)="","-------",INDEX(Produção!$I$2:$I$109,_xlpm.pos))))</f>
        <v>#REF!</v>
      </c>
      <c r="T41" s="42" t="e" cm="1">
        <f t="array" ref="T41">_xlfn.LET(_xlpm.canal,INDEX($E$2:$P$2,COLUMN()-COLUMN($Q$2)+1),_xlpm.pos,SUMPRODUCT((Produção!$B$2:$B$109=$A41)*(Produção!$F$2:$F$109=_xlpm.canal)*ROW(Produção!$I$2:$I$109))-1,IF(_xlpm.pos&lt;1,"-------",IF(INDEX(Produção!$I$2:$I$109,_xlpm.pos)="","-------",INDEX(Produção!$I$2:$I$109,_xlpm.pos))))</f>
        <v>#REF!</v>
      </c>
      <c r="U41" s="42" t="e" cm="1">
        <f t="array" ref="U41">_xlfn.LET(_xlpm.canal,INDEX($E$2:$P$2,COLUMN()-COLUMN($Q$2)+1),_xlpm.pos,SUMPRODUCT((Produção!$B$2:$B$109=$A41)*(Produção!$F$2:$F$109=_xlpm.canal)*ROW(Produção!$I$2:$I$109))-1,IF(_xlpm.pos&lt;1,"-------",IF(INDEX(Produção!$I$2:$I$109,_xlpm.pos)="","-------",INDEX(Produção!$I$2:$I$109,_xlpm.pos))))</f>
        <v>#REF!</v>
      </c>
      <c r="V41" s="42" t="e" cm="1">
        <f t="array" ref="V41">_xlfn.LET(_xlpm.canal,INDEX($E$2:$P$2,COLUMN()-COLUMN($Q$2)+1),_xlpm.pos,SUMPRODUCT((Produção!$B$2:$B$109=$A41)*(Produção!$F$2:$F$109=_xlpm.canal)*ROW(Produção!$I$2:$I$109))-1,IF(_xlpm.pos&lt;1,"-------",IF(INDEX(Produção!$I$2:$I$109,_xlpm.pos)="","-------",INDEX(Produção!$I$2:$I$109,_xlpm.pos))))</f>
        <v>#REF!</v>
      </c>
      <c r="W41" s="42" t="e" cm="1">
        <f t="array" ref="W41">_xlfn.LET(_xlpm.canal,INDEX($E$2:$P$2,COLUMN()-COLUMN($Q$2)+1),_xlpm.pos,SUMPRODUCT((Produção!$B$2:$B$109=$A41)*(Produção!$F$2:$F$109=_xlpm.canal)*ROW(Produção!$I$2:$I$109))-1,IF(_xlpm.pos&lt;1,"-------",IF(INDEX(Produção!$I$2:$I$109,_xlpm.pos)="","-------",INDEX(Produção!$I$2:$I$109,_xlpm.pos))))</f>
        <v>#REF!</v>
      </c>
      <c r="X41" s="42" t="e" cm="1">
        <f t="array" ref="X41">_xlfn.LET(_xlpm.canal,INDEX($E$2:$P$2,COLUMN()-COLUMN($Q$2)+1),_xlpm.pos,SUMPRODUCT((Produção!$B$2:$B$109=$A41)*(Produção!$F$2:$F$109=_xlpm.canal)*ROW(Produção!$I$2:$I$109))-1,IF(_xlpm.pos&lt;1,"-------",IF(INDEX(Produção!$I$2:$I$109,_xlpm.pos)="","-------",INDEX(Produção!$I$2:$I$109,_xlpm.pos))))</f>
        <v>#REF!</v>
      </c>
      <c r="Y41" s="42" t="e" cm="1">
        <f t="array" ref="Y41">_xlfn.LET(_xlpm.canal,INDEX($E$2:$P$2,COLUMN()-COLUMN($Q$2)+1),_xlpm.pos,SUMPRODUCT((Produção!$B$2:$B$109=$A41)*(Produção!$F$2:$F$109=_xlpm.canal)*ROW(Produção!$I$2:$I$109))-1,IF(_xlpm.pos&lt;1,"-------",IF(INDEX(Produção!$I$2:$I$109,_xlpm.pos)="","-------",INDEX(Produção!$I$2:$I$109,_xlpm.pos))))</f>
        <v>#REF!</v>
      </c>
      <c r="Z41" s="42" t="e" cm="1">
        <f t="array" ref="Z41">_xlfn.LET(_xlpm.canal,INDEX($E$2:$P$2,COLUMN()-COLUMN($Q$2)+1),_xlpm.pos,SUMPRODUCT((Produção!$B$2:$B$109=$A41)*(Produção!$F$2:$F$109=_xlpm.canal)*ROW(Produção!$I$2:$I$109))-1,IF(_xlpm.pos&lt;1,"-------",IF(INDEX(Produção!$I$2:$I$109,_xlpm.pos)="","-------",INDEX(Produção!$I$2:$I$109,_xlpm.pos))))</f>
        <v>#REF!</v>
      </c>
      <c r="AA41" s="42" t="e" cm="1">
        <f t="array" ref="AA41">_xlfn.LET(_xlpm.canal,INDEX($E$2:$P$2,COLUMN()-COLUMN($Q$2)+1),_xlpm.pos,SUMPRODUCT((Produção!$B$2:$B$109=$A41)*(Produção!$F$2:$F$109=_xlpm.canal)*ROW(Produção!$I$2:$I$109))-1,IF(_xlpm.pos&lt;1,"-------",IF(INDEX(Produção!$I$2:$I$109,_xlpm.pos)="","-------",INDEX(Produção!$I$2:$I$109,_xlpm.pos))))</f>
        <v>#REF!</v>
      </c>
      <c r="AB41" s="42" t="e" cm="1">
        <f t="array" ref="AB41">_xlfn.LET(_xlpm.canal,INDEX($E$2:$P$2,COLUMN()-COLUMN($Q$2)+1),_xlpm.pos,SUMPRODUCT((Produção!$B$2:$B$109=$A41)*(Produção!$F$2:$F$109=_xlpm.canal)*ROW(Produção!$I$2:$I$109))-1,IF(_xlpm.pos&lt;1,"-------",IF(INDEX(Produção!$I$2:$I$109,_xlpm.pos)="","-------",INDEX(Produção!$I$2:$I$109,_xlpm.pos))))</f>
        <v>#REF!</v>
      </c>
      <c r="AD41" s="34" t="e" cm="1">
        <f t="array" ref="AD41">SUMPRODUCT(($Q41:$AB41&lt;&gt;"-------")*1)</f>
        <v>#REF!</v>
      </c>
      <c r="AE41" s="34">
        <f>RANK($D41,$D$3:$D$90)+COUNTIF($D$3:$D41,$D41)-1</f>
        <v>39</v>
      </c>
    </row>
    <row r="42" spans="1:31">
      <c r="A42" s="38" t="e" cm="1">
        <f t="array" ref="A42">INDEX(Produção!B$2:B$109,(ROW()-3)*12+1)</f>
        <v>#REF!</v>
      </c>
      <c r="B42" s="39" t="e" cm="1">
        <f t="array" ref="B42">INDEX(Produção!C$2:C$109,(ROW()-3)*12+1)</f>
        <v>#REF!</v>
      </c>
      <c r="C42" s="39" t="e" cm="1">
        <f t="array" ref="C42">INDEX(Produção!D$2:D$109,(ROW()-3)*12+1)</f>
        <v>#REF!</v>
      </c>
      <c r="D42" s="40">
        <f t="shared" si="0"/>
        <v>0</v>
      </c>
      <c r="E42" s="41">
        <f>SUMIFS(Produção!$G$2:$G$109,Produção!$B$2:$B$109,$A42,Produção!$F$2:$F$109,E$2)</f>
        <v>0</v>
      </c>
      <c r="F42" s="41">
        <f>SUMIFS(Produção!$G$2:$G$109,Produção!$B$2:$B$109,$A42,Produção!$F$2:$F$109,F$2)</f>
        <v>0</v>
      </c>
      <c r="G42" s="41">
        <f>SUMIFS(Produção!$G$2:$G$109,Produção!$B$2:$B$109,$A42,Produção!$F$2:$F$109,G$2)</f>
        <v>0</v>
      </c>
      <c r="H42" s="41">
        <f>SUMIFS(Produção!$G$2:$G$109,Produção!$B$2:$B$109,$A42,Produção!$F$2:$F$109,H$2)</f>
        <v>0</v>
      </c>
      <c r="I42" s="41">
        <f>SUMIFS(Produção!$G$2:$G$109,Produção!$B$2:$B$109,$A42,Produção!$F$2:$F$109,I$2)</f>
        <v>0</v>
      </c>
      <c r="J42" s="41">
        <f>SUMIFS(Produção!$G$2:$G$109,Produção!$B$2:$B$109,$A42,Produção!$F$2:$F$109,J$2)</f>
        <v>0</v>
      </c>
      <c r="K42" s="41">
        <f>SUMIFS(Produção!$G$2:$G$109,Produção!$B$2:$B$109,$A42,Produção!$F$2:$F$109,K$2)</f>
        <v>0</v>
      </c>
      <c r="L42" s="41">
        <f>SUMIFS(Produção!$G$2:$G$109,Produção!$B$2:$B$109,$A42,Produção!$F$2:$F$109,L$2)</f>
        <v>0</v>
      </c>
      <c r="M42" s="41">
        <f>SUMIFS(Produção!$G$2:$G$109,Produção!$B$2:$B$109,$A42,Produção!$F$2:$F$109,M$2)</f>
        <v>0</v>
      </c>
      <c r="N42" s="41">
        <f>SUMIFS(Produção!$G$2:$G$109,Produção!$B$2:$B$109,$A42,Produção!$F$2:$F$109,N$2)</f>
        <v>0</v>
      </c>
      <c r="O42" s="41">
        <f>SUMIFS(Produção!$G$2:$G$109,Produção!$B$2:$B$109,$A42,Produção!$F$2:$F$109,O$2)</f>
        <v>0</v>
      </c>
      <c r="P42" s="41">
        <f>SUMIFS(Produção!$G$2:$G$109,Produção!$B$2:$B$109,$A42,Produção!$F$2:$F$109,P$2)</f>
        <v>0</v>
      </c>
      <c r="Q42" s="42" t="e" cm="1">
        <f t="array" ref="Q42">_xlfn.LET(_xlpm.canal,INDEX($E$2:$P$2,COLUMN()-COLUMN($Q$2)+1),_xlpm.pos,SUMPRODUCT((Produção!$B$2:$B$109=$A42)*(Produção!$F$2:$F$109=_xlpm.canal)*ROW(Produção!$I$2:$I$109))-1,IF(_xlpm.pos&lt;1,"-------",IF(INDEX(Produção!$I$2:$I$109,_xlpm.pos)="","-------",INDEX(Produção!$I$2:$I$109,_xlpm.pos))))</f>
        <v>#REF!</v>
      </c>
      <c r="R42" s="42" t="e" cm="1">
        <f t="array" ref="R42">_xlfn.LET(_xlpm.canal,INDEX($E$2:$P$2,COLUMN()-COLUMN($Q$2)+1),_xlpm.pos,SUMPRODUCT((Produção!$B$2:$B$109=$A42)*(Produção!$F$2:$F$109=_xlpm.canal)*ROW(Produção!$I$2:$I$109))-1,IF(_xlpm.pos&lt;1,"-------",IF(INDEX(Produção!$I$2:$I$109,_xlpm.pos)="","-------",INDEX(Produção!$I$2:$I$109,_xlpm.pos))))</f>
        <v>#REF!</v>
      </c>
      <c r="S42" s="42" t="e" cm="1">
        <f t="array" ref="S42">_xlfn.LET(_xlpm.canal,INDEX($E$2:$P$2,COLUMN()-COLUMN($Q$2)+1),_xlpm.pos,SUMPRODUCT((Produção!$B$2:$B$109=$A42)*(Produção!$F$2:$F$109=_xlpm.canal)*ROW(Produção!$I$2:$I$109))-1,IF(_xlpm.pos&lt;1,"-------",IF(INDEX(Produção!$I$2:$I$109,_xlpm.pos)="","-------",INDEX(Produção!$I$2:$I$109,_xlpm.pos))))</f>
        <v>#REF!</v>
      </c>
      <c r="T42" s="42" t="e" cm="1">
        <f t="array" ref="T42">_xlfn.LET(_xlpm.canal,INDEX($E$2:$P$2,COLUMN()-COLUMN($Q$2)+1),_xlpm.pos,SUMPRODUCT((Produção!$B$2:$B$109=$A42)*(Produção!$F$2:$F$109=_xlpm.canal)*ROW(Produção!$I$2:$I$109))-1,IF(_xlpm.pos&lt;1,"-------",IF(INDEX(Produção!$I$2:$I$109,_xlpm.pos)="","-------",INDEX(Produção!$I$2:$I$109,_xlpm.pos))))</f>
        <v>#REF!</v>
      </c>
      <c r="U42" s="42" t="e" cm="1">
        <f t="array" ref="U42">_xlfn.LET(_xlpm.canal,INDEX($E$2:$P$2,COLUMN()-COLUMN($Q$2)+1),_xlpm.pos,SUMPRODUCT((Produção!$B$2:$B$109=$A42)*(Produção!$F$2:$F$109=_xlpm.canal)*ROW(Produção!$I$2:$I$109))-1,IF(_xlpm.pos&lt;1,"-------",IF(INDEX(Produção!$I$2:$I$109,_xlpm.pos)="","-------",INDEX(Produção!$I$2:$I$109,_xlpm.pos))))</f>
        <v>#REF!</v>
      </c>
      <c r="V42" s="42" t="e" cm="1">
        <f t="array" ref="V42">_xlfn.LET(_xlpm.canal,INDEX($E$2:$P$2,COLUMN()-COLUMN($Q$2)+1),_xlpm.pos,SUMPRODUCT((Produção!$B$2:$B$109=$A42)*(Produção!$F$2:$F$109=_xlpm.canal)*ROW(Produção!$I$2:$I$109))-1,IF(_xlpm.pos&lt;1,"-------",IF(INDEX(Produção!$I$2:$I$109,_xlpm.pos)="","-------",INDEX(Produção!$I$2:$I$109,_xlpm.pos))))</f>
        <v>#REF!</v>
      </c>
      <c r="W42" s="42" t="e" cm="1">
        <f t="array" ref="W42">_xlfn.LET(_xlpm.canal,INDEX($E$2:$P$2,COLUMN()-COLUMN($Q$2)+1),_xlpm.pos,SUMPRODUCT((Produção!$B$2:$B$109=$A42)*(Produção!$F$2:$F$109=_xlpm.canal)*ROW(Produção!$I$2:$I$109))-1,IF(_xlpm.pos&lt;1,"-------",IF(INDEX(Produção!$I$2:$I$109,_xlpm.pos)="","-------",INDEX(Produção!$I$2:$I$109,_xlpm.pos))))</f>
        <v>#REF!</v>
      </c>
      <c r="X42" s="42" t="e" cm="1">
        <f t="array" ref="X42">_xlfn.LET(_xlpm.canal,INDEX($E$2:$P$2,COLUMN()-COLUMN($Q$2)+1),_xlpm.pos,SUMPRODUCT((Produção!$B$2:$B$109=$A42)*(Produção!$F$2:$F$109=_xlpm.canal)*ROW(Produção!$I$2:$I$109))-1,IF(_xlpm.pos&lt;1,"-------",IF(INDEX(Produção!$I$2:$I$109,_xlpm.pos)="","-------",INDEX(Produção!$I$2:$I$109,_xlpm.pos))))</f>
        <v>#REF!</v>
      </c>
      <c r="Y42" s="42" t="e" cm="1">
        <f t="array" ref="Y42">_xlfn.LET(_xlpm.canal,INDEX($E$2:$P$2,COLUMN()-COLUMN($Q$2)+1),_xlpm.pos,SUMPRODUCT((Produção!$B$2:$B$109=$A42)*(Produção!$F$2:$F$109=_xlpm.canal)*ROW(Produção!$I$2:$I$109))-1,IF(_xlpm.pos&lt;1,"-------",IF(INDEX(Produção!$I$2:$I$109,_xlpm.pos)="","-------",INDEX(Produção!$I$2:$I$109,_xlpm.pos))))</f>
        <v>#REF!</v>
      </c>
      <c r="Z42" s="42" t="e" cm="1">
        <f t="array" ref="Z42">_xlfn.LET(_xlpm.canal,INDEX($E$2:$P$2,COLUMN()-COLUMN($Q$2)+1),_xlpm.pos,SUMPRODUCT((Produção!$B$2:$B$109=$A42)*(Produção!$F$2:$F$109=_xlpm.canal)*ROW(Produção!$I$2:$I$109))-1,IF(_xlpm.pos&lt;1,"-------",IF(INDEX(Produção!$I$2:$I$109,_xlpm.pos)="","-------",INDEX(Produção!$I$2:$I$109,_xlpm.pos))))</f>
        <v>#REF!</v>
      </c>
      <c r="AA42" s="42" t="e" cm="1">
        <f t="array" ref="AA42">_xlfn.LET(_xlpm.canal,INDEX($E$2:$P$2,COLUMN()-COLUMN($Q$2)+1),_xlpm.pos,SUMPRODUCT((Produção!$B$2:$B$109=$A42)*(Produção!$F$2:$F$109=_xlpm.canal)*ROW(Produção!$I$2:$I$109))-1,IF(_xlpm.pos&lt;1,"-------",IF(INDEX(Produção!$I$2:$I$109,_xlpm.pos)="","-------",INDEX(Produção!$I$2:$I$109,_xlpm.pos))))</f>
        <v>#REF!</v>
      </c>
      <c r="AB42" s="42" t="e" cm="1">
        <f t="array" ref="AB42">_xlfn.LET(_xlpm.canal,INDEX($E$2:$P$2,COLUMN()-COLUMN($Q$2)+1),_xlpm.pos,SUMPRODUCT((Produção!$B$2:$B$109=$A42)*(Produção!$F$2:$F$109=_xlpm.canal)*ROW(Produção!$I$2:$I$109))-1,IF(_xlpm.pos&lt;1,"-------",IF(INDEX(Produção!$I$2:$I$109,_xlpm.pos)="","-------",INDEX(Produção!$I$2:$I$109,_xlpm.pos))))</f>
        <v>#REF!</v>
      </c>
      <c r="AD42" s="34" t="e" cm="1">
        <f t="array" ref="AD42">SUMPRODUCT(($Q42:$AB42&lt;&gt;"-------")*1)</f>
        <v>#REF!</v>
      </c>
      <c r="AE42" s="34">
        <f>RANK($D42,$D$3:$D$90)+COUNTIF($D$3:$D42,$D42)-1</f>
        <v>40</v>
      </c>
    </row>
    <row r="43" spans="1:31">
      <c r="A43" s="38" t="e" cm="1">
        <f t="array" ref="A43">INDEX(Produção!B$2:B$109,(ROW()-3)*12+1)</f>
        <v>#REF!</v>
      </c>
      <c r="B43" s="39" t="e" cm="1">
        <f t="array" ref="B43">INDEX(Produção!C$2:C$109,(ROW()-3)*12+1)</f>
        <v>#REF!</v>
      </c>
      <c r="C43" s="39" t="e" cm="1">
        <f t="array" ref="C43">INDEX(Produção!D$2:D$109,(ROW()-3)*12+1)</f>
        <v>#REF!</v>
      </c>
      <c r="D43" s="40">
        <f t="shared" si="0"/>
        <v>0</v>
      </c>
      <c r="E43" s="41">
        <f>SUMIFS(Produção!$G$2:$G$109,Produção!$B$2:$B$109,$A43,Produção!$F$2:$F$109,E$2)</f>
        <v>0</v>
      </c>
      <c r="F43" s="41">
        <f>SUMIFS(Produção!$G$2:$G$109,Produção!$B$2:$B$109,$A43,Produção!$F$2:$F$109,F$2)</f>
        <v>0</v>
      </c>
      <c r="G43" s="41">
        <f>SUMIFS(Produção!$G$2:$G$109,Produção!$B$2:$B$109,$A43,Produção!$F$2:$F$109,G$2)</f>
        <v>0</v>
      </c>
      <c r="H43" s="41">
        <f>SUMIFS(Produção!$G$2:$G$109,Produção!$B$2:$B$109,$A43,Produção!$F$2:$F$109,H$2)</f>
        <v>0</v>
      </c>
      <c r="I43" s="41">
        <f>SUMIFS(Produção!$G$2:$G$109,Produção!$B$2:$B$109,$A43,Produção!$F$2:$F$109,I$2)</f>
        <v>0</v>
      </c>
      <c r="J43" s="41">
        <f>SUMIFS(Produção!$G$2:$G$109,Produção!$B$2:$B$109,$A43,Produção!$F$2:$F$109,J$2)</f>
        <v>0</v>
      </c>
      <c r="K43" s="41">
        <f>SUMIFS(Produção!$G$2:$G$109,Produção!$B$2:$B$109,$A43,Produção!$F$2:$F$109,K$2)</f>
        <v>0</v>
      </c>
      <c r="L43" s="41">
        <f>SUMIFS(Produção!$G$2:$G$109,Produção!$B$2:$B$109,$A43,Produção!$F$2:$F$109,L$2)</f>
        <v>0</v>
      </c>
      <c r="M43" s="41">
        <f>SUMIFS(Produção!$G$2:$G$109,Produção!$B$2:$B$109,$A43,Produção!$F$2:$F$109,M$2)</f>
        <v>0</v>
      </c>
      <c r="N43" s="41">
        <f>SUMIFS(Produção!$G$2:$G$109,Produção!$B$2:$B$109,$A43,Produção!$F$2:$F$109,N$2)</f>
        <v>0</v>
      </c>
      <c r="O43" s="41">
        <f>SUMIFS(Produção!$G$2:$G$109,Produção!$B$2:$B$109,$A43,Produção!$F$2:$F$109,O$2)</f>
        <v>0</v>
      </c>
      <c r="P43" s="41">
        <f>SUMIFS(Produção!$G$2:$G$109,Produção!$B$2:$B$109,$A43,Produção!$F$2:$F$109,P$2)</f>
        <v>0</v>
      </c>
      <c r="Q43" s="42" t="e" cm="1">
        <f t="array" ref="Q43">_xlfn.LET(_xlpm.canal,INDEX($E$2:$P$2,COLUMN()-COLUMN($Q$2)+1),_xlpm.pos,SUMPRODUCT((Produção!$B$2:$B$109=$A43)*(Produção!$F$2:$F$109=_xlpm.canal)*ROW(Produção!$I$2:$I$109))-1,IF(_xlpm.pos&lt;1,"-------",IF(INDEX(Produção!$I$2:$I$109,_xlpm.pos)="","-------",INDEX(Produção!$I$2:$I$109,_xlpm.pos))))</f>
        <v>#REF!</v>
      </c>
      <c r="R43" s="42" t="e" cm="1">
        <f t="array" ref="R43">_xlfn.LET(_xlpm.canal,INDEX($E$2:$P$2,COLUMN()-COLUMN($Q$2)+1),_xlpm.pos,SUMPRODUCT((Produção!$B$2:$B$109=$A43)*(Produção!$F$2:$F$109=_xlpm.canal)*ROW(Produção!$I$2:$I$109))-1,IF(_xlpm.pos&lt;1,"-------",IF(INDEX(Produção!$I$2:$I$109,_xlpm.pos)="","-------",INDEX(Produção!$I$2:$I$109,_xlpm.pos))))</f>
        <v>#REF!</v>
      </c>
      <c r="S43" s="42" t="e" cm="1">
        <f t="array" ref="S43">_xlfn.LET(_xlpm.canal,INDEX($E$2:$P$2,COLUMN()-COLUMN($Q$2)+1),_xlpm.pos,SUMPRODUCT((Produção!$B$2:$B$109=$A43)*(Produção!$F$2:$F$109=_xlpm.canal)*ROW(Produção!$I$2:$I$109))-1,IF(_xlpm.pos&lt;1,"-------",IF(INDEX(Produção!$I$2:$I$109,_xlpm.pos)="","-------",INDEX(Produção!$I$2:$I$109,_xlpm.pos))))</f>
        <v>#REF!</v>
      </c>
      <c r="T43" s="42" t="e" cm="1">
        <f t="array" ref="T43">_xlfn.LET(_xlpm.canal,INDEX($E$2:$P$2,COLUMN()-COLUMN($Q$2)+1),_xlpm.pos,SUMPRODUCT((Produção!$B$2:$B$109=$A43)*(Produção!$F$2:$F$109=_xlpm.canal)*ROW(Produção!$I$2:$I$109))-1,IF(_xlpm.pos&lt;1,"-------",IF(INDEX(Produção!$I$2:$I$109,_xlpm.pos)="","-------",INDEX(Produção!$I$2:$I$109,_xlpm.pos))))</f>
        <v>#REF!</v>
      </c>
      <c r="U43" s="42" t="e" cm="1">
        <f t="array" ref="U43">_xlfn.LET(_xlpm.canal,INDEX($E$2:$P$2,COLUMN()-COLUMN($Q$2)+1),_xlpm.pos,SUMPRODUCT((Produção!$B$2:$B$109=$A43)*(Produção!$F$2:$F$109=_xlpm.canal)*ROW(Produção!$I$2:$I$109))-1,IF(_xlpm.pos&lt;1,"-------",IF(INDEX(Produção!$I$2:$I$109,_xlpm.pos)="","-------",INDEX(Produção!$I$2:$I$109,_xlpm.pos))))</f>
        <v>#REF!</v>
      </c>
      <c r="V43" s="42" t="e" cm="1">
        <f t="array" ref="V43">_xlfn.LET(_xlpm.canal,INDEX($E$2:$P$2,COLUMN()-COLUMN($Q$2)+1),_xlpm.pos,SUMPRODUCT((Produção!$B$2:$B$109=$A43)*(Produção!$F$2:$F$109=_xlpm.canal)*ROW(Produção!$I$2:$I$109))-1,IF(_xlpm.pos&lt;1,"-------",IF(INDEX(Produção!$I$2:$I$109,_xlpm.pos)="","-------",INDEX(Produção!$I$2:$I$109,_xlpm.pos))))</f>
        <v>#REF!</v>
      </c>
      <c r="W43" s="42" t="e" cm="1">
        <f t="array" ref="W43">_xlfn.LET(_xlpm.canal,INDEX($E$2:$P$2,COLUMN()-COLUMN($Q$2)+1),_xlpm.pos,SUMPRODUCT((Produção!$B$2:$B$109=$A43)*(Produção!$F$2:$F$109=_xlpm.canal)*ROW(Produção!$I$2:$I$109))-1,IF(_xlpm.pos&lt;1,"-------",IF(INDEX(Produção!$I$2:$I$109,_xlpm.pos)="","-------",INDEX(Produção!$I$2:$I$109,_xlpm.pos))))</f>
        <v>#REF!</v>
      </c>
      <c r="X43" s="42" t="e" cm="1">
        <f t="array" ref="X43">_xlfn.LET(_xlpm.canal,INDEX($E$2:$P$2,COLUMN()-COLUMN($Q$2)+1),_xlpm.pos,SUMPRODUCT((Produção!$B$2:$B$109=$A43)*(Produção!$F$2:$F$109=_xlpm.canal)*ROW(Produção!$I$2:$I$109))-1,IF(_xlpm.pos&lt;1,"-------",IF(INDEX(Produção!$I$2:$I$109,_xlpm.pos)="","-------",INDEX(Produção!$I$2:$I$109,_xlpm.pos))))</f>
        <v>#REF!</v>
      </c>
      <c r="Y43" s="42" t="e" cm="1">
        <f t="array" ref="Y43">_xlfn.LET(_xlpm.canal,INDEX($E$2:$P$2,COLUMN()-COLUMN($Q$2)+1),_xlpm.pos,SUMPRODUCT((Produção!$B$2:$B$109=$A43)*(Produção!$F$2:$F$109=_xlpm.canal)*ROW(Produção!$I$2:$I$109))-1,IF(_xlpm.pos&lt;1,"-------",IF(INDEX(Produção!$I$2:$I$109,_xlpm.pos)="","-------",INDEX(Produção!$I$2:$I$109,_xlpm.pos))))</f>
        <v>#REF!</v>
      </c>
      <c r="Z43" s="42" t="e" cm="1">
        <f t="array" ref="Z43">_xlfn.LET(_xlpm.canal,INDEX($E$2:$P$2,COLUMN()-COLUMN($Q$2)+1),_xlpm.pos,SUMPRODUCT((Produção!$B$2:$B$109=$A43)*(Produção!$F$2:$F$109=_xlpm.canal)*ROW(Produção!$I$2:$I$109))-1,IF(_xlpm.pos&lt;1,"-------",IF(INDEX(Produção!$I$2:$I$109,_xlpm.pos)="","-------",INDEX(Produção!$I$2:$I$109,_xlpm.pos))))</f>
        <v>#REF!</v>
      </c>
      <c r="AA43" s="42" t="e" cm="1">
        <f t="array" ref="AA43">_xlfn.LET(_xlpm.canal,INDEX($E$2:$P$2,COLUMN()-COLUMN($Q$2)+1),_xlpm.pos,SUMPRODUCT((Produção!$B$2:$B$109=$A43)*(Produção!$F$2:$F$109=_xlpm.canal)*ROW(Produção!$I$2:$I$109))-1,IF(_xlpm.pos&lt;1,"-------",IF(INDEX(Produção!$I$2:$I$109,_xlpm.pos)="","-------",INDEX(Produção!$I$2:$I$109,_xlpm.pos))))</f>
        <v>#REF!</v>
      </c>
      <c r="AB43" s="42" t="e" cm="1">
        <f t="array" ref="AB43">_xlfn.LET(_xlpm.canal,INDEX($E$2:$P$2,COLUMN()-COLUMN($Q$2)+1),_xlpm.pos,SUMPRODUCT((Produção!$B$2:$B$109=$A43)*(Produção!$F$2:$F$109=_xlpm.canal)*ROW(Produção!$I$2:$I$109))-1,IF(_xlpm.pos&lt;1,"-------",IF(INDEX(Produção!$I$2:$I$109,_xlpm.pos)="","-------",INDEX(Produção!$I$2:$I$109,_xlpm.pos))))</f>
        <v>#REF!</v>
      </c>
      <c r="AD43" s="34" t="e" cm="1">
        <f t="array" ref="AD43">SUMPRODUCT(($Q43:$AB43&lt;&gt;"-------")*1)</f>
        <v>#REF!</v>
      </c>
      <c r="AE43" s="34">
        <f>RANK($D43,$D$3:$D$90)+COUNTIF($D$3:$D43,$D43)-1</f>
        <v>41</v>
      </c>
    </row>
    <row r="44" spans="1:31">
      <c r="A44" s="38" t="e" cm="1">
        <f t="array" ref="A44">INDEX(Produção!B$2:B$109,(ROW()-3)*12+1)</f>
        <v>#REF!</v>
      </c>
      <c r="B44" s="39" t="e" cm="1">
        <f t="array" ref="B44">INDEX(Produção!C$2:C$109,(ROW()-3)*12+1)</f>
        <v>#REF!</v>
      </c>
      <c r="C44" s="39" t="e" cm="1">
        <f t="array" ref="C44">INDEX(Produção!D$2:D$109,(ROW()-3)*12+1)</f>
        <v>#REF!</v>
      </c>
      <c r="D44" s="40">
        <f t="shared" si="0"/>
        <v>0</v>
      </c>
      <c r="E44" s="41">
        <f>SUMIFS(Produção!$G$2:$G$109,Produção!$B$2:$B$109,$A44,Produção!$F$2:$F$109,E$2)</f>
        <v>0</v>
      </c>
      <c r="F44" s="41">
        <f>SUMIFS(Produção!$G$2:$G$109,Produção!$B$2:$B$109,$A44,Produção!$F$2:$F$109,F$2)</f>
        <v>0</v>
      </c>
      <c r="G44" s="41">
        <f>SUMIFS(Produção!$G$2:$G$109,Produção!$B$2:$B$109,$A44,Produção!$F$2:$F$109,G$2)</f>
        <v>0</v>
      </c>
      <c r="H44" s="41">
        <f>SUMIFS(Produção!$G$2:$G$109,Produção!$B$2:$B$109,$A44,Produção!$F$2:$F$109,H$2)</f>
        <v>0</v>
      </c>
      <c r="I44" s="41">
        <f>SUMIFS(Produção!$G$2:$G$109,Produção!$B$2:$B$109,$A44,Produção!$F$2:$F$109,I$2)</f>
        <v>0</v>
      </c>
      <c r="J44" s="41">
        <f>SUMIFS(Produção!$G$2:$G$109,Produção!$B$2:$B$109,$A44,Produção!$F$2:$F$109,J$2)</f>
        <v>0</v>
      </c>
      <c r="K44" s="41">
        <f>SUMIFS(Produção!$G$2:$G$109,Produção!$B$2:$B$109,$A44,Produção!$F$2:$F$109,K$2)</f>
        <v>0</v>
      </c>
      <c r="L44" s="41">
        <f>SUMIFS(Produção!$G$2:$G$109,Produção!$B$2:$B$109,$A44,Produção!$F$2:$F$109,L$2)</f>
        <v>0</v>
      </c>
      <c r="M44" s="41">
        <f>SUMIFS(Produção!$G$2:$G$109,Produção!$B$2:$B$109,$A44,Produção!$F$2:$F$109,M$2)</f>
        <v>0</v>
      </c>
      <c r="N44" s="41">
        <f>SUMIFS(Produção!$G$2:$G$109,Produção!$B$2:$B$109,$A44,Produção!$F$2:$F$109,N$2)</f>
        <v>0</v>
      </c>
      <c r="O44" s="41">
        <f>SUMIFS(Produção!$G$2:$G$109,Produção!$B$2:$B$109,$A44,Produção!$F$2:$F$109,O$2)</f>
        <v>0</v>
      </c>
      <c r="P44" s="41">
        <f>SUMIFS(Produção!$G$2:$G$109,Produção!$B$2:$B$109,$A44,Produção!$F$2:$F$109,P$2)</f>
        <v>0</v>
      </c>
      <c r="Q44" s="42" t="e" cm="1">
        <f t="array" ref="Q44">_xlfn.LET(_xlpm.canal,INDEX($E$2:$P$2,COLUMN()-COLUMN($Q$2)+1),_xlpm.pos,SUMPRODUCT((Produção!$B$2:$B$109=$A44)*(Produção!$F$2:$F$109=_xlpm.canal)*ROW(Produção!$I$2:$I$109))-1,IF(_xlpm.pos&lt;1,"-------",IF(INDEX(Produção!$I$2:$I$109,_xlpm.pos)="","-------",INDEX(Produção!$I$2:$I$109,_xlpm.pos))))</f>
        <v>#REF!</v>
      </c>
      <c r="R44" s="42" t="e" cm="1">
        <f t="array" ref="R44">_xlfn.LET(_xlpm.canal,INDEX($E$2:$P$2,COLUMN()-COLUMN($Q$2)+1),_xlpm.pos,SUMPRODUCT((Produção!$B$2:$B$109=$A44)*(Produção!$F$2:$F$109=_xlpm.canal)*ROW(Produção!$I$2:$I$109))-1,IF(_xlpm.pos&lt;1,"-------",IF(INDEX(Produção!$I$2:$I$109,_xlpm.pos)="","-------",INDEX(Produção!$I$2:$I$109,_xlpm.pos))))</f>
        <v>#REF!</v>
      </c>
      <c r="S44" s="42" t="e" cm="1">
        <f t="array" ref="S44">_xlfn.LET(_xlpm.canal,INDEX($E$2:$P$2,COLUMN()-COLUMN($Q$2)+1),_xlpm.pos,SUMPRODUCT((Produção!$B$2:$B$109=$A44)*(Produção!$F$2:$F$109=_xlpm.canal)*ROW(Produção!$I$2:$I$109))-1,IF(_xlpm.pos&lt;1,"-------",IF(INDEX(Produção!$I$2:$I$109,_xlpm.pos)="","-------",INDEX(Produção!$I$2:$I$109,_xlpm.pos))))</f>
        <v>#REF!</v>
      </c>
      <c r="T44" s="42" t="e" cm="1">
        <f t="array" ref="T44">_xlfn.LET(_xlpm.canal,INDEX($E$2:$P$2,COLUMN()-COLUMN($Q$2)+1),_xlpm.pos,SUMPRODUCT((Produção!$B$2:$B$109=$A44)*(Produção!$F$2:$F$109=_xlpm.canal)*ROW(Produção!$I$2:$I$109))-1,IF(_xlpm.pos&lt;1,"-------",IF(INDEX(Produção!$I$2:$I$109,_xlpm.pos)="","-------",INDEX(Produção!$I$2:$I$109,_xlpm.pos))))</f>
        <v>#REF!</v>
      </c>
      <c r="U44" s="42" t="e" cm="1">
        <f t="array" ref="U44">_xlfn.LET(_xlpm.canal,INDEX($E$2:$P$2,COLUMN()-COLUMN($Q$2)+1),_xlpm.pos,SUMPRODUCT((Produção!$B$2:$B$109=$A44)*(Produção!$F$2:$F$109=_xlpm.canal)*ROW(Produção!$I$2:$I$109))-1,IF(_xlpm.pos&lt;1,"-------",IF(INDEX(Produção!$I$2:$I$109,_xlpm.pos)="","-------",INDEX(Produção!$I$2:$I$109,_xlpm.pos))))</f>
        <v>#REF!</v>
      </c>
      <c r="V44" s="42" t="e" cm="1">
        <f t="array" ref="V44">_xlfn.LET(_xlpm.canal,INDEX($E$2:$P$2,COLUMN()-COLUMN($Q$2)+1),_xlpm.pos,SUMPRODUCT((Produção!$B$2:$B$109=$A44)*(Produção!$F$2:$F$109=_xlpm.canal)*ROW(Produção!$I$2:$I$109))-1,IF(_xlpm.pos&lt;1,"-------",IF(INDEX(Produção!$I$2:$I$109,_xlpm.pos)="","-------",INDEX(Produção!$I$2:$I$109,_xlpm.pos))))</f>
        <v>#REF!</v>
      </c>
      <c r="W44" s="42" t="e" cm="1">
        <f t="array" ref="W44">_xlfn.LET(_xlpm.canal,INDEX($E$2:$P$2,COLUMN()-COLUMN($Q$2)+1),_xlpm.pos,SUMPRODUCT((Produção!$B$2:$B$109=$A44)*(Produção!$F$2:$F$109=_xlpm.canal)*ROW(Produção!$I$2:$I$109))-1,IF(_xlpm.pos&lt;1,"-------",IF(INDEX(Produção!$I$2:$I$109,_xlpm.pos)="","-------",INDEX(Produção!$I$2:$I$109,_xlpm.pos))))</f>
        <v>#REF!</v>
      </c>
      <c r="X44" s="42" t="e" cm="1">
        <f t="array" ref="X44">_xlfn.LET(_xlpm.canal,INDEX($E$2:$P$2,COLUMN()-COLUMN($Q$2)+1),_xlpm.pos,SUMPRODUCT((Produção!$B$2:$B$109=$A44)*(Produção!$F$2:$F$109=_xlpm.canal)*ROW(Produção!$I$2:$I$109))-1,IF(_xlpm.pos&lt;1,"-------",IF(INDEX(Produção!$I$2:$I$109,_xlpm.pos)="","-------",INDEX(Produção!$I$2:$I$109,_xlpm.pos))))</f>
        <v>#REF!</v>
      </c>
      <c r="Y44" s="42" t="e" cm="1">
        <f t="array" ref="Y44">_xlfn.LET(_xlpm.canal,INDEX($E$2:$P$2,COLUMN()-COLUMN($Q$2)+1),_xlpm.pos,SUMPRODUCT((Produção!$B$2:$B$109=$A44)*(Produção!$F$2:$F$109=_xlpm.canal)*ROW(Produção!$I$2:$I$109))-1,IF(_xlpm.pos&lt;1,"-------",IF(INDEX(Produção!$I$2:$I$109,_xlpm.pos)="","-------",INDEX(Produção!$I$2:$I$109,_xlpm.pos))))</f>
        <v>#REF!</v>
      </c>
      <c r="Z44" s="42" t="e" cm="1">
        <f t="array" ref="Z44">_xlfn.LET(_xlpm.canal,INDEX($E$2:$P$2,COLUMN()-COLUMN($Q$2)+1),_xlpm.pos,SUMPRODUCT((Produção!$B$2:$B$109=$A44)*(Produção!$F$2:$F$109=_xlpm.canal)*ROW(Produção!$I$2:$I$109))-1,IF(_xlpm.pos&lt;1,"-------",IF(INDEX(Produção!$I$2:$I$109,_xlpm.pos)="","-------",INDEX(Produção!$I$2:$I$109,_xlpm.pos))))</f>
        <v>#REF!</v>
      </c>
      <c r="AA44" s="42" t="e" cm="1">
        <f t="array" ref="AA44">_xlfn.LET(_xlpm.canal,INDEX($E$2:$P$2,COLUMN()-COLUMN($Q$2)+1),_xlpm.pos,SUMPRODUCT((Produção!$B$2:$B$109=$A44)*(Produção!$F$2:$F$109=_xlpm.canal)*ROW(Produção!$I$2:$I$109))-1,IF(_xlpm.pos&lt;1,"-------",IF(INDEX(Produção!$I$2:$I$109,_xlpm.pos)="","-------",INDEX(Produção!$I$2:$I$109,_xlpm.pos))))</f>
        <v>#REF!</v>
      </c>
      <c r="AB44" s="42" t="e" cm="1">
        <f t="array" ref="AB44">_xlfn.LET(_xlpm.canal,INDEX($E$2:$P$2,COLUMN()-COLUMN($Q$2)+1),_xlpm.pos,SUMPRODUCT((Produção!$B$2:$B$109=$A44)*(Produção!$F$2:$F$109=_xlpm.canal)*ROW(Produção!$I$2:$I$109))-1,IF(_xlpm.pos&lt;1,"-------",IF(INDEX(Produção!$I$2:$I$109,_xlpm.pos)="","-------",INDEX(Produção!$I$2:$I$109,_xlpm.pos))))</f>
        <v>#REF!</v>
      </c>
      <c r="AD44" s="34" t="e" cm="1">
        <f t="array" ref="AD44">SUMPRODUCT(($Q44:$AB44&lt;&gt;"-------")*1)</f>
        <v>#REF!</v>
      </c>
      <c r="AE44" s="34">
        <f>RANK($D44,$D$3:$D$90)+COUNTIF($D$3:$D44,$D44)-1</f>
        <v>42</v>
      </c>
    </row>
    <row r="45" spans="1:31">
      <c r="A45" s="38" t="e" cm="1">
        <f t="array" ref="A45">INDEX(Produção!B$2:B$109,(ROW()-3)*12+1)</f>
        <v>#REF!</v>
      </c>
      <c r="B45" s="39" t="e" cm="1">
        <f t="array" ref="B45">INDEX(Produção!C$2:C$109,(ROW()-3)*12+1)</f>
        <v>#REF!</v>
      </c>
      <c r="C45" s="39" t="e" cm="1">
        <f t="array" ref="C45">INDEX(Produção!D$2:D$109,(ROW()-3)*12+1)</f>
        <v>#REF!</v>
      </c>
      <c r="D45" s="40">
        <f t="shared" si="0"/>
        <v>0</v>
      </c>
      <c r="E45" s="41">
        <f>SUMIFS(Produção!$G$2:$G$109,Produção!$B$2:$B$109,$A45,Produção!$F$2:$F$109,E$2)</f>
        <v>0</v>
      </c>
      <c r="F45" s="41">
        <f>SUMIFS(Produção!$G$2:$G$109,Produção!$B$2:$B$109,$A45,Produção!$F$2:$F$109,F$2)</f>
        <v>0</v>
      </c>
      <c r="G45" s="41">
        <f>SUMIFS(Produção!$G$2:$G$109,Produção!$B$2:$B$109,$A45,Produção!$F$2:$F$109,G$2)</f>
        <v>0</v>
      </c>
      <c r="H45" s="41">
        <f>SUMIFS(Produção!$G$2:$G$109,Produção!$B$2:$B$109,$A45,Produção!$F$2:$F$109,H$2)</f>
        <v>0</v>
      </c>
      <c r="I45" s="41">
        <f>SUMIFS(Produção!$G$2:$G$109,Produção!$B$2:$B$109,$A45,Produção!$F$2:$F$109,I$2)</f>
        <v>0</v>
      </c>
      <c r="J45" s="41">
        <f>SUMIFS(Produção!$G$2:$G$109,Produção!$B$2:$B$109,$A45,Produção!$F$2:$F$109,J$2)</f>
        <v>0</v>
      </c>
      <c r="K45" s="41">
        <f>SUMIFS(Produção!$G$2:$G$109,Produção!$B$2:$B$109,$A45,Produção!$F$2:$F$109,K$2)</f>
        <v>0</v>
      </c>
      <c r="L45" s="41">
        <f>SUMIFS(Produção!$G$2:$G$109,Produção!$B$2:$B$109,$A45,Produção!$F$2:$F$109,L$2)</f>
        <v>0</v>
      </c>
      <c r="M45" s="41">
        <f>SUMIFS(Produção!$G$2:$G$109,Produção!$B$2:$B$109,$A45,Produção!$F$2:$F$109,M$2)</f>
        <v>0</v>
      </c>
      <c r="N45" s="41">
        <f>SUMIFS(Produção!$G$2:$G$109,Produção!$B$2:$B$109,$A45,Produção!$F$2:$F$109,N$2)</f>
        <v>0</v>
      </c>
      <c r="O45" s="41">
        <f>SUMIFS(Produção!$G$2:$G$109,Produção!$B$2:$B$109,$A45,Produção!$F$2:$F$109,O$2)</f>
        <v>0</v>
      </c>
      <c r="P45" s="41">
        <f>SUMIFS(Produção!$G$2:$G$109,Produção!$B$2:$B$109,$A45,Produção!$F$2:$F$109,P$2)</f>
        <v>0</v>
      </c>
      <c r="Q45" s="42" t="e" cm="1">
        <f t="array" ref="Q45">_xlfn.LET(_xlpm.canal,INDEX($E$2:$P$2,COLUMN()-COLUMN($Q$2)+1),_xlpm.pos,SUMPRODUCT((Produção!$B$2:$B$109=$A45)*(Produção!$F$2:$F$109=_xlpm.canal)*ROW(Produção!$I$2:$I$109))-1,IF(_xlpm.pos&lt;1,"-------",IF(INDEX(Produção!$I$2:$I$109,_xlpm.pos)="","-------",INDEX(Produção!$I$2:$I$109,_xlpm.pos))))</f>
        <v>#REF!</v>
      </c>
      <c r="R45" s="42" t="e" cm="1">
        <f t="array" ref="R45">_xlfn.LET(_xlpm.canal,INDEX($E$2:$P$2,COLUMN()-COLUMN($Q$2)+1),_xlpm.pos,SUMPRODUCT((Produção!$B$2:$B$109=$A45)*(Produção!$F$2:$F$109=_xlpm.canal)*ROW(Produção!$I$2:$I$109))-1,IF(_xlpm.pos&lt;1,"-------",IF(INDEX(Produção!$I$2:$I$109,_xlpm.pos)="","-------",INDEX(Produção!$I$2:$I$109,_xlpm.pos))))</f>
        <v>#REF!</v>
      </c>
      <c r="S45" s="42" t="e" cm="1">
        <f t="array" ref="S45">_xlfn.LET(_xlpm.canal,INDEX($E$2:$P$2,COLUMN()-COLUMN($Q$2)+1),_xlpm.pos,SUMPRODUCT((Produção!$B$2:$B$109=$A45)*(Produção!$F$2:$F$109=_xlpm.canal)*ROW(Produção!$I$2:$I$109))-1,IF(_xlpm.pos&lt;1,"-------",IF(INDEX(Produção!$I$2:$I$109,_xlpm.pos)="","-------",INDEX(Produção!$I$2:$I$109,_xlpm.pos))))</f>
        <v>#REF!</v>
      </c>
      <c r="T45" s="42" t="e" cm="1">
        <f t="array" ref="T45">_xlfn.LET(_xlpm.canal,INDEX($E$2:$P$2,COLUMN()-COLUMN($Q$2)+1),_xlpm.pos,SUMPRODUCT((Produção!$B$2:$B$109=$A45)*(Produção!$F$2:$F$109=_xlpm.canal)*ROW(Produção!$I$2:$I$109))-1,IF(_xlpm.pos&lt;1,"-------",IF(INDEX(Produção!$I$2:$I$109,_xlpm.pos)="","-------",INDEX(Produção!$I$2:$I$109,_xlpm.pos))))</f>
        <v>#REF!</v>
      </c>
      <c r="U45" s="42" t="e" cm="1">
        <f t="array" ref="U45">_xlfn.LET(_xlpm.canal,INDEX($E$2:$P$2,COLUMN()-COLUMN($Q$2)+1),_xlpm.pos,SUMPRODUCT((Produção!$B$2:$B$109=$A45)*(Produção!$F$2:$F$109=_xlpm.canal)*ROW(Produção!$I$2:$I$109))-1,IF(_xlpm.pos&lt;1,"-------",IF(INDEX(Produção!$I$2:$I$109,_xlpm.pos)="","-------",INDEX(Produção!$I$2:$I$109,_xlpm.pos))))</f>
        <v>#REF!</v>
      </c>
      <c r="V45" s="42" t="e" cm="1">
        <f t="array" ref="V45">_xlfn.LET(_xlpm.canal,INDEX($E$2:$P$2,COLUMN()-COLUMN($Q$2)+1),_xlpm.pos,SUMPRODUCT((Produção!$B$2:$B$109=$A45)*(Produção!$F$2:$F$109=_xlpm.canal)*ROW(Produção!$I$2:$I$109))-1,IF(_xlpm.pos&lt;1,"-------",IF(INDEX(Produção!$I$2:$I$109,_xlpm.pos)="","-------",INDEX(Produção!$I$2:$I$109,_xlpm.pos))))</f>
        <v>#REF!</v>
      </c>
      <c r="W45" s="42" t="e" cm="1">
        <f t="array" ref="W45">_xlfn.LET(_xlpm.canal,INDEX($E$2:$P$2,COLUMN()-COLUMN($Q$2)+1),_xlpm.pos,SUMPRODUCT((Produção!$B$2:$B$109=$A45)*(Produção!$F$2:$F$109=_xlpm.canal)*ROW(Produção!$I$2:$I$109))-1,IF(_xlpm.pos&lt;1,"-------",IF(INDEX(Produção!$I$2:$I$109,_xlpm.pos)="","-------",INDEX(Produção!$I$2:$I$109,_xlpm.pos))))</f>
        <v>#REF!</v>
      </c>
      <c r="X45" s="42" t="e" cm="1">
        <f t="array" ref="X45">_xlfn.LET(_xlpm.canal,INDEX($E$2:$P$2,COLUMN()-COLUMN($Q$2)+1),_xlpm.pos,SUMPRODUCT((Produção!$B$2:$B$109=$A45)*(Produção!$F$2:$F$109=_xlpm.canal)*ROW(Produção!$I$2:$I$109))-1,IF(_xlpm.pos&lt;1,"-------",IF(INDEX(Produção!$I$2:$I$109,_xlpm.pos)="","-------",INDEX(Produção!$I$2:$I$109,_xlpm.pos))))</f>
        <v>#REF!</v>
      </c>
      <c r="Y45" s="42" t="e" cm="1">
        <f t="array" ref="Y45">_xlfn.LET(_xlpm.canal,INDEX($E$2:$P$2,COLUMN()-COLUMN($Q$2)+1),_xlpm.pos,SUMPRODUCT((Produção!$B$2:$B$109=$A45)*(Produção!$F$2:$F$109=_xlpm.canal)*ROW(Produção!$I$2:$I$109))-1,IF(_xlpm.pos&lt;1,"-------",IF(INDEX(Produção!$I$2:$I$109,_xlpm.pos)="","-------",INDEX(Produção!$I$2:$I$109,_xlpm.pos))))</f>
        <v>#REF!</v>
      </c>
      <c r="Z45" s="42" t="e" cm="1">
        <f t="array" ref="Z45">_xlfn.LET(_xlpm.canal,INDEX($E$2:$P$2,COLUMN()-COLUMN($Q$2)+1),_xlpm.pos,SUMPRODUCT((Produção!$B$2:$B$109=$A45)*(Produção!$F$2:$F$109=_xlpm.canal)*ROW(Produção!$I$2:$I$109))-1,IF(_xlpm.pos&lt;1,"-------",IF(INDEX(Produção!$I$2:$I$109,_xlpm.pos)="","-------",INDEX(Produção!$I$2:$I$109,_xlpm.pos))))</f>
        <v>#REF!</v>
      </c>
      <c r="AA45" s="42" t="e" cm="1">
        <f t="array" ref="AA45">_xlfn.LET(_xlpm.canal,INDEX($E$2:$P$2,COLUMN()-COLUMN($Q$2)+1),_xlpm.pos,SUMPRODUCT((Produção!$B$2:$B$109=$A45)*(Produção!$F$2:$F$109=_xlpm.canal)*ROW(Produção!$I$2:$I$109))-1,IF(_xlpm.pos&lt;1,"-------",IF(INDEX(Produção!$I$2:$I$109,_xlpm.pos)="","-------",INDEX(Produção!$I$2:$I$109,_xlpm.pos))))</f>
        <v>#REF!</v>
      </c>
      <c r="AB45" s="42" t="e" cm="1">
        <f t="array" ref="AB45">_xlfn.LET(_xlpm.canal,INDEX($E$2:$P$2,COLUMN()-COLUMN($Q$2)+1),_xlpm.pos,SUMPRODUCT((Produção!$B$2:$B$109=$A45)*(Produção!$F$2:$F$109=_xlpm.canal)*ROW(Produção!$I$2:$I$109))-1,IF(_xlpm.pos&lt;1,"-------",IF(INDEX(Produção!$I$2:$I$109,_xlpm.pos)="","-------",INDEX(Produção!$I$2:$I$109,_xlpm.pos))))</f>
        <v>#REF!</v>
      </c>
      <c r="AD45" s="34" t="e" cm="1">
        <f t="array" ref="AD45">SUMPRODUCT(($Q45:$AB45&lt;&gt;"-------")*1)</f>
        <v>#REF!</v>
      </c>
      <c r="AE45" s="34">
        <f>RANK($D45,$D$3:$D$90)+COUNTIF($D$3:$D45,$D45)-1</f>
        <v>43</v>
      </c>
    </row>
    <row r="46" spans="1:31">
      <c r="A46" s="38" t="e" cm="1">
        <f t="array" ref="A46">INDEX(Produção!B$2:B$109,(ROW()-3)*12+1)</f>
        <v>#REF!</v>
      </c>
      <c r="B46" s="39" t="e" cm="1">
        <f t="array" ref="B46">INDEX(Produção!C$2:C$109,(ROW()-3)*12+1)</f>
        <v>#REF!</v>
      </c>
      <c r="C46" s="39" t="e" cm="1">
        <f t="array" ref="C46">INDEX(Produção!D$2:D$109,(ROW()-3)*12+1)</f>
        <v>#REF!</v>
      </c>
      <c r="D46" s="40">
        <f t="shared" si="0"/>
        <v>0</v>
      </c>
      <c r="E46" s="41">
        <f>SUMIFS(Produção!$G$2:$G$109,Produção!$B$2:$B$109,$A46,Produção!$F$2:$F$109,E$2)</f>
        <v>0</v>
      </c>
      <c r="F46" s="41">
        <f>SUMIFS(Produção!$G$2:$G$109,Produção!$B$2:$B$109,$A46,Produção!$F$2:$F$109,F$2)</f>
        <v>0</v>
      </c>
      <c r="G46" s="41">
        <f>SUMIFS(Produção!$G$2:$G$109,Produção!$B$2:$B$109,$A46,Produção!$F$2:$F$109,G$2)</f>
        <v>0</v>
      </c>
      <c r="H46" s="41">
        <f>SUMIFS(Produção!$G$2:$G$109,Produção!$B$2:$B$109,$A46,Produção!$F$2:$F$109,H$2)</f>
        <v>0</v>
      </c>
      <c r="I46" s="41">
        <f>SUMIFS(Produção!$G$2:$G$109,Produção!$B$2:$B$109,$A46,Produção!$F$2:$F$109,I$2)</f>
        <v>0</v>
      </c>
      <c r="J46" s="41">
        <f>SUMIFS(Produção!$G$2:$G$109,Produção!$B$2:$B$109,$A46,Produção!$F$2:$F$109,J$2)</f>
        <v>0</v>
      </c>
      <c r="K46" s="41">
        <f>SUMIFS(Produção!$G$2:$G$109,Produção!$B$2:$B$109,$A46,Produção!$F$2:$F$109,K$2)</f>
        <v>0</v>
      </c>
      <c r="L46" s="41">
        <f>SUMIFS(Produção!$G$2:$G$109,Produção!$B$2:$B$109,$A46,Produção!$F$2:$F$109,L$2)</f>
        <v>0</v>
      </c>
      <c r="M46" s="41">
        <f>SUMIFS(Produção!$G$2:$G$109,Produção!$B$2:$B$109,$A46,Produção!$F$2:$F$109,M$2)</f>
        <v>0</v>
      </c>
      <c r="N46" s="41">
        <f>SUMIFS(Produção!$G$2:$G$109,Produção!$B$2:$B$109,$A46,Produção!$F$2:$F$109,N$2)</f>
        <v>0</v>
      </c>
      <c r="O46" s="41">
        <f>SUMIFS(Produção!$G$2:$G$109,Produção!$B$2:$B$109,$A46,Produção!$F$2:$F$109,O$2)</f>
        <v>0</v>
      </c>
      <c r="P46" s="41">
        <f>SUMIFS(Produção!$G$2:$G$109,Produção!$B$2:$B$109,$A46,Produção!$F$2:$F$109,P$2)</f>
        <v>0</v>
      </c>
      <c r="Q46" s="42" t="e" cm="1">
        <f t="array" ref="Q46">_xlfn.LET(_xlpm.canal,INDEX($E$2:$P$2,COLUMN()-COLUMN($Q$2)+1),_xlpm.pos,SUMPRODUCT((Produção!$B$2:$B$109=$A46)*(Produção!$F$2:$F$109=_xlpm.canal)*ROW(Produção!$I$2:$I$109))-1,IF(_xlpm.pos&lt;1,"-------",IF(INDEX(Produção!$I$2:$I$109,_xlpm.pos)="","-------",INDEX(Produção!$I$2:$I$109,_xlpm.pos))))</f>
        <v>#REF!</v>
      </c>
      <c r="R46" s="42" t="e" cm="1">
        <f t="array" ref="R46">_xlfn.LET(_xlpm.canal,INDEX($E$2:$P$2,COLUMN()-COLUMN($Q$2)+1),_xlpm.pos,SUMPRODUCT((Produção!$B$2:$B$109=$A46)*(Produção!$F$2:$F$109=_xlpm.canal)*ROW(Produção!$I$2:$I$109))-1,IF(_xlpm.pos&lt;1,"-------",IF(INDEX(Produção!$I$2:$I$109,_xlpm.pos)="","-------",INDEX(Produção!$I$2:$I$109,_xlpm.pos))))</f>
        <v>#REF!</v>
      </c>
      <c r="S46" s="42" t="e" cm="1">
        <f t="array" ref="S46">_xlfn.LET(_xlpm.canal,INDEX($E$2:$P$2,COLUMN()-COLUMN($Q$2)+1),_xlpm.pos,SUMPRODUCT((Produção!$B$2:$B$109=$A46)*(Produção!$F$2:$F$109=_xlpm.canal)*ROW(Produção!$I$2:$I$109))-1,IF(_xlpm.pos&lt;1,"-------",IF(INDEX(Produção!$I$2:$I$109,_xlpm.pos)="","-------",INDEX(Produção!$I$2:$I$109,_xlpm.pos))))</f>
        <v>#REF!</v>
      </c>
      <c r="T46" s="42" t="e" cm="1">
        <f t="array" ref="T46">_xlfn.LET(_xlpm.canal,INDEX($E$2:$P$2,COLUMN()-COLUMN($Q$2)+1),_xlpm.pos,SUMPRODUCT((Produção!$B$2:$B$109=$A46)*(Produção!$F$2:$F$109=_xlpm.canal)*ROW(Produção!$I$2:$I$109))-1,IF(_xlpm.pos&lt;1,"-------",IF(INDEX(Produção!$I$2:$I$109,_xlpm.pos)="","-------",INDEX(Produção!$I$2:$I$109,_xlpm.pos))))</f>
        <v>#REF!</v>
      </c>
      <c r="U46" s="42" t="e" cm="1">
        <f t="array" ref="U46">_xlfn.LET(_xlpm.canal,INDEX($E$2:$P$2,COLUMN()-COLUMN($Q$2)+1),_xlpm.pos,SUMPRODUCT((Produção!$B$2:$B$109=$A46)*(Produção!$F$2:$F$109=_xlpm.canal)*ROW(Produção!$I$2:$I$109))-1,IF(_xlpm.pos&lt;1,"-------",IF(INDEX(Produção!$I$2:$I$109,_xlpm.pos)="","-------",INDEX(Produção!$I$2:$I$109,_xlpm.pos))))</f>
        <v>#REF!</v>
      </c>
      <c r="V46" s="42" t="e" cm="1">
        <f t="array" ref="V46">_xlfn.LET(_xlpm.canal,INDEX($E$2:$P$2,COLUMN()-COLUMN($Q$2)+1),_xlpm.pos,SUMPRODUCT((Produção!$B$2:$B$109=$A46)*(Produção!$F$2:$F$109=_xlpm.canal)*ROW(Produção!$I$2:$I$109))-1,IF(_xlpm.pos&lt;1,"-------",IF(INDEX(Produção!$I$2:$I$109,_xlpm.pos)="","-------",INDEX(Produção!$I$2:$I$109,_xlpm.pos))))</f>
        <v>#REF!</v>
      </c>
      <c r="W46" s="42" t="e" cm="1">
        <f t="array" ref="W46">_xlfn.LET(_xlpm.canal,INDEX($E$2:$P$2,COLUMN()-COLUMN($Q$2)+1),_xlpm.pos,SUMPRODUCT((Produção!$B$2:$B$109=$A46)*(Produção!$F$2:$F$109=_xlpm.canal)*ROW(Produção!$I$2:$I$109))-1,IF(_xlpm.pos&lt;1,"-------",IF(INDEX(Produção!$I$2:$I$109,_xlpm.pos)="","-------",INDEX(Produção!$I$2:$I$109,_xlpm.pos))))</f>
        <v>#REF!</v>
      </c>
      <c r="X46" s="42" t="e" cm="1">
        <f t="array" ref="X46">_xlfn.LET(_xlpm.canal,INDEX($E$2:$P$2,COLUMN()-COLUMN($Q$2)+1),_xlpm.pos,SUMPRODUCT((Produção!$B$2:$B$109=$A46)*(Produção!$F$2:$F$109=_xlpm.canal)*ROW(Produção!$I$2:$I$109))-1,IF(_xlpm.pos&lt;1,"-------",IF(INDEX(Produção!$I$2:$I$109,_xlpm.pos)="","-------",INDEX(Produção!$I$2:$I$109,_xlpm.pos))))</f>
        <v>#REF!</v>
      </c>
      <c r="Y46" s="42" t="e" cm="1">
        <f t="array" ref="Y46">_xlfn.LET(_xlpm.canal,INDEX($E$2:$P$2,COLUMN()-COLUMN($Q$2)+1),_xlpm.pos,SUMPRODUCT((Produção!$B$2:$B$109=$A46)*(Produção!$F$2:$F$109=_xlpm.canal)*ROW(Produção!$I$2:$I$109))-1,IF(_xlpm.pos&lt;1,"-------",IF(INDEX(Produção!$I$2:$I$109,_xlpm.pos)="","-------",INDEX(Produção!$I$2:$I$109,_xlpm.pos))))</f>
        <v>#REF!</v>
      </c>
      <c r="Z46" s="42" t="e" cm="1">
        <f t="array" ref="Z46">_xlfn.LET(_xlpm.canal,INDEX($E$2:$P$2,COLUMN()-COLUMN($Q$2)+1),_xlpm.pos,SUMPRODUCT((Produção!$B$2:$B$109=$A46)*(Produção!$F$2:$F$109=_xlpm.canal)*ROW(Produção!$I$2:$I$109))-1,IF(_xlpm.pos&lt;1,"-------",IF(INDEX(Produção!$I$2:$I$109,_xlpm.pos)="","-------",INDEX(Produção!$I$2:$I$109,_xlpm.pos))))</f>
        <v>#REF!</v>
      </c>
      <c r="AA46" s="42" t="e" cm="1">
        <f t="array" ref="AA46">_xlfn.LET(_xlpm.canal,INDEX($E$2:$P$2,COLUMN()-COLUMN($Q$2)+1),_xlpm.pos,SUMPRODUCT((Produção!$B$2:$B$109=$A46)*(Produção!$F$2:$F$109=_xlpm.canal)*ROW(Produção!$I$2:$I$109))-1,IF(_xlpm.pos&lt;1,"-------",IF(INDEX(Produção!$I$2:$I$109,_xlpm.pos)="","-------",INDEX(Produção!$I$2:$I$109,_xlpm.pos))))</f>
        <v>#REF!</v>
      </c>
      <c r="AB46" s="42" t="e" cm="1">
        <f t="array" ref="AB46">_xlfn.LET(_xlpm.canal,INDEX($E$2:$P$2,COLUMN()-COLUMN($Q$2)+1),_xlpm.pos,SUMPRODUCT((Produção!$B$2:$B$109=$A46)*(Produção!$F$2:$F$109=_xlpm.canal)*ROW(Produção!$I$2:$I$109))-1,IF(_xlpm.pos&lt;1,"-------",IF(INDEX(Produção!$I$2:$I$109,_xlpm.pos)="","-------",INDEX(Produção!$I$2:$I$109,_xlpm.pos))))</f>
        <v>#REF!</v>
      </c>
      <c r="AD46" s="34" t="e" cm="1">
        <f t="array" ref="AD46">SUMPRODUCT(($Q46:$AB46&lt;&gt;"-------")*1)</f>
        <v>#REF!</v>
      </c>
      <c r="AE46" s="34">
        <f>RANK($D46,$D$3:$D$90)+COUNTIF($D$3:$D46,$D46)-1</f>
        <v>44</v>
      </c>
    </row>
    <row r="47" spans="1:31">
      <c r="A47" s="38" t="e" cm="1">
        <f t="array" ref="A47">INDEX(Produção!B$2:B$109,(ROW()-3)*12+1)</f>
        <v>#REF!</v>
      </c>
      <c r="B47" s="39" t="e" cm="1">
        <f t="array" ref="B47">INDEX(Produção!C$2:C$109,(ROW()-3)*12+1)</f>
        <v>#REF!</v>
      </c>
      <c r="C47" s="39" t="e" cm="1">
        <f t="array" ref="C47">INDEX(Produção!D$2:D$109,(ROW()-3)*12+1)</f>
        <v>#REF!</v>
      </c>
      <c r="D47" s="40">
        <f t="shared" si="0"/>
        <v>0</v>
      </c>
      <c r="E47" s="41">
        <f>SUMIFS(Produção!$G$2:$G$109,Produção!$B$2:$B$109,$A47,Produção!$F$2:$F$109,E$2)</f>
        <v>0</v>
      </c>
      <c r="F47" s="41">
        <f>SUMIFS(Produção!$G$2:$G$109,Produção!$B$2:$B$109,$A47,Produção!$F$2:$F$109,F$2)</f>
        <v>0</v>
      </c>
      <c r="G47" s="41">
        <f>SUMIFS(Produção!$G$2:$G$109,Produção!$B$2:$B$109,$A47,Produção!$F$2:$F$109,G$2)</f>
        <v>0</v>
      </c>
      <c r="H47" s="41">
        <f>SUMIFS(Produção!$G$2:$G$109,Produção!$B$2:$B$109,$A47,Produção!$F$2:$F$109,H$2)</f>
        <v>0</v>
      </c>
      <c r="I47" s="41">
        <f>SUMIFS(Produção!$G$2:$G$109,Produção!$B$2:$B$109,$A47,Produção!$F$2:$F$109,I$2)</f>
        <v>0</v>
      </c>
      <c r="J47" s="41">
        <f>SUMIFS(Produção!$G$2:$G$109,Produção!$B$2:$B$109,$A47,Produção!$F$2:$F$109,J$2)</f>
        <v>0</v>
      </c>
      <c r="K47" s="41">
        <f>SUMIFS(Produção!$G$2:$G$109,Produção!$B$2:$B$109,$A47,Produção!$F$2:$F$109,K$2)</f>
        <v>0</v>
      </c>
      <c r="L47" s="41">
        <f>SUMIFS(Produção!$G$2:$G$109,Produção!$B$2:$B$109,$A47,Produção!$F$2:$F$109,L$2)</f>
        <v>0</v>
      </c>
      <c r="M47" s="41">
        <f>SUMIFS(Produção!$G$2:$G$109,Produção!$B$2:$B$109,$A47,Produção!$F$2:$F$109,M$2)</f>
        <v>0</v>
      </c>
      <c r="N47" s="41">
        <f>SUMIFS(Produção!$G$2:$G$109,Produção!$B$2:$B$109,$A47,Produção!$F$2:$F$109,N$2)</f>
        <v>0</v>
      </c>
      <c r="O47" s="41">
        <f>SUMIFS(Produção!$G$2:$G$109,Produção!$B$2:$B$109,$A47,Produção!$F$2:$F$109,O$2)</f>
        <v>0</v>
      </c>
      <c r="P47" s="41">
        <f>SUMIFS(Produção!$G$2:$G$109,Produção!$B$2:$B$109,$A47,Produção!$F$2:$F$109,P$2)</f>
        <v>0</v>
      </c>
      <c r="Q47" s="42" t="e" cm="1">
        <f t="array" ref="Q47">_xlfn.LET(_xlpm.canal,INDEX($E$2:$P$2,COLUMN()-COLUMN($Q$2)+1),_xlpm.pos,SUMPRODUCT((Produção!$B$2:$B$109=$A47)*(Produção!$F$2:$F$109=_xlpm.canal)*ROW(Produção!$I$2:$I$109))-1,IF(_xlpm.pos&lt;1,"-------",IF(INDEX(Produção!$I$2:$I$109,_xlpm.pos)="","-------",INDEX(Produção!$I$2:$I$109,_xlpm.pos))))</f>
        <v>#REF!</v>
      </c>
      <c r="R47" s="42" t="e" cm="1">
        <f t="array" ref="R47">_xlfn.LET(_xlpm.canal,INDEX($E$2:$P$2,COLUMN()-COLUMN($Q$2)+1),_xlpm.pos,SUMPRODUCT((Produção!$B$2:$B$109=$A47)*(Produção!$F$2:$F$109=_xlpm.canal)*ROW(Produção!$I$2:$I$109))-1,IF(_xlpm.pos&lt;1,"-------",IF(INDEX(Produção!$I$2:$I$109,_xlpm.pos)="","-------",INDEX(Produção!$I$2:$I$109,_xlpm.pos))))</f>
        <v>#REF!</v>
      </c>
      <c r="S47" s="42" t="e" cm="1">
        <f t="array" ref="S47">_xlfn.LET(_xlpm.canal,INDEX($E$2:$P$2,COLUMN()-COLUMN($Q$2)+1),_xlpm.pos,SUMPRODUCT((Produção!$B$2:$B$109=$A47)*(Produção!$F$2:$F$109=_xlpm.canal)*ROW(Produção!$I$2:$I$109))-1,IF(_xlpm.pos&lt;1,"-------",IF(INDEX(Produção!$I$2:$I$109,_xlpm.pos)="","-------",INDEX(Produção!$I$2:$I$109,_xlpm.pos))))</f>
        <v>#REF!</v>
      </c>
      <c r="T47" s="42" t="e" cm="1">
        <f t="array" ref="T47">_xlfn.LET(_xlpm.canal,INDEX($E$2:$P$2,COLUMN()-COLUMN($Q$2)+1),_xlpm.pos,SUMPRODUCT((Produção!$B$2:$B$109=$A47)*(Produção!$F$2:$F$109=_xlpm.canal)*ROW(Produção!$I$2:$I$109))-1,IF(_xlpm.pos&lt;1,"-------",IF(INDEX(Produção!$I$2:$I$109,_xlpm.pos)="","-------",INDEX(Produção!$I$2:$I$109,_xlpm.pos))))</f>
        <v>#REF!</v>
      </c>
      <c r="U47" s="42" t="e" cm="1">
        <f t="array" ref="U47">_xlfn.LET(_xlpm.canal,INDEX($E$2:$P$2,COLUMN()-COLUMN($Q$2)+1),_xlpm.pos,SUMPRODUCT((Produção!$B$2:$B$109=$A47)*(Produção!$F$2:$F$109=_xlpm.canal)*ROW(Produção!$I$2:$I$109))-1,IF(_xlpm.pos&lt;1,"-------",IF(INDEX(Produção!$I$2:$I$109,_xlpm.pos)="","-------",INDEX(Produção!$I$2:$I$109,_xlpm.pos))))</f>
        <v>#REF!</v>
      </c>
      <c r="V47" s="42" t="e" cm="1">
        <f t="array" ref="V47">_xlfn.LET(_xlpm.canal,INDEX($E$2:$P$2,COLUMN()-COLUMN($Q$2)+1),_xlpm.pos,SUMPRODUCT((Produção!$B$2:$B$109=$A47)*(Produção!$F$2:$F$109=_xlpm.canal)*ROW(Produção!$I$2:$I$109))-1,IF(_xlpm.pos&lt;1,"-------",IF(INDEX(Produção!$I$2:$I$109,_xlpm.pos)="","-------",INDEX(Produção!$I$2:$I$109,_xlpm.pos))))</f>
        <v>#REF!</v>
      </c>
      <c r="W47" s="42" t="e" cm="1">
        <f t="array" ref="W47">_xlfn.LET(_xlpm.canal,INDEX($E$2:$P$2,COLUMN()-COLUMN($Q$2)+1),_xlpm.pos,SUMPRODUCT((Produção!$B$2:$B$109=$A47)*(Produção!$F$2:$F$109=_xlpm.canal)*ROW(Produção!$I$2:$I$109))-1,IF(_xlpm.pos&lt;1,"-------",IF(INDEX(Produção!$I$2:$I$109,_xlpm.pos)="","-------",INDEX(Produção!$I$2:$I$109,_xlpm.pos))))</f>
        <v>#REF!</v>
      </c>
      <c r="X47" s="42" t="e" cm="1">
        <f t="array" ref="X47">_xlfn.LET(_xlpm.canal,INDEX($E$2:$P$2,COLUMN()-COLUMN($Q$2)+1),_xlpm.pos,SUMPRODUCT((Produção!$B$2:$B$109=$A47)*(Produção!$F$2:$F$109=_xlpm.canal)*ROW(Produção!$I$2:$I$109))-1,IF(_xlpm.pos&lt;1,"-------",IF(INDEX(Produção!$I$2:$I$109,_xlpm.pos)="","-------",INDEX(Produção!$I$2:$I$109,_xlpm.pos))))</f>
        <v>#REF!</v>
      </c>
      <c r="Y47" s="42" t="e" cm="1">
        <f t="array" ref="Y47">_xlfn.LET(_xlpm.canal,INDEX($E$2:$P$2,COLUMN()-COLUMN($Q$2)+1),_xlpm.pos,SUMPRODUCT((Produção!$B$2:$B$109=$A47)*(Produção!$F$2:$F$109=_xlpm.canal)*ROW(Produção!$I$2:$I$109))-1,IF(_xlpm.pos&lt;1,"-------",IF(INDEX(Produção!$I$2:$I$109,_xlpm.pos)="","-------",INDEX(Produção!$I$2:$I$109,_xlpm.pos))))</f>
        <v>#REF!</v>
      </c>
      <c r="Z47" s="42" t="e" cm="1">
        <f t="array" ref="Z47">_xlfn.LET(_xlpm.canal,INDEX($E$2:$P$2,COLUMN()-COLUMN($Q$2)+1),_xlpm.pos,SUMPRODUCT((Produção!$B$2:$B$109=$A47)*(Produção!$F$2:$F$109=_xlpm.canal)*ROW(Produção!$I$2:$I$109))-1,IF(_xlpm.pos&lt;1,"-------",IF(INDEX(Produção!$I$2:$I$109,_xlpm.pos)="","-------",INDEX(Produção!$I$2:$I$109,_xlpm.pos))))</f>
        <v>#REF!</v>
      </c>
      <c r="AA47" s="42" t="e" cm="1">
        <f t="array" ref="AA47">_xlfn.LET(_xlpm.canal,INDEX($E$2:$P$2,COLUMN()-COLUMN($Q$2)+1),_xlpm.pos,SUMPRODUCT((Produção!$B$2:$B$109=$A47)*(Produção!$F$2:$F$109=_xlpm.canal)*ROW(Produção!$I$2:$I$109))-1,IF(_xlpm.pos&lt;1,"-------",IF(INDEX(Produção!$I$2:$I$109,_xlpm.pos)="","-------",INDEX(Produção!$I$2:$I$109,_xlpm.pos))))</f>
        <v>#REF!</v>
      </c>
      <c r="AB47" s="42" t="e" cm="1">
        <f t="array" ref="AB47">_xlfn.LET(_xlpm.canal,INDEX($E$2:$P$2,COLUMN()-COLUMN($Q$2)+1),_xlpm.pos,SUMPRODUCT((Produção!$B$2:$B$109=$A47)*(Produção!$F$2:$F$109=_xlpm.canal)*ROW(Produção!$I$2:$I$109))-1,IF(_xlpm.pos&lt;1,"-------",IF(INDEX(Produção!$I$2:$I$109,_xlpm.pos)="","-------",INDEX(Produção!$I$2:$I$109,_xlpm.pos))))</f>
        <v>#REF!</v>
      </c>
      <c r="AD47" s="34" t="e" cm="1">
        <f t="array" ref="AD47">SUMPRODUCT(($Q47:$AB47&lt;&gt;"-------")*1)</f>
        <v>#REF!</v>
      </c>
      <c r="AE47" s="34">
        <f>RANK($D47,$D$3:$D$90)+COUNTIF($D$3:$D47,$D47)-1</f>
        <v>45</v>
      </c>
    </row>
    <row r="48" spans="1:31">
      <c r="A48" s="38" t="e" cm="1">
        <f t="array" ref="A48">INDEX(Produção!B$2:B$109,(ROW()-3)*12+1)</f>
        <v>#REF!</v>
      </c>
      <c r="B48" s="39" t="e" cm="1">
        <f t="array" ref="B48">INDEX(Produção!C$2:C$109,(ROW()-3)*12+1)</f>
        <v>#REF!</v>
      </c>
      <c r="C48" s="39" t="e" cm="1">
        <f t="array" ref="C48">INDEX(Produção!D$2:D$109,(ROW()-3)*12+1)</f>
        <v>#REF!</v>
      </c>
      <c r="D48" s="40">
        <f t="shared" si="0"/>
        <v>0</v>
      </c>
      <c r="E48" s="41">
        <f>SUMIFS(Produção!$G$2:$G$109,Produção!$B$2:$B$109,$A48,Produção!$F$2:$F$109,E$2)</f>
        <v>0</v>
      </c>
      <c r="F48" s="41">
        <f>SUMIFS(Produção!$G$2:$G$109,Produção!$B$2:$B$109,$A48,Produção!$F$2:$F$109,F$2)</f>
        <v>0</v>
      </c>
      <c r="G48" s="41">
        <f>SUMIFS(Produção!$G$2:$G$109,Produção!$B$2:$B$109,$A48,Produção!$F$2:$F$109,G$2)</f>
        <v>0</v>
      </c>
      <c r="H48" s="41">
        <f>SUMIFS(Produção!$G$2:$G$109,Produção!$B$2:$B$109,$A48,Produção!$F$2:$F$109,H$2)</f>
        <v>0</v>
      </c>
      <c r="I48" s="41">
        <f>SUMIFS(Produção!$G$2:$G$109,Produção!$B$2:$B$109,$A48,Produção!$F$2:$F$109,I$2)</f>
        <v>0</v>
      </c>
      <c r="J48" s="41">
        <f>SUMIFS(Produção!$G$2:$G$109,Produção!$B$2:$B$109,$A48,Produção!$F$2:$F$109,J$2)</f>
        <v>0</v>
      </c>
      <c r="K48" s="41">
        <f>SUMIFS(Produção!$G$2:$G$109,Produção!$B$2:$B$109,$A48,Produção!$F$2:$F$109,K$2)</f>
        <v>0</v>
      </c>
      <c r="L48" s="41">
        <f>SUMIFS(Produção!$G$2:$G$109,Produção!$B$2:$B$109,$A48,Produção!$F$2:$F$109,L$2)</f>
        <v>0</v>
      </c>
      <c r="M48" s="41">
        <f>SUMIFS(Produção!$G$2:$G$109,Produção!$B$2:$B$109,$A48,Produção!$F$2:$F$109,M$2)</f>
        <v>0</v>
      </c>
      <c r="N48" s="41">
        <f>SUMIFS(Produção!$G$2:$G$109,Produção!$B$2:$B$109,$A48,Produção!$F$2:$F$109,N$2)</f>
        <v>0</v>
      </c>
      <c r="O48" s="41">
        <f>SUMIFS(Produção!$G$2:$G$109,Produção!$B$2:$B$109,$A48,Produção!$F$2:$F$109,O$2)</f>
        <v>0</v>
      </c>
      <c r="P48" s="41">
        <f>SUMIFS(Produção!$G$2:$G$109,Produção!$B$2:$B$109,$A48,Produção!$F$2:$F$109,P$2)</f>
        <v>0</v>
      </c>
      <c r="Q48" s="42" t="e" cm="1">
        <f t="array" ref="Q48">_xlfn.LET(_xlpm.canal,INDEX($E$2:$P$2,COLUMN()-COLUMN($Q$2)+1),_xlpm.pos,SUMPRODUCT((Produção!$B$2:$B$109=$A48)*(Produção!$F$2:$F$109=_xlpm.canal)*ROW(Produção!$I$2:$I$109))-1,IF(_xlpm.pos&lt;1,"-------",IF(INDEX(Produção!$I$2:$I$109,_xlpm.pos)="","-------",INDEX(Produção!$I$2:$I$109,_xlpm.pos))))</f>
        <v>#REF!</v>
      </c>
      <c r="R48" s="42" t="e" cm="1">
        <f t="array" ref="R48">_xlfn.LET(_xlpm.canal,INDEX($E$2:$P$2,COLUMN()-COLUMN($Q$2)+1),_xlpm.pos,SUMPRODUCT((Produção!$B$2:$B$109=$A48)*(Produção!$F$2:$F$109=_xlpm.canal)*ROW(Produção!$I$2:$I$109))-1,IF(_xlpm.pos&lt;1,"-------",IF(INDEX(Produção!$I$2:$I$109,_xlpm.pos)="","-------",INDEX(Produção!$I$2:$I$109,_xlpm.pos))))</f>
        <v>#REF!</v>
      </c>
      <c r="S48" s="42" t="e" cm="1">
        <f t="array" ref="S48">_xlfn.LET(_xlpm.canal,INDEX($E$2:$P$2,COLUMN()-COLUMN($Q$2)+1),_xlpm.pos,SUMPRODUCT((Produção!$B$2:$B$109=$A48)*(Produção!$F$2:$F$109=_xlpm.canal)*ROW(Produção!$I$2:$I$109))-1,IF(_xlpm.pos&lt;1,"-------",IF(INDEX(Produção!$I$2:$I$109,_xlpm.pos)="","-------",INDEX(Produção!$I$2:$I$109,_xlpm.pos))))</f>
        <v>#REF!</v>
      </c>
      <c r="T48" s="42" t="e" cm="1">
        <f t="array" ref="T48">_xlfn.LET(_xlpm.canal,INDEX($E$2:$P$2,COLUMN()-COLUMN($Q$2)+1),_xlpm.pos,SUMPRODUCT((Produção!$B$2:$B$109=$A48)*(Produção!$F$2:$F$109=_xlpm.canal)*ROW(Produção!$I$2:$I$109))-1,IF(_xlpm.pos&lt;1,"-------",IF(INDEX(Produção!$I$2:$I$109,_xlpm.pos)="","-------",INDEX(Produção!$I$2:$I$109,_xlpm.pos))))</f>
        <v>#REF!</v>
      </c>
      <c r="U48" s="42" t="e" cm="1">
        <f t="array" ref="U48">_xlfn.LET(_xlpm.canal,INDEX($E$2:$P$2,COLUMN()-COLUMN($Q$2)+1),_xlpm.pos,SUMPRODUCT((Produção!$B$2:$B$109=$A48)*(Produção!$F$2:$F$109=_xlpm.canal)*ROW(Produção!$I$2:$I$109))-1,IF(_xlpm.pos&lt;1,"-------",IF(INDEX(Produção!$I$2:$I$109,_xlpm.pos)="","-------",INDEX(Produção!$I$2:$I$109,_xlpm.pos))))</f>
        <v>#REF!</v>
      </c>
      <c r="V48" s="42" t="e" cm="1">
        <f t="array" ref="V48">_xlfn.LET(_xlpm.canal,INDEX($E$2:$P$2,COLUMN()-COLUMN($Q$2)+1),_xlpm.pos,SUMPRODUCT((Produção!$B$2:$B$109=$A48)*(Produção!$F$2:$F$109=_xlpm.canal)*ROW(Produção!$I$2:$I$109))-1,IF(_xlpm.pos&lt;1,"-------",IF(INDEX(Produção!$I$2:$I$109,_xlpm.pos)="","-------",INDEX(Produção!$I$2:$I$109,_xlpm.pos))))</f>
        <v>#REF!</v>
      </c>
      <c r="W48" s="42" t="e" cm="1">
        <f t="array" ref="W48">_xlfn.LET(_xlpm.canal,INDEX($E$2:$P$2,COLUMN()-COLUMN($Q$2)+1),_xlpm.pos,SUMPRODUCT((Produção!$B$2:$B$109=$A48)*(Produção!$F$2:$F$109=_xlpm.canal)*ROW(Produção!$I$2:$I$109))-1,IF(_xlpm.pos&lt;1,"-------",IF(INDEX(Produção!$I$2:$I$109,_xlpm.pos)="","-------",INDEX(Produção!$I$2:$I$109,_xlpm.pos))))</f>
        <v>#REF!</v>
      </c>
      <c r="X48" s="42" t="e" cm="1">
        <f t="array" ref="X48">_xlfn.LET(_xlpm.canal,INDEX($E$2:$P$2,COLUMN()-COLUMN($Q$2)+1),_xlpm.pos,SUMPRODUCT((Produção!$B$2:$B$109=$A48)*(Produção!$F$2:$F$109=_xlpm.canal)*ROW(Produção!$I$2:$I$109))-1,IF(_xlpm.pos&lt;1,"-------",IF(INDEX(Produção!$I$2:$I$109,_xlpm.pos)="","-------",INDEX(Produção!$I$2:$I$109,_xlpm.pos))))</f>
        <v>#REF!</v>
      </c>
      <c r="Y48" s="42" t="e" cm="1">
        <f t="array" ref="Y48">_xlfn.LET(_xlpm.canal,INDEX($E$2:$P$2,COLUMN()-COLUMN($Q$2)+1),_xlpm.pos,SUMPRODUCT((Produção!$B$2:$B$109=$A48)*(Produção!$F$2:$F$109=_xlpm.canal)*ROW(Produção!$I$2:$I$109))-1,IF(_xlpm.pos&lt;1,"-------",IF(INDEX(Produção!$I$2:$I$109,_xlpm.pos)="","-------",INDEX(Produção!$I$2:$I$109,_xlpm.pos))))</f>
        <v>#REF!</v>
      </c>
      <c r="Z48" s="42" t="e" cm="1">
        <f t="array" ref="Z48">_xlfn.LET(_xlpm.canal,INDEX($E$2:$P$2,COLUMN()-COLUMN($Q$2)+1),_xlpm.pos,SUMPRODUCT((Produção!$B$2:$B$109=$A48)*(Produção!$F$2:$F$109=_xlpm.canal)*ROW(Produção!$I$2:$I$109))-1,IF(_xlpm.pos&lt;1,"-------",IF(INDEX(Produção!$I$2:$I$109,_xlpm.pos)="","-------",INDEX(Produção!$I$2:$I$109,_xlpm.pos))))</f>
        <v>#REF!</v>
      </c>
      <c r="AA48" s="42" t="e" cm="1">
        <f t="array" ref="AA48">_xlfn.LET(_xlpm.canal,INDEX($E$2:$P$2,COLUMN()-COLUMN($Q$2)+1),_xlpm.pos,SUMPRODUCT((Produção!$B$2:$B$109=$A48)*(Produção!$F$2:$F$109=_xlpm.canal)*ROW(Produção!$I$2:$I$109))-1,IF(_xlpm.pos&lt;1,"-------",IF(INDEX(Produção!$I$2:$I$109,_xlpm.pos)="","-------",INDEX(Produção!$I$2:$I$109,_xlpm.pos))))</f>
        <v>#REF!</v>
      </c>
      <c r="AB48" s="42" t="e" cm="1">
        <f t="array" ref="AB48">_xlfn.LET(_xlpm.canal,INDEX($E$2:$P$2,COLUMN()-COLUMN($Q$2)+1),_xlpm.pos,SUMPRODUCT((Produção!$B$2:$B$109=$A48)*(Produção!$F$2:$F$109=_xlpm.canal)*ROW(Produção!$I$2:$I$109))-1,IF(_xlpm.pos&lt;1,"-------",IF(INDEX(Produção!$I$2:$I$109,_xlpm.pos)="","-------",INDEX(Produção!$I$2:$I$109,_xlpm.pos))))</f>
        <v>#REF!</v>
      </c>
      <c r="AD48" s="34" t="e" cm="1">
        <f t="array" ref="AD48">SUMPRODUCT(($Q48:$AB48&lt;&gt;"-------")*1)</f>
        <v>#REF!</v>
      </c>
      <c r="AE48" s="34">
        <f>RANK($D48,$D$3:$D$90)+COUNTIF($D$3:$D48,$D48)-1</f>
        <v>46</v>
      </c>
    </row>
    <row r="49" spans="1:31">
      <c r="A49" s="38" t="e" cm="1">
        <f t="array" ref="A49">INDEX(Produção!B$2:B$109,(ROW()-3)*12+1)</f>
        <v>#REF!</v>
      </c>
      <c r="B49" s="39" t="e" cm="1">
        <f t="array" ref="B49">INDEX(Produção!C$2:C$109,(ROW()-3)*12+1)</f>
        <v>#REF!</v>
      </c>
      <c r="C49" s="39" t="e" cm="1">
        <f t="array" ref="C49">INDEX(Produção!D$2:D$109,(ROW()-3)*12+1)</f>
        <v>#REF!</v>
      </c>
      <c r="D49" s="40">
        <f t="shared" si="0"/>
        <v>0</v>
      </c>
      <c r="E49" s="41">
        <f>SUMIFS(Produção!$G$2:$G$109,Produção!$B$2:$B$109,$A49,Produção!$F$2:$F$109,E$2)</f>
        <v>0</v>
      </c>
      <c r="F49" s="41">
        <f>SUMIFS(Produção!$G$2:$G$109,Produção!$B$2:$B$109,$A49,Produção!$F$2:$F$109,F$2)</f>
        <v>0</v>
      </c>
      <c r="G49" s="41">
        <f>SUMIFS(Produção!$G$2:$G$109,Produção!$B$2:$B$109,$A49,Produção!$F$2:$F$109,G$2)</f>
        <v>0</v>
      </c>
      <c r="H49" s="41">
        <f>SUMIFS(Produção!$G$2:$G$109,Produção!$B$2:$B$109,$A49,Produção!$F$2:$F$109,H$2)</f>
        <v>0</v>
      </c>
      <c r="I49" s="41">
        <f>SUMIFS(Produção!$G$2:$G$109,Produção!$B$2:$B$109,$A49,Produção!$F$2:$F$109,I$2)</f>
        <v>0</v>
      </c>
      <c r="J49" s="41">
        <f>SUMIFS(Produção!$G$2:$G$109,Produção!$B$2:$B$109,$A49,Produção!$F$2:$F$109,J$2)</f>
        <v>0</v>
      </c>
      <c r="K49" s="41">
        <f>SUMIFS(Produção!$G$2:$G$109,Produção!$B$2:$B$109,$A49,Produção!$F$2:$F$109,K$2)</f>
        <v>0</v>
      </c>
      <c r="L49" s="41">
        <f>SUMIFS(Produção!$G$2:$G$109,Produção!$B$2:$B$109,$A49,Produção!$F$2:$F$109,L$2)</f>
        <v>0</v>
      </c>
      <c r="M49" s="41">
        <f>SUMIFS(Produção!$G$2:$G$109,Produção!$B$2:$B$109,$A49,Produção!$F$2:$F$109,M$2)</f>
        <v>0</v>
      </c>
      <c r="N49" s="41">
        <f>SUMIFS(Produção!$G$2:$G$109,Produção!$B$2:$B$109,$A49,Produção!$F$2:$F$109,N$2)</f>
        <v>0</v>
      </c>
      <c r="O49" s="41">
        <f>SUMIFS(Produção!$G$2:$G$109,Produção!$B$2:$B$109,$A49,Produção!$F$2:$F$109,O$2)</f>
        <v>0</v>
      </c>
      <c r="P49" s="41">
        <f>SUMIFS(Produção!$G$2:$G$109,Produção!$B$2:$B$109,$A49,Produção!$F$2:$F$109,P$2)</f>
        <v>0</v>
      </c>
      <c r="Q49" s="42" t="e" cm="1">
        <f t="array" ref="Q49">_xlfn.LET(_xlpm.canal,INDEX($E$2:$P$2,COLUMN()-COLUMN($Q$2)+1),_xlpm.pos,SUMPRODUCT((Produção!$B$2:$B$109=$A49)*(Produção!$F$2:$F$109=_xlpm.canal)*ROW(Produção!$I$2:$I$109))-1,IF(_xlpm.pos&lt;1,"-------",IF(INDEX(Produção!$I$2:$I$109,_xlpm.pos)="","-------",INDEX(Produção!$I$2:$I$109,_xlpm.pos))))</f>
        <v>#REF!</v>
      </c>
      <c r="R49" s="42" t="e" cm="1">
        <f t="array" ref="R49">_xlfn.LET(_xlpm.canal,INDEX($E$2:$P$2,COLUMN()-COLUMN($Q$2)+1),_xlpm.pos,SUMPRODUCT((Produção!$B$2:$B$109=$A49)*(Produção!$F$2:$F$109=_xlpm.canal)*ROW(Produção!$I$2:$I$109))-1,IF(_xlpm.pos&lt;1,"-------",IF(INDEX(Produção!$I$2:$I$109,_xlpm.pos)="","-------",INDEX(Produção!$I$2:$I$109,_xlpm.pos))))</f>
        <v>#REF!</v>
      </c>
      <c r="S49" s="42" t="e" cm="1">
        <f t="array" ref="S49">_xlfn.LET(_xlpm.canal,INDEX($E$2:$P$2,COLUMN()-COLUMN($Q$2)+1),_xlpm.pos,SUMPRODUCT((Produção!$B$2:$B$109=$A49)*(Produção!$F$2:$F$109=_xlpm.canal)*ROW(Produção!$I$2:$I$109))-1,IF(_xlpm.pos&lt;1,"-------",IF(INDEX(Produção!$I$2:$I$109,_xlpm.pos)="","-------",INDEX(Produção!$I$2:$I$109,_xlpm.pos))))</f>
        <v>#REF!</v>
      </c>
      <c r="T49" s="42" t="e" cm="1">
        <f t="array" ref="T49">_xlfn.LET(_xlpm.canal,INDEX($E$2:$P$2,COLUMN()-COLUMN($Q$2)+1),_xlpm.pos,SUMPRODUCT((Produção!$B$2:$B$109=$A49)*(Produção!$F$2:$F$109=_xlpm.canal)*ROW(Produção!$I$2:$I$109))-1,IF(_xlpm.pos&lt;1,"-------",IF(INDEX(Produção!$I$2:$I$109,_xlpm.pos)="","-------",INDEX(Produção!$I$2:$I$109,_xlpm.pos))))</f>
        <v>#REF!</v>
      </c>
      <c r="U49" s="42" t="e" cm="1">
        <f t="array" ref="U49">_xlfn.LET(_xlpm.canal,INDEX($E$2:$P$2,COLUMN()-COLUMN($Q$2)+1),_xlpm.pos,SUMPRODUCT((Produção!$B$2:$B$109=$A49)*(Produção!$F$2:$F$109=_xlpm.canal)*ROW(Produção!$I$2:$I$109))-1,IF(_xlpm.pos&lt;1,"-------",IF(INDEX(Produção!$I$2:$I$109,_xlpm.pos)="","-------",INDEX(Produção!$I$2:$I$109,_xlpm.pos))))</f>
        <v>#REF!</v>
      </c>
      <c r="V49" s="42" t="e" cm="1">
        <f t="array" ref="V49">_xlfn.LET(_xlpm.canal,INDEX($E$2:$P$2,COLUMN()-COLUMN($Q$2)+1),_xlpm.pos,SUMPRODUCT((Produção!$B$2:$B$109=$A49)*(Produção!$F$2:$F$109=_xlpm.canal)*ROW(Produção!$I$2:$I$109))-1,IF(_xlpm.pos&lt;1,"-------",IF(INDEX(Produção!$I$2:$I$109,_xlpm.pos)="","-------",INDEX(Produção!$I$2:$I$109,_xlpm.pos))))</f>
        <v>#REF!</v>
      </c>
      <c r="W49" s="42" t="e" cm="1">
        <f t="array" ref="W49">_xlfn.LET(_xlpm.canal,INDEX($E$2:$P$2,COLUMN()-COLUMN($Q$2)+1),_xlpm.pos,SUMPRODUCT((Produção!$B$2:$B$109=$A49)*(Produção!$F$2:$F$109=_xlpm.canal)*ROW(Produção!$I$2:$I$109))-1,IF(_xlpm.pos&lt;1,"-------",IF(INDEX(Produção!$I$2:$I$109,_xlpm.pos)="","-------",INDEX(Produção!$I$2:$I$109,_xlpm.pos))))</f>
        <v>#REF!</v>
      </c>
      <c r="X49" s="42" t="e" cm="1">
        <f t="array" ref="X49">_xlfn.LET(_xlpm.canal,INDEX($E$2:$P$2,COLUMN()-COLUMN($Q$2)+1),_xlpm.pos,SUMPRODUCT((Produção!$B$2:$B$109=$A49)*(Produção!$F$2:$F$109=_xlpm.canal)*ROW(Produção!$I$2:$I$109))-1,IF(_xlpm.pos&lt;1,"-------",IF(INDEX(Produção!$I$2:$I$109,_xlpm.pos)="","-------",INDEX(Produção!$I$2:$I$109,_xlpm.pos))))</f>
        <v>#REF!</v>
      </c>
      <c r="Y49" s="42" t="e" cm="1">
        <f t="array" ref="Y49">_xlfn.LET(_xlpm.canal,INDEX($E$2:$P$2,COLUMN()-COLUMN($Q$2)+1),_xlpm.pos,SUMPRODUCT((Produção!$B$2:$B$109=$A49)*(Produção!$F$2:$F$109=_xlpm.canal)*ROW(Produção!$I$2:$I$109))-1,IF(_xlpm.pos&lt;1,"-------",IF(INDEX(Produção!$I$2:$I$109,_xlpm.pos)="","-------",INDEX(Produção!$I$2:$I$109,_xlpm.pos))))</f>
        <v>#REF!</v>
      </c>
      <c r="Z49" s="42" t="e" cm="1">
        <f t="array" ref="Z49">_xlfn.LET(_xlpm.canal,INDEX($E$2:$P$2,COLUMN()-COLUMN($Q$2)+1),_xlpm.pos,SUMPRODUCT((Produção!$B$2:$B$109=$A49)*(Produção!$F$2:$F$109=_xlpm.canal)*ROW(Produção!$I$2:$I$109))-1,IF(_xlpm.pos&lt;1,"-------",IF(INDEX(Produção!$I$2:$I$109,_xlpm.pos)="","-------",INDEX(Produção!$I$2:$I$109,_xlpm.pos))))</f>
        <v>#REF!</v>
      </c>
      <c r="AA49" s="42" t="e" cm="1">
        <f t="array" ref="AA49">_xlfn.LET(_xlpm.canal,INDEX($E$2:$P$2,COLUMN()-COLUMN($Q$2)+1),_xlpm.pos,SUMPRODUCT((Produção!$B$2:$B$109=$A49)*(Produção!$F$2:$F$109=_xlpm.canal)*ROW(Produção!$I$2:$I$109))-1,IF(_xlpm.pos&lt;1,"-------",IF(INDEX(Produção!$I$2:$I$109,_xlpm.pos)="","-------",INDEX(Produção!$I$2:$I$109,_xlpm.pos))))</f>
        <v>#REF!</v>
      </c>
      <c r="AB49" s="42" t="e" cm="1">
        <f t="array" ref="AB49">_xlfn.LET(_xlpm.canal,INDEX($E$2:$P$2,COLUMN()-COLUMN($Q$2)+1),_xlpm.pos,SUMPRODUCT((Produção!$B$2:$B$109=$A49)*(Produção!$F$2:$F$109=_xlpm.canal)*ROW(Produção!$I$2:$I$109))-1,IF(_xlpm.pos&lt;1,"-------",IF(INDEX(Produção!$I$2:$I$109,_xlpm.pos)="","-------",INDEX(Produção!$I$2:$I$109,_xlpm.pos))))</f>
        <v>#REF!</v>
      </c>
      <c r="AD49" s="34" t="e" cm="1">
        <f t="array" ref="AD49">SUMPRODUCT(($Q49:$AB49&lt;&gt;"-------")*1)</f>
        <v>#REF!</v>
      </c>
      <c r="AE49" s="34">
        <f>RANK($D49,$D$3:$D$90)+COUNTIF($D$3:$D49,$D49)-1</f>
        <v>47</v>
      </c>
    </row>
    <row r="50" spans="1:31">
      <c r="A50" s="38" t="e" cm="1">
        <f t="array" ref="A50">INDEX(Produção!B$2:B$109,(ROW()-3)*12+1)</f>
        <v>#REF!</v>
      </c>
      <c r="B50" s="39" t="e" cm="1">
        <f t="array" ref="B50">INDEX(Produção!C$2:C$109,(ROW()-3)*12+1)</f>
        <v>#REF!</v>
      </c>
      <c r="C50" s="39" t="e" cm="1">
        <f t="array" ref="C50">INDEX(Produção!D$2:D$109,(ROW()-3)*12+1)</f>
        <v>#REF!</v>
      </c>
      <c r="D50" s="40">
        <f t="shared" si="0"/>
        <v>0</v>
      </c>
      <c r="E50" s="41">
        <f>SUMIFS(Produção!$G$2:$G$109,Produção!$B$2:$B$109,$A50,Produção!$F$2:$F$109,E$2)</f>
        <v>0</v>
      </c>
      <c r="F50" s="41">
        <f>SUMIFS(Produção!$G$2:$G$109,Produção!$B$2:$B$109,$A50,Produção!$F$2:$F$109,F$2)</f>
        <v>0</v>
      </c>
      <c r="G50" s="41">
        <f>SUMIFS(Produção!$G$2:$G$109,Produção!$B$2:$B$109,$A50,Produção!$F$2:$F$109,G$2)</f>
        <v>0</v>
      </c>
      <c r="H50" s="41">
        <f>SUMIFS(Produção!$G$2:$G$109,Produção!$B$2:$B$109,$A50,Produção!$F$2:$F$109,H$2)</f>
        <v>0</v>
      </c>
      <c r="I50" s="41">
        <f>SUMIFS(Produção!$G$2:$G$109,Produção!$B$2:$B$109,$A50,Produção!$F$2:$F$109,I$2)</f>
        <v>0</v>
      </c>
      <c r="J50" s="41">
        <f>SUMIFS(Produção!$G$2:$G$109,Produção!$B$2:$B$109,$A50,Produção!$F$2:$F$109,J$2)</f>
        <v>0</v>
      </c>
      <c r="K50" s="41">
        <f>SUMIFS(Produção!$G$2:$G$109,Produção!$B$2:$B$109,$A50,Produção!$F$2:$F$109,K$2)</f>
        <v>0</v>
      </c>
      <c r="L50" s="41">
        <f>SUMIFS(Produção!$G$2:$G$109,Produção!$B$2:$B$109,$A50,Produção!$F$2:$F$109,L$2)</f>
        <v>0</v>
      </c>
      <c r="M50" s="41">
        <f>SUMIFS(Produção!$G$2:$G$109,Produção!$B$2:$B$109,$A50,Produção!$F$2:$F$109,M$2)</f>
        <v>0</v>
      </c>
      <c r="N50" s="41">
        <f>SUMIFS(Produção!$G$2:$G$109,Produção!$B$2:$B$109,$A50,Produção!$F$2:$F$109,N$2)</f>
        <v>0</v>
      </c>
      <c r="O50" s="41">
        <f>SUMIFS(Produção!$G$2:$G$109,Produção!$B$2:$B$109,$A50,Produção!$F$2:$F$109,O$2)</f>
        <v>0</v>
      </c>
      <c r="P50" s="41">
        <f>SUMIFS(Produção!$G$2:$G$109,Produção!$B$2:$B$109,$A50,Produção!$F$2:$F$109,P$2)</f>
        <v>0</v>
      </c>
      <c r="Q50" s="42" t="e" cm="1">
        <f t="array" ref="Q50">_xlfn.LET(_xlpm.canal,INDEX($E$2:$P$2,COLUMN()-COLUMN($Q$2)+1),_xlpm.pos,SUMPRODUCT((Produção!$B$2:$B$109=$A50)*(Produção!$F$2:$F$109=_xlpm.canal)*ROW(Produção!$I$2:$I$109))-1,IF(_xlpm.pos&lt;1,"-------",IF(INDEX(Produção!$I$2:$I$109,_xlpm.pos)="","-------",INDEX(Produção!$I$2:$I$109,_xlpm.pos))))</f>
        <v>#REF!</v>
      </c>
      <c r="R50" s="42" t="e" cm="1">
        <f t="array" ref="R50">_xlfn.LET(_xlpm.canal,INDEX($E$2:$P$2,COLUMN()-COLUMN($Q$2)+1),_xlpm.pos,SUMPRODUCT((Produção!$B$2:$B$109=$A50)*(Produção!$F$2:$F$109=_xlpm.canal)*ROW(Produção!$I$2:$I$109))-1,IF(_xlpm.pos&lt;1,"-------",IF(INDEX(Produção!$I$2:$I$109,_xlpm.pos)="","-------",INDEX(Produção!$I$2:$I$109,_xlpm.pos))))</f>
        <v>#REF!</v>
      </c>
      <c r="S50" s="42" t="e" cm="1">
        <f t="array" ref="S50">_xlfn.LET(_xlpm.canal,INDEX($E$2:$P$2,COLUMN()-COLUMN($Q$2)+1),_xlpm.pos,SUMPRODUCT((Produção!$B$2:$B$109=$A50)*(Produção!$F$2:$F$109=_xlpm.canal)*ROW(Produção!$I$2:$I$109))-1,IF(_xlpm.pos&lt;1,"-------",IF(INDEX(Produção!$I$2:$I$109,_xlpm.pos)="","-------",INDEX(Produção!$I$2:$I$109,_xlpm.pos))))</f>
        <v>#REF!</v>
      </c>
      <c r="T50" s="42" t="e" cm="1">
        <f t="array" ref="T50">_xlfn.LET(_xlpm.canal,INDEX($E$2:$P$2,COLUMN()-COLUMN($Q$2)+1),_xlpm.pos,SUMPRODUCT((Produção!$B$2:$B$109=$A50)*(Produção!$F$2:$F$109=_xlpm.canal)*ROW(Produção!$I$2:$I$109))-1,IF(_xlpm.pos&lt;1,"-------",IF(INDEX(Produção!$I$2:$I$109,_xlpm.pos)="","-------",INDEX(Produção!$I$2:$I$109,_xlpm.pos))))</f>
        <v>#REF!</v>
      </c>
      <c r="U50" s="42" t="e" cm="1">
        <f t="array" ref="U50">_xlfn.LET(_xlpm.canal,INDEX($E$2:$P$2,COLUMN()-COLUMN($Q$2)+1),_xlpm.pos,SUMPRODUCT((Produção!$B$2:$B$109=$A50)*(Produção!$F$2:$F$109=_xlpm.canal)*ROW(Produção!$I$2:$I$109))-1,IF(_xlpm.pos&lt;1,"-------",IF(INDEX(Produção!$I$2:$I$109,_xlpm.pos)="","-------",INDEX(Produção!$I$2:$I$109,_xlpm.pos))))</f>
        <v>#REF!</v>
      </c>
      <c r="V50" s="42" t="e" cm="1">
        <f t="array" ref="V50">_xlfn.LET(_xlpm.canal,INDEX($E$2:$P$2,COLUMN()-COLUMN($Q$2)+1),_xlpm.pos,SUMPRODUCT((Produção!$B$2:$B$109=$A50)*(Produção!$F$2:$F$109=_xlpm.canal)*ROW(Produção!$I$2:$I$109))-1,IF(_xlpm.pos&lt;1,"-------",IF(INDEX(Produção!$I$2:$I$109,_xlpm.pos)="","-------",INDEX(Produção!$I$2:$I$109,_xlpm.pos))))</f>
        <v>#REF!</v>
      </c>
      <c r="W50" s="42" t="e" cm="1">
        <f t="array" ref="W50">_xlfn.LET(_xlpm.canal,INDEX($E$2:$P$2,COLUMN()-COLUMN($Q$2)+1),_xlpm.pos,SUMPRODUCT((Produção!$B$2:$B$109=$A50)*(Produção!$F$2:$F$109=_xlpm.canal)*ROW(Produção!$I$2:$I$109))-1,IF(_xlpm.pos&lt;1,"-------",IF(INDEX(Produção!$I$2:$I$109,_xlpm.pos)="","-------",INDEX(Produção!$I$2:$I$109,_xlpm.pos))))</f>
        <v>#REF!</v>
      </c>
      <c r="X50" s="42" t="e" cm="1">
        <f t="array" ref="X50">_xlfn.LET(_xlpm.canal,INDEX($E$2:$P$2,COLUMN()-COLUMN($Q$2)+1),_xlpm.pos,SUMPRODUCT((Produção!$B$2:$B$109=$A50)*(Produção!$F$2:$F$109=_xlpm.canal)*ROW(Produção!$I$2:$I$109))-1,IF(_xlpm.pos&lt;1,"-------",IF(INDEX(Produção!$I$2:$I$109,_xlpm.pos)="","-------",INDEX(Produção!$I$2:$I$109,_xlpm.pos))))</f>
        <v>#REF!</v>
      </c>
      <c r="Y50" s="42" t="e" cm="1">
        <f t="array" ref="Y50">_xlfn.LET(_xlpm.canal,INDEX($E$2:$P$2,COLUMN()-COLUMN($Q$2)+1),_xlpm.pos,SUMPRODUCT((Produção!$B$2:$B$109=$A50)*(Produção!$F$2:$F$109=_xlpm.canal)*ROW(Produção!$I$2:$I$109))-1,IF(_xlpm.pos&lt;1,"-------",IF(INDEX(Produção!$I$2:$I$109,_xlpm.pos)="","-------",INDEX(Produção!$I$2:$I$109,_xlpm.pos))))</f>
        <v>#REF!</v>
      </c>
      <c r="Z50" s="42" t="e" cm="1">
        <f t="array" ref="Z50">_xlfn.LET(_xlpm.canal,INDEX($E$2:$P$2,COLUMN()-COLUMN($Q$2)+1),_xlpm.pos,SUMPRODUCT((Produção!$B$2:$B$109=$A50)*(Produção!$F$2:$F$109=_xlpm.canal)*ROW(Produção!$I$2:$I$109))-1,IF(_xlpm.pos&lt;1,"-------",IF(INDEX(Produção!$I$2:$I$109,_xlpm.pos)="","-------",INDEX(Produção!$I$2:$I$109,_xlpm.pos))))</f>
        <v>#REF!</v>
      </c>
      <c r="AA50" s="42" t="e" cm="1">
        <f t="array" ref="AA50">_xlfn.LET(_xlpm.canal,INDEX($E$2:$P$2,COLUMN()-COLUMN($Q$2)+1),_xlpm.pos,SUMPRODUCT((Produção!$B$2:$B$109=$A50)*(Produção!$F$2:$F$109=_xlpm.canal)*ROW(Produção!$I$2:$I$109))-1,IF(_xlpm.pos&lt;1,"-------",IF(INDEX(Produção!$I$2:$I$109,_xlpm.pos)="","-------",INDEX(Produção!$I$2:$I$109,_xlpm.pos))))</f>
        <v>#REF!</v>
      </c>
      <c r="AB50" s="42" t="e" cm="1">
        <f t="array" ref="AB50">_xlfn.LET(_xlpm.canal,INDEX($E$2:$P$2,COLUMN()-COLUMN($Q$2)+1),_xlpm.pos,SUMPRODUCT((Produção!$B$2:$B$109=$A50)*(Produção!$F$2:$F$109=_xlpm.canal)*ROW(Produção!$I$2:$I$109))-1,IF(_xlpm.pos&lt;1,"-------",IF(INDEX(Produção!$I$2:$I$109,_xlpm.pos)="","-------",INDEX(Produção!$I$2:$I$109,_xlpm.pos))))</f>
        <v>#REF!</v>
      </c>
      <c r="AD50" s="34" t="e" cm="1">
        <f t="array" ref="AD50">SUMPRODUCT(($Q50:$AB50&lt;&gt;"-------")*1)</f>
        <v>#REF!</v>
      </c>
      <c r="AE50" s="34">
        <f>RANK($D50,$D$3:$D$90)+COUNTIF($D$3:$D50,$D50)-1</f>
        <v>48</v>
      </c>
    </row>
    <row r="51" spans="1:31">
      <c r="A51" s="38" t="e" cm="1">
        <f t="array" ref="A51">INDEX(Produção!B$2:B$109,(ROW()-3)*12+1)</f>
        <v>#REF!</v>
      </c>
      <c r="B51" s="39" t="e" cm="1">
        <f t="array" ref="B51">INDEX(Produção!C$2:C$109,(ROW()-3)*12+1)</f>
        <v>#REF!</v>
      </c>
      <c r="C51" s="39" t="e" cm="1">
        <f t="array" ref="C51">INDEX(Produção!D$2:D$109,(ROW()-3)*12+1)</f>
        <v>#REF!</v>
      </c>
      <c r="D51" s="40">
        <f t="shared" si="0"/>
        <v>0</v>
      </c>
      <c r="E51" s="41">
        <f>SUMIFS(Produção!$G$2:$G$109,Produção!$B$2:$B$109,$A51,Produção!$F$2:$F$109,E$2)</f>
        <v>0</v>
      </c>
      <c r="F51" s="41">
        <f>SUMIFS(Produção!$G$2:$G$109,Produção!$B$2:$B$109,$A51,Produção!$F$2:$F$109,F$2)</f>
        <v>0</v>
      </c>
      <c r="G51" s="41">
        <f>SUMIFS(Produção!$G$2:$G$109,Produção!$B$2:$B$109,$A51,Produção!$F$2:$F$109,G$2)</f>
        <v>0</v>
      </c>
      <c r="H51" s="41">
        <f>SUMIFS(Produção!$G$2:$G$109,Produção!$B$2:$B$109,$A51,Produção!$F$2:$F$109,H$2)</f>
        <v>0</v>
      </c>
      <c r="I51" s="41">
        <f>SUMIFS(Produção!$G$2:$G$109,Produção!$B$2:$B$109,$A51,Produção!$F$2:$F$109,I$2)</f>
        <v>0</v>
      </c>
      <c r="J51" s="41">
        <f>SUMIFS(Produção!$G$2:$G$109,Produção!$B$2:$B$109,$A51,Produção!$F$2:$F$109,J$2)</f>
        <v>0</v>
      </c>
      <c r="K51" s="41">
        <f>SUMIFS(Produção!$G$2:$G$109,Produção!$B$2:$B$109,$A51,Produção!$F$2:$F$109,K$2)</f>
        <v>0</v>
      </c>
      <c r="L51" s="41">
        <f>SUMIFS(Produção!$G$2:$G$109,Produção!$B$2:$B$109,$A51,Produção!$F$2:$F$109,L$2)</f>
        <v>0</v>
      </c>
      <c r="M51" s="41">
        <f>SUMIFS(Produção!$G$2:$G$109,Produção!$B$2:$B$109,$A51,Produção!$F$2:$F$109,M$2)</f>
        <v>0</v>
      </c>
      <c r="N51" s="41">
        <f>SUMIFS(Produção!$G$2:$G$109,Produção!$B$2:$B$109,$A51,Produção!$F$2:$F$109,N$2)</f>
        <v>0</v>
      </c>
      <c r="O51" s="41">
        <f>SUMIFS(Produção!$G$2:$G$109,Produção!$B$2:$B$109,$A51,Produção!$F$2:$F$109,O$2)</f>
        <v>0</v>
      </c>
      <c r="P51" s="41">
        <f>SUMIFS(Produção!$G$2:$G$109,Produção!$B$2:$B$109,$A51,Produção!$F$2:$F$109,P$2)</f>
        <v>0</v>
      </c>
      <c r="Q51" s="42" t="e" cm="1">
        <f t="array" ref="Q51">_xlfn.LET(_xlpm.canal,INDEX($E$2:$P$2,COLUMN()-COLUMN($Q$2)+1),_xlpm.pos,SUMPRODUCT((Produção!$B$2:$B$109=$A51)*(Produção!$F$2:$F$109=_xlpm.canal)*ROW(Produção!$I$2:$I$109))-1,IF(_xlpm.pos&lt;1,"-------",IF(INDEX(Produção!$I$2:$I$109,_xlpm.pos)="","-------",INDEX(Produção!$I$2:$I$109,_xlpm.pos))))</f>
        <v>#REF!</v>
      </c>
      <c r="R51" s="42" t="e" cm="1">
        <f t="array" ref="R51">_xlfn.LET(_xlpm.canal,INDEX($E$2:$P$2,COLUMN()-COLUMN($Q$2)+1),_xlpm.pos,SUMPRODUCT((Produção!$B$2:$B$109=$A51)*(Produção!$F$2:$F$109=_xlpm.canal)*ROW(Produção!$I$2:$I$109))-1,IF(_xlpm.pos&lt;1,"-------",IF(INDEX(Produção!$I$2:$I$109,_xlpm.pos)="","-------",INDEX(Produção!$I$2:$I$109,_xlpm.pos))))</f>
        <v>#REF!</v>
      </c>
      <c r="S51" s="42" t="e" cm="1">
        <f t="array" ref="S51">_xlfn.LET(_xlpm.canal,INDEX($E$2:$P$2,COLUMN()-COLUMN($Q$2)+1),_xlpm.pos,SUMPRODUCT((Produção!$B$2:$B$109=$A51)*(Produção!$F$2:$F$109=_xlpm.canal)*ROW(Produção!$I$2:$I$109))-1,IF(_xlpm.pos&lt;1,"-------",IF(INDEX(Produção!$I$2:$I$109,_xlpm.pos)="","-------",INDEX(Produção!$I$2:$I$109,_xlpm.pos))))</f>
        <v>#REF!</v>
      </c>
      <c r="T51" s="42" t="e" cm="1">
        <f t="array" ref="T51">_xlfn.LET(_xlpm.canal,INDEX($E$2:$P$2,COLUMN()-COLUMN($Q$2)+1),_xlpm.pos,SUMPRODUCT((Produção!$B$2:$B$109=$A51)*(Produção!$F$2:$F$109=_xlpm.canal)*ROW(Produção!$I$2:$I$109))-1,IF(_xlpm.pos&lt;1,"-------",IF(INDEX(Produção!$I$2:$I$109,_xlpm.pos)="","-------",INDEX(Produção!$I$2:$I$109,_xlpm.pos))))</f>
        <v>#REF!</v>
      </c>
      <c r="U51" s="42" t="e" cm="1">
        <f t="array" ref="U51">_xlfn.LET(_xlpm.canal,INDEX($E$2:$P$2,COLUMN()-COLUMN($Q$2)+1),_xlpm.pos,SUMPRODUCT((Produção!$B$2:$B$109=$A51)*(Produção!$F$2:$F$109=_xlpm.canal)*ROW(Produção!$I$2:$I$109))-1,IF(_xlpm.pos&lt;1,"-------",IF(INDEX(Produção!$I$2:$I$109,_xlpm.pos)="","-------",INDEX(Produção!$I$2:$I$109,_xlpm.pos))))</f>
        <v>#REF!</v>
      </c>
      <c r="V51" s="42" t="e" cm="1">
        <f t="array" ref="V51">_xlfn.LET(_xlpm.canal,INDEX($E$2:$P$2,COLUMN()-COLUMN($Q$2)+1),_xlpm.pos,SUMPRODUCT((Produção!$B$2:$B$109=$A51)*(Produção!$F$2:$F$109=_xlpm.canal)*ROW(Produção!$I$2:$I$109))-1,IF(_xlpm.pos&lt;1,"-------",IF(INDEX(Produção!$I$2:$I$109,_xlpm.pos)="","-------",INDEX(Produção!$I$2:$I$109,_xlpm.pos))))</f>
        <v>#REF!</v>
      </c>
      <c r="W51" s="42" t="e" cm="1">
        <f t="array" ref="W51">_xlfn.LET(_xlpm.canal,INDEX($E$2:$P$2,COLUMN()-COLUMN($Q$2)+1),_xlpm.pos,SUMPRODUCT((Produção!$B$2:$B$109=$A51)*(Produção!$F$2:$F$109=_xlpm.canal)*ROW(Produção!$I$2:$I$109))-1,IF(_xlpm.pos&lt;1,"-------",IF(INDEX(Produção!$I$2:$I$109,_xlpm.pos)="","-------",INDEX(Produção!$I$2:$I$109,_xlpm.pos))))</f>
        <v>#REF!</v>
      </c>
      <c r="X51" s="42" t="e" cm="1">
        <f t="array" ref="X51">_xlfn.LET(_xlpm.canal,INDEX($E$2:$P$2,COLUMN()-COLUMN($Q$2)+1),_xlpm.pos,SUMPRODUCT((Produção!$B$2:$B$109=$A51)*(Produção!$F$2:$F$109=_xlpm.canal)*ROW(Produção!$I$2:$I$109))-1,IF(_xlpm.pos&lt;1,"-------",IF(INDEX(Produção!$I$2:$I$109,_xlpm.pos)="","-------",INDEX(Produção!$I$2:$I$109,_xlpm.pos))))</f>
        <v>#REF!</v>
      </c>
      <c r="Y51" s="42" t="e" cm="1">
        <f t="array" ref="Y51">_xlfn.LET(_xlpm.canal,INDEX($E$2:$P$2,COLUMN()-COLUMN($Q$2)+1),_xlpm.pos,SUMPRODUCT((Produção!$B$2:$B$109=$A51)*(Produção!$F$2:$F$109=_xlpm.canal)*ROW(Produção!$I$2:$I$109))-1,IF(_xlpm.pos&lt;1,"-------",IF(INDEX(Produção!$I$2:$I$109,_xlpm.pos)="","-------",INDEX(Produção!$I$2:$I$109,_xlpm.pos))))</f>
        <v>#REF!</v>
      </c>
      <c r="Z51" s="42" t="e" cm="1">
        <f t="array" ref="Z51">_xlfn.LET(_xlpm.canal,INDEX($E$2:$P$2,COLUMN()-COLUMN($Q$2)+1),_xlpm.pos,SUMPRODUCT((Produção!$B$2:$B$109=$A51)*(Produção!$F$2:$F$109=_xlpm.canal)*ROW(Produção!$I$2:$I$109))-1,IF(_xlpm.pos&lt;1,"-------",IF(INDEX(Produção!$I$2:$I$109,_xlpm.pos)="","-------",INDEX(Produção!$I$2:$I$109,_xlpm.pos))))</f>
        <v>#REF!</v>
      </c>
      <c r="AA51" s="42" t="e" cm="1">
        <f t="array" ref="AA51">_xlfn.LET(_xlpm.canal,INDEX($E$2:$P$2,COLUMN()-COLUMN($Q$2)+1),_xlpm.pos,SUMPRODUCT((Produção!$B$2:$B$109=$A51)*(Produção!$F$2:$F$109=_xlpm.canal)*ROW(Produção!$I$2:$I$109))-1,IF(_xlpm.pos&lt;1,"-------",IF(INDEX(Produção!$I$2:$I$109,_xlpm.pos)="","-------",INDEX(Produção!$I$2:$I$109,_xlpm.pos))))</f>
        <v>#REF!</v>
      </c>
      <c r="AB51" s="42" t="e" cm="1">
        <f t="array" ref="AB51">_xlfn.LET(_xlpm.canal,INDEX($E$2:$P$2,COLUMN()-COLUMN($Q$2)+1),_xlpm.pos,SUMPRODUCT((Produção!$B$2:$B$109=$A51)*(Produção!$F$2:$F$109=_xlpm.canal)*ROW(Produção!$I$2:$I$109))-1,IF(_xlpm.pos&lt;1,"-------",IF(INDEX(Produção!$I$2:$I$109,_xlpm.pos)="","-------",INDEX(Produção!$I$2:$I$109,_xlpm.pos))))</f>
        <v>#REF!</v>
      </c>
      <c r="AD51" s="34" t="e" cm="1">
        <f t="array" ref="AD51">SUMPRODUCT(($Q51:$AB51&lt;&gt;"-------")*1)</f>
        <v>#REF!</v>
      </c>
      <c r="AE51" s="34">
        <f>RANK($D51,$D$3:$D$90)+COUNTIF($D$3:$D51,$D51)-1</f>
        <v>49</v>
      </c>
    </row>
    <row r="52" spans="1:31">
      <c r="A52" s="38" t="e" cm="1">
        <f t="array" ref="A52">INDEX(Produção!B$2:B$109,(ROW()-3)*12+1)</f>
        <v>#REF!</v>
      </c>
      <c r="B52" s="39" t="e" cm="1">
        <f t="array" ref="B52">INDEX(Produção!C$2:C$109,(ROW()-3)*12+1)</f>
        <v>#REF!</v>
      </c>
      <c r="C52" s="39" t="e" cm="1">
        <f t="array" ref="C52">INDEX(Produção!D$2:D$109,(ROW()-3)*12+1)</f>
        <v>#REF!</v>
      </c>
      <c r="D52" s="40">
        <f t="shared" si="0"/>
        <v>0</v>
      </c>
      <c r="E52" s="41">
        <f>SUMIFS(Produção!$G$2:$G$109,Produção!$B$2:$B$109,$A52,Produção!$F$2:$F$109,E$2)</f>
        <v>0</v>
      </c>
      <c r="F52" s="41">
        <f>SUMIFS(Produção!$G$2:$G$109,Produção!$B$2:$B$109,$A52,Produção!$F$2:$F$109,F$2)</f>
        <v>0</v>
      </c>
      <c r="G52" s="41">
        <f>SUMIFS(Produção!$G$2:$G$109,Produção!$B$2:$B$109,$A52,Produção!$F$2:$F$109,G$2)</f>
        <v>0</v>
      </c>
      <c r="H52" s="41">
        <f>SUMIFS(Produção!$G$2:$G$109,Produção!$B$2:$B$109,$A52,Produção!$F$2:$F$109,H$2)</f>
        <v>0</v>
      </c>
      <c r="I52" s="41">
        <f>SUMIFS(Produção!$G$2:$G$109,Produção!$B$2:$B$109,$A52,Produção!$F$2:$F$109,I$2)</f>
        <v>0</v>
      </c>
      <c r="J52" s="41">
        <f>SUMIFS(Produção!$G$2:$G$109,Produção!$B$2:$B$109,$A52,Produção!$F$2:$F$109,J$2)</f>
        <v>0</v>
      </c>
      <c r="K52" s="41">
        <f>SUMIFS(Produção!$G$2:$G$109,Produção!$B$2:$B$109,$A52,Produção!$F$2:$F$109,K$2)</f>
        <v>0</v>
      </c>
      <c r="L52" s="41">
        <f>SUMIFS(Produção!$G$2:$G$109,Produção!$B$2:$B$109,$A52,Produção!$F$2:$F$109,L$2)</f>
        <v>0</v>
      </c>
      <c r="M52" s="41">
        <f>SUMIFS(Produção!$G$2:$G$109,Produção!$B$2:$B$109,$A52,Produção!$F$2:$F$109,M$2)</f>
        <v>0</v>
      </c>
      <c r="N52" s="41">
        <f>SUMIFS(Produção!$G$2:$G$109,Produção!$B$2:$B$109,$A52,Produção!$F$2:$F$109,N$2)</f>
        <v>0</v>
      </c>
      <c r="O52" s="41">
        <f>SUMIFS(Produção!$G$2:$G$109,Produção!$B$2:$B$109,$A52,Produção!$F$2:$F$109,O$2)</f>
        <v>0</v>
      </c>
      <c r="P52" s="41">
        <f>SUMIFS(Produção!$G$2:$G$109,Produção!$B$2:$B$109,$A52,Produção!$F$2:$F$109,P$2)</f>
        <v>0</v>
      </c>
      <c r="Q52" s="42" t="e" cm="1">
        <f t="array" ref="Q52">_xlfn.LET(_xlpm.canal,INDEX($E$2:$P$2,COLUMN()-COLUMN($Q$2)+1),_xlpm.pos,SUMPRODUCT((Produção!$B$2:$B$109=$A52)*(Produção!$F$2:$F$109=_xlpm.canal)*ROW(Produção!$I$2:$I$109))-1,IF(_xlpm.pos&lt;1,"-------",IF(INDEX(Produção!$I$2:$I$109,_xlpm.pos)="","-------",INDEX(Produção!$I$2:$I$109,_xlpm.pos))))</f>
        <v>#REF!</v>
      </c>
      <c r="R52" s="42" t="e" cm="1">
        <f t="array" ref="R52">_xlfn.LET(_xlpm.canal,INDEX($E$2:$P$2,COLUMN()-COLUMN($Q$2)+1),_xlpm.pos,SUMPRODUCT((Produção!$B$2:$B$109=$A52)*(Produção!$F$2:$F$109=_xlpm.canal)*ROW(Produção!$I$2:$I$109))-1,IF(_xlpm.pos&lt;1,"-------",IF(INDEX(Produção!$I$2:$I$109,_xlpm.pos)="","-------",INDEX(Produção!$I$2:$I$109,_xlpm.pos))))</f>
        <v>#REF!</v>
      </c>
      <c r="S52" s="42" t="e" cm="1">
        <f t="array" ref="S52">_xlfn.LET(_xlpm.canal,INDEX($E$2:$P$2,COLUMN()-COLUMN($Q$2)+1),_xlpm.pos,SUMPRODUCT((Produção!$B$2:$B$109=$A52)*(Produção!$F$2:$F$109=_xlpm.canal)*ROW(Produção!$I$2:$I$109))-1,IF(_xlpm.pos&lt;1,"-------",IF(INDEX(Produção!$I$2:$I$109,_xlpm.pos)="","-------",INDEX(Produção!$I$2:$I$109,_xlpm.pos))))</f>
        <v>#REF!</v>
      </c>
      <c r="T52" s="42" t="e" cm="1">
        <f t="array" ref="T52">_xlfn.LET(_xlpm.canal,INDEX($E$2:$P$2,COLUMN()-COLUMN($Q$2)+1),_xlpm.pos,SUMPRODUCT((Produção!$B$2:$B$109=$A52)*(Produção!$F$2:$F$109=_xlpm.canal)*ROW(Produção!$I$2:$I$109))-1,IF(_xlpm.pos&lt;1,"-------",IF(INDEX(Produção!$I$2:$I$109,_xlpm.pos)="","-------",INDEX(Produção!$I$2:$I$109,_xlpm.pos))))</f>
        <v>#REF!</v>
      </c>
      <c r="U52" s="42" t="e" cm="1">
        <f t="array" ref="U52">_xlfn.LET(_xlpm.canal,INDEX($E$2:$P$2,COLUMN()-COLUMN($Q$2)+1),_xlpm.pos,SUMPRODUCT((Produção!$B$2:$B$109=$A52)*(Produção!$F$2:$F$109=_xlpm.canal)*ROW(Produção!$I$2:$I$109))-1,IF(_xlpm.pos&lt;1,"-------",IF(INDEX(Produção!$I$2:$I$109,_xlpm.pos)="","-------",INDEX(Produção!$I$2:$I$109,_xlpm.pos))))</f>
        <v>#REF!</v>
      </c>
      <c r="V52" s="42" t="e" cm="1">
        <f t="array" ref="V52">_xlfn.LET(_xlpm.canal,INDEX($E$2:$P$2,COLUMN()-COLUMN($Q$2)+1),_xlpm.pos,SUMPRODUCT((Produção!$B$2:$B$109=$A52)*(Produção!$F$2:$F$109=_xlpm.canal)*ROW(Produção!$I$2:$I$109))-1,IF(_xlpm.pos&lt;1,"-------",IF(INDEX(Produção!$I$2:$I$109,_xlpm.pos)="","-------",INDEX(Produção!$I$2:$I$109,_xlpm.pos))))</f>
        <v>#REF!</v>
      </c>
      <c r="W52" s="42" t="e" cm="1">
        <f t="array" ref="W52">_xlfn.LET(_xlpm.canal,INDEX($E$2:$P$2,COLUMN()-COLUMN($Q$2)+1),_xlpm.pos,SUMPRODUCT((Produção!$B$2:$B$109=$A52)*(Produção!$F$2:$F$109=_xlpm.canal)*ROW(Produção!$I$2:$I$109))-1,IF(_xlpm.pos&lt;1,"-------",IF(INDEX(Produção!$I$2:$I$109,_xlpm.pos)="","-------",INDEX(Produção!$I$2:$I$109,_xlpm.pos))))</f>
        <v>#REF!</v>
      </c>
      <c r="X52" s="42" t="e" cm="1">
        <f t="array" ref="X52">_xlfn.LET(_xlpm.canal,INDEX($E$2:$P$2,COLUMN()-COLUMN($Q$2)+1),_xlpm.pos,SUMPRODUCT((Produção!$B$2:$B$109=$A52)*(Produção!$F$2:$F$109=_xlpm.canal)*ROW(Produção!$I$2:$I$109))-1,IF(_xlpm.pos&lt;1,"-------",IF(INDEX(Produção!$I$2:$I$109,_xlpm.pos)="","-------",INDEX(Produção!$I$2:$I$109,_xlpm.pos))))</f>
        <v>#REF!</v>
      </c>
      <c r="Y52" s="42" t="e" cm="1">
        <f t="array" ref="Y52">_xlfn.LET(_xlpm.canal,INDEX($E$2:$P$2,COLUMN()-COLUMN($Q$2)+1),_xlpm.pos,SUMPRODUCT((Produção!$B$2:$B$109=$A52)*(Produção!$F$2:$F$109=_xlpm.canal)*ROW(Produção!$I$2:$I$109))-1,IF(_xlpm.pos&lt;1,"-------",IF(INDEX(Produção!$I$2:$I$109,_xlpm.pos)="","-------",INDEX(Produção!$I$2:$I$109,_xlpm.pos))))</f>
        <v>#REF!</v>
      </c>
      <c r="Z52" s="42" t="e" cm="1">
        <f t="array" ref="Z52">_xlfn.LET(_xlpm.canal,INDEX($E$2:$P$2,COLUMN()-COLUMN($Q$2)+1),_xlpm.pos,SUMPRODUCT((Produção!$B$2:$B$109=$A52)*(Produção!$F$2:$F$109=_xlpm.canal)*ROW(Produção!$I$2:$I$109))-1,IF(_xlpm.pos&lt;1,"-------",IF(INDEX(Produção!$I$2:$I$109,_xlpm.pos)="","-------",INDEX(Produção!$I$2:$I$109,_xlpm.pos))))</f>
        <v>#REF!</v>
      </c>
      <c r="AA52" s="42" t="e" cm="1">
        <f t="array" ref="AA52">_xlfn.LET(_xlpm.canal,INDEX($E$2:$P$2,COLUMN()-COLUMN($Q$2)+1),_xlpm.pos,SUMPRODUCT((Produção!$B$2:$B$109=$A52)*(Produção!$F$2:$F$109=_xlpm.canal)*ROW(Produção!$I$2:$I$109))-1,IF(_xlpm.pos&lt;1,"-------",IF(INDEX(Produção!$I$2:$I$109,_xlpm.pos)="","-------",INDEX(Produção!$I$2:$I$109,_xlpm.pos))))</f>
        <v>#REF!</v>
      </c>
      <c r="AB52" s="42" t="e" cm="1">
        <f t="array" ref="AB52">_xlfn.LET(_xlpm.canal,INDEX($E$2:$P$2,COLUMN()-COLUMN($Q$2)+1),_xlpm.pos,SUMPRODUCT((Produção!$B$2:$B$109=$A52)*(Produção!$F$2:$F$109=_xlpm.canal)*ROW(Produção!$I$2:$I$109))-1,IF(_xlpm.pos&lt;1,"-------",IF(INDEX(Produção!$I$2:$I$109,_xlpm.pos)="","-------",INDEX(Produção!$I$2:$I$109,_xlpm.pos))))</f>
        <v>#REF!</v>
      </c>
      <c r="AD52" s="34" t="e" cm="1">
        <f t="array" ref="AD52">SUMPRODUCT(($Q52:$AB52&lt;&gt;"-------")*1)</f>
        <v>#REF!</v>
      </c>
      <c r="AE52" s="34">
        <f>RANK($D52,$D$3:$D$90)+COUNTIF($D$3:$D52,$D52)-1</f>
        <v>50</v>
      </c>
    </row>
    <row r="53" spans="1:31">
      <c r="A53" s="38" t="e" cm="1">
        <f t="array" ref="A53">INDEX(Produção!B$2:B$109,(ROW()-3)*12+1)</f>
        <v>#REF!</v>
      </c>
      <c r="B53" s="39" t="e" cm="1">
        <f t="array" ref="B53">INDEX(Produção!C$2:C$109,(ROW()-3)*12+1)</f>
        <v>#REF!</v>
      </c>
      <c r="C53" s="39" t="e" cm="1">
        <f t="array" ref="C53">INDEX(Produção!D$2:D$109,(ROW()-3)*12+1)</f>
        <v>#REF!</v>
      </c>
      <c r="D53" s="40">
        <f t="shared" si="0"/>
        <v>0</v>
      </c>
      <c r="E53" s="41">
        <f>SUMIFS(Produção!$G$2:$G$109,Produção!$B$2:$B$109,$A53,Produção!$F$2:$F$109,E$2)</f>
        <v>0</v>
      </c>
      <c r="F53" s="41">
        <f>SUMIFS(Produção!$G$2:$G$109,Produção!$B$2:$B$109,$A53,Produção!$F$2:$F$109,F$2)</f>
        <v>0</v>
      </c>
      <c r="G53" s="41">
        <f>SUMIFS(Produção!$G$2:$G$109,Produção!$B$2:$B$109,$A53,Produção!$F$2:$F$109,G$2)</f>
        <v>0</v>
      </c>
      <c r="H53" s="41">
        <f>SUMIFS(Produção!$G$2:$G$109,Produção!$B$2:$B$109,$A53,Produção!$F$2:$F$109,H$2)</f>
        <v>0</v>
      </c>
      <c r="I53" s="41">
        <f>SUMIFS(Produção!$G$2:$G$109,Produção!$B$2:$B$109,$A53,Produção!$F$2:$F$109,I$2)</f>
        <v>0</v>
      </c>
      <c r="J53" s="41">
        <f>SUMIFS(Produção!$G$2:$G$109,Produção!$B$2:$B$109,$A53,Produção!$F$2:$F$109,J$2)</f>
        <v>0</v>
      </c>
      <c r="K53" s="41">
        <f>SUMIFS(Produção!$G$2:$G$109,Produção!$B$2:$B$109,$A53,Produção!$F$2:$F$109,K$2)</f>
        <v>0</v>
      </c>
      <c r="L53" s="41">
        <f>SUMIFS(Produção!$G$2:$G$109,Produção!$B$2:$B$109,$A53,Produção!$F$2:$F$109,L$2)</f>
        <v>0</v>
      </c>
      <c r="M53" s="41">
        <f>SUMIFS(Produção!$G$2:$G$109,Produção!$B$2:$B$109,$A53,Produção!$F$2:$F$109,M$2)</f>
        <v>0</v>
      </c>
      <c r="N53" s="41">
        <f>SUMIFS(Produção!$G$2:$G$109,Produção!$B$2:$B$109,$A53,Produção!$F$2:$F$109,N$2)</f>
        <v>0</v>
      </c>
      <c r="O53" s="41">
        <f>SUMIFS(Produção!$G$2:$G$109,Produção!$B$2:$B$109,$A53,Produção!$F$2:$F$109,O$2)</f>
        <v>0</v>
      </c>
      <c r="P53" s="41">
        <f>SUMIFS(Produção!$G$2:$G$109,Produção!$B$2:$B$109,$A53,Produção!$F$2:$F$109,P$2)</f>
        <v>0</v>
      </c>
      <c r="Q53" s="42" t="e" cm="1">
        <f t="array" ref="Q53">_xlfn.LET(_xlpm.canal,INDEX($E$2:$P$2,COLUMN()-COLUMN($Q$2)+1),_xlpm.pos,SUMPRODUCT((Produção!$B$2:$B$109=$A53)*(Produção!$F$2:$F$109=_xlpm.canal)*ROW(Produção!$I$2:$I$109))-1,IF(_xlpm.pos&lt;1,"-------",IF(INDEX(Produção!$I$2:$I$109,_xlpm.pos)="","-------",INDEX(Produção!$I$2:$I$109,_xlpm.pos))))</f>
        <v>#REF!</v>
      </c>
      <c r="R53" s="42" t="e" cm="1">
        <f t="array" ref="R53">_xlfn.LET(_xlpm.canal,INDEX($E$2:$P$2,COLUMN()-COLUMN($Q$2)+1),_xlpm.pos,SUMPRODUCT((Produção!$B$2:$B$109=$A53)*(Produção!$F$2:$F$109=_xlpm.canal)*ROW(Produção!$I$2:$I$109))-1,IF(_xlpm.pos&lt;1,"-------",IF(INDEX(Produção!$I$2:$I$109,_xlpm.pos)="","-------",INDEX(Produção!$I$2:$I$109,_xlpm.pos))))</f>
        <v>#REF!</v>
      </c>
      <c r="S53" s="42" t="e" cm="1">
        <f t="array" ref="S53">_xlfn.LET(_xlpm.canal,INDEX($E$2:$P$2,COLUMN()-COLUMN($Q$2)+1),_xlpm.pos,SUMPRODUCT((Produção!$B$2:$B$109=$A53)*(Produção!$F$2:$F$109=_xlpm.canal)*ROW(Produção!$I$2:$I$109))-1,IF(_xlpm.pos&lt;1,"-------",IF(INDEX(Produção!$I$2:$I$109,_xlpm.pos)="","-------",INDEX(Produção!$I$2:$I$109,_xlpm.pos))))</f>
        <v>#REF!</v>
      </c>
      <c r="T53" s="42" t="e" cm="1">
        <f t="array" ref="T53">_xlfn.LET(_xlpm.canal,INDEX($E$2:$P$2,COLUMN()-COLUMN($Q$2)+1),_xlpm.pos,SUMPRODUCT((Produção!$B$2:$B$109=$A53)*(Produção!$F$2:$F$109=_xlpm.canal)*ROW(Produção!$I$2:$I$109))-1,IF(_xlpm.pos&lt;1,"-------",IF(INDEX(Produção!$I$2:$I$109,_xlpm.pos)="","-------",INDEX(Produção!$I$2:$I$109,_xlpm.pos))))</f>
        <v>#REF!</v>
      </c>
      <c r="U53" s="42" t="e" cm="1">
        <f t="array" ref="U53">_xlfn.LET(_xlpm.canal,INDEX($E$2:$P$2,COLUMN()-COLUMN($Q$2)+1),_xlpm.pos,SUMPRODUCT((Produção!$B$2:$B$109=$A53)*(Produção!$F$2:$F$109=_xlpm.canal)*ROW(Produção!$I$2:$I$109))-1,IF(_xlpm.pos&lt;1,"-------",IF(INDEX(Produção!$I$2:$I$109,_xlpm.pos)="","-------",INDEX(Produção!$I$2:$I$109,_xlpm.pos))))</f>
        <v>#REF!</v>
      </c>
      <c r="V53" s="42" t="e" cm="1">
        <f t="array" ref="V53">_xlfn.LET(_xlpm.canal,INDEX($E$2:$P$2,COLUMN()-COLUMN($Q$2)+1),_xlpm.pos,SUMPRODUCT((Produção!$B$2:$B$109=$A53)*(Produção!$F$2:$F$109=_xlpm.canal)*ROW(Produção!$I$2:$I$109))-1,IF(_xlpm.pos&lt;1,"-------",IF(INDEX(Produção!$I$2:$I$109,_xlpm.pos)="","-------",INDEX(Produção!$I$2:$I$109,_xlpm.pos))))</f>
        <v>#REF!</v>
      </c>
      <c r="W53" s="42" t="e" cm="1">
        <f t="array" ref="W53">_xlfn.LET(_xlpm.canal,INDEX($E$2:$P$2,COLUMN()-COLUMN($Q$2)+1),_xlpm.pos,SUMPRODUCT((Produção!$B$2:$B$109=$A53)*(Produção!$F$2:$F$109=_xlpm.canal)*ROW(Produção!$I$2:$I$109))-1,IF(_xlpm.pos&lt;1,"-------",IF(INDEX(Produção!$I$2:$I$109,_xlpm.pos)="","-------",INDEX(Produção!$I$2:$I$109,_xlpm.pos))))</f>
        <v>#REF!</v>
      </c>
      <c r="X53" s="42" t="e" cm="1">
        <f t="array" ref="X53">_xlfn.LET(_xlpm.canal,INDEX($E$2:$P$2,COLUMN()-COLUMN($Q$2)+1),_xlpm.pos,SUMPRODUCT((Produção!$B$2:$B$109=$A53)*(Produção!$F$2:$F$109=_xlpm.canal)*ROW(Produção!$I$2:$I$109))-1,IF(_xlpm.pos&lt;1,"-------",IF(INDEX(Produção!$I$2:$I$109,_xlpm.pos)="","-------",INDEX(Produção!$I$2:$I$109,_xlpm.pos))))</f>
        <v>#REF!</v>
      </c>
      <c r="Y53" s="42" t="e" cm="1">
        <f t="array" ref="Y53">_xlfn.LET(_xlpm.canal,INDEX($E$2:$P$2,COLUMN()-COLUMN($Q$2)+1),_xlpm.pos,SUMPRODUCT((Produção!$B$2:$B$109=$A53)*(Produção!$F$2:$F$109=_xlpm.canal)*ROW(Produção!$I$2:$I$109))-1,IF(_xlpm.pos&lt;1,"-------",IF(INDEX(Produção!$I$2:$I$109,_xlpm.pos)="","-------",INDEX(Produção!$I$2:$I$109,_xlpm.pos))))</f>
        <v>#REF!</v>
      </c>
      <c r="Z53" s="42" t="e" cm="1">
        <f t="array" ref="Z53">_xlfn.LET(_xlpm.canal,INDEX($E$2:$P$2,COLUMN()-COLUMN($Q$2)+1),_xlpm.pos,SUMPRODUCT((Produção!$B$2:$B$109=$A53)*(Produção!$F$2:$F$109=_xlpm.canal)*ROW(Produção!$I$2:$I$109))-1,IF(_xlpm.pos&lt;1,"-------",IF(INDEX(Produção!$I$2:$I$109,_xlpm.pos)="","-------",INDEX(Produção!$I$2:$I$109,_xlpm.pos))))</f>
        <v>#REF!</v>
      </c>
      <c r="AA53" s="42" t="e" cm="1">
        <f t="array" ref="AA53">_xlfn.LET(_xlpm.canal,INDEX($E$2:$P$2,COLUMN()-COLUMN($Q$2)+1),_xlpm.pos,SUMPRODUCT((Produção!$B$2:$B$109=$A53)*(Produção!$F$2:$F$109=_xlpm.canal)*ROW(Produção!$I$2:$I$109))-1,IF(_xlpm.pos&lt;1,"-------",IF(INDEX(Produção!$I$2:$I$109,_xlpm.pos)="","-------",INDEX(Produção!$I$2:$I$109,_xlpm.pos))))</f>
        <v>#REF!</v>
      </c>
      <c r="AB53" s="42" t="e" cm="1">
        <f t="array" ref="AB53">_xlfn.LET(_xlpm.canal,INDEX($E$2:$P$2,COLUMN()-COLUMN($Q$2)+1),_xlpm.pos,SUMPRODUCT((Produção!$B$2:$B$109=$A53)*(Produção!$F$2:$F$109=_xlpm.canal)*ROW(Produção!$I$2:$I$109))-1,IF(_xlpm.pos&lt;1,"-------",IF(INDEX(Produção!$I$2:$I$109,_xlpm.pos)="","-------",INDEX(Produção!$I$2:$I$109,_xlpm.pos))))</f>
        <v>#REF!</v>
      </c>
      <c r="AD53" s="34" t="e" cm="1">
        <f t="array" ref="AD53">SUMPRODUCT(($Q53:$AB53&lt;&gt;"-------")*1)</f>
        <v>#REF!</v>
      </c>
      <c r="AE53" s="34">
        <f>RANK($D53,$D$3:$D$90)+COUNTIF($D$3:$D53,$D53)-1</f>
        <v>51</v>
      </c>
    </row>
    <row r="54" spans="1:31">
      <c r="A54" s="38" t="e" cm="1">
        <f t="array" ref="A54">INDEX(Produção!B$2:B$109,(ROW()-3)*12+1)</f>
        <v>#REF!</v>
      </c>
      <c r="B54" s="39" t="e" cm="1">
        <f t="array" ref="B54">INDEX(Produção!C$2:C$109,(ROW()-3)*12+1)</f>
        <v>#REF!</v>
      </c>
      <c r="C54" s="39" t="e" cm="1">
        <f t="array" ref="C54">INDEX(Produção!D$2:D$109,(ROW()-3)*12+1)</f>
        <v>#REF!</v>
      </c>
      <c r="D54" s="40">
        <f t="shared" si="0"/>
        <v>0</v>
      </c>
      <c r="E54" s="41">
        <f>SUMIFS(Produção!$G$2:$G$109,Produção!$B$2:$B$109,$A54,Produção!$F$2:$F$109,E$2)</f>
        <v>0</v>
      </c>
      <c r="F54" s="41">
        <f>SUMIFS(Produção!$G$2:$G$109,Produção!$B$2:$B$109,$A54,Produção!$F$2:$F$109,F$2)</f>
        <v>0</v>
      </c>
      <c r="G54" s="41">
        <f>SUMIFS(Produção!$G$2:$G$109,Produção!$B$2:$B$109,$A54,Produção!$F$2:$F$109,G$2)</f>
        <v>0</v>
      </c>
      <c r="H54" s="41">
        <f>SUMIFS(Produção!$G$2:$G$109,Produção!$B$2:$B$109,$A54,Produção!$F$2:$F$109,H$2)</f>
        <v>0</v>
      </c>
      <c r="I54" s="41">
        <f>SUMIFS(Produção!$G$2:$G$109,Produção!$B$2:$B$109,$A54,Produção!$F$2:$F$109,I$2)</f>
        <v>0</v>
      </c>
      <c r="J54" s="41">
        <f>SUMIFS(Produção!$G$2:$G$109,Produção!$B$2:$B$109,$A54,Produção!$F$2:$F$109,J$2)</f>
        <v>0</v>
      </c>
      <c r="K54" s="41">
        <f>SUMIFS(Produção!$G$2:$G$109,Produção!$B$2:$B$109,$A54,Produção!$F$2:$F$109,K$2)</f>
        <v>0</v>
      </c>
      <c r="L54" s="41">
        <f>SUMIFS(Produção!$G$2:$G$109,Produção!$B$2:$B$109,$A54,Produção!$F$2:$F$109,L$2)</f>
        <v>0</v>
      </c>
      <c r="M54" s="41">
        <f>SUMIFS(Produção!$G$2:$G$109,Produção!$B$2:$B$109,$A54,Produção!$F$2:$F$109,M$2)</f>
        <v>0</v>
      </c>
      <c r="N54" s="41">
        <f>SUMIFS(Produção!$G$2:$G$109,Produção!$B$2:$B$109,$A54,Produção!$F$2:$F$109,N$2)</f>
        <v>0</v>
      </c>
      <c r="O54" s="41">
        <f>SUMIFS(Produção!$G$2:$G$109,Produção!$B$2:$B$109,$A54,Produção!$F$2:$F$109,O$2)</f>
        <v>0</v>
      </c>
      <c r="P54" s="41">
        <f>SUMIFS(Produção!$G$2:$G$109,Produção!$B$2:$B$109,$A54,Produção!$F$2:$F$109,P$2)</f>
        <v>0</v>
      </c>
      <c r="Q54" s="42" t="e" cm="1">
        <f t="array" ref="Q54">_xlfn.LET(_xlpm.canal,INDEX($E$2:$P$2,COLUMN()-COLUMN($Q$2)+1),_xlpm.pos,SUMPRODUCT((Produção!$B$2:$B$109=$A54)*(Produção!$F$2:$F$109=_xlpm.canal)*ROW(Produção!$I$2:$I$109))-1,IF(_xlpm.pos&lt;1,"-------",IF(INDEX(Produção!$I$2:$I$109,_xlpm.pos)="","-------",INDEX(Produção!$I$2:$I$109,_xlpm.pos))))</f>
        <v>#REF!</v>
      </c>
      <c r="R54" s="42" t="e" cm="1">
        <f t="array" ref="R54">_xlfn.LET(_xlpm.canal,INDEX($E$2:$P$2,COLUMN()-COLUMN($Q$2)+1),_xlpm.pos,SUMPRODUCT((Produção!$B$2:$B$109=$A54)*(Produção!$F$2:$F$109=_xlpm.canal)*ROW(Produção!$I$2:$I$109))-1,IF(_xlpm.pos&lt;1,"-------",IF(INDEX(Produção!$I$2:$I$109,_xlpm.pos)="","-------",INDEX(Produção!$I$2:$I$109,_xlpm.pos))))</f>
        <v>#REF!</v>
      </c>
      <c r="S54" s="42" t="e" cm="1">
        <f t="array" ref="S54">_xlfn.LET(_xlpm.canal,INDEX($E$2:$P$2,COLUMN()-COLUMN($Q$2)+1),_xlpm.pos,SUMPRODUCT((Produção!$B$2:$B$109=$A54)*(Produção!$F$2:$F$109=_xlpm.canal)*ROW(Produção!$I$2:$I$109))-1,IF(_xlpm.pos&lt;1,"-------",IF(INDEX(Produção!$I$2:$I$109,_xlpm.pos)="","-------",INDEX(Produção!$I$2:$I$109,_xlpm.pos))))</f>
        <v>#REF!</v>
      </c>
      <c r="T54" s="42" t="e" cm="1">
        <f t="array" ref="T54">_xlfn.LET(_xlpm.canal,INDEX($E$2:$P$2,COLUMN()-COLUMN($Q$2)+1),_xlpm.pos,SUMPRODUCT((Produção!$B$2:$B$109=$A54)*(Produção!$F$2:$F$109=_xlpm.canal)*ROW(Produção!$I$2:$I$109))-1,IF(_xlpm.pos&lt;1,"-------",IF(INDEX(Produção!$I$2:$I$109,_xlpm.pos)="","-------",INDEX(Produção!$I$2:$I$109,_xlpm.pos))))</f>
        <v>#REF!</v>
      </c>
      <c r="U54" s="42" t="e" cm="1">
        <f t="array" ref="U54">_xlfn.LET(_xlpm.canal,INDEX($E$2:$P$2,COLUMN()-COLUMN($Q$2)+1),_xlpm.pos,SUMPRODUCT((Produção!$B$2:$B$109=$A54)*(Produção!$F$2:$F$109=_xlpm.canal)*ROW(Produção!$I$2:$I$109))-1,IF(_xlpm.pos&lt;1,"-------",IF(INDEX(Produção!$I$2:$I$109,_xlpm.pos)="","-------",INDEX(Produção!$I$2:$I$109,_xlpm.pos))))</f>
        <v>#REF!</v>
      </c>
      <c r="V54" s="42" t="e" cm="1">
        <f t="array" ref="V54">_xlfn.LET(_xlpm.canal,INDEX($E$2:$P$2,COLUMN()-COLUMN($Q$2)+1),_xlpm.pos,SUMPRODUCT((Produção!$B$2:$B$109=$A54)*(Produção!$F$2:$F$109=_xlpm.canal)*ROW(Produção!$I$2:$I$109))-1,IF(_xlpm.pos&lt;1,"-------",IF(INDEX(Produção!$I$2:$I$109,_xlpm.pos)="","-------",INDEX(Produção!$I$2:$I$109,_xlpm.pos))))</f>
        <v>#REF!</v>
      </c>
      <c r="W54" s="42" t="e" cm="1">
        <f t="array" ref="W54">_xlfn.LET(_xlpm.canal,INDEX($E$2:$P$2,COLUMN()-COLUMN($Q$2)+1),_xlpm.pos,SUMPRODUCT((Produção!$B$2:$B$109=$A54)*(Produção!$F$2:$F$109=_xlpm.canal)*ROW(Produção!$I$2:$I$109))-1,IF(_xlpm.pos&lt;1,"-------",IF(INDEX(Produção!$I$2:$I$109,_xlpm.pos)="","-------",INDEX(Produção!$I$2:$I$109,_xlpm.pos))))</f>
        <v>#REF!</v>
      </c>
      <c r="X54" s="42" t="e" cm="1">
        <f t="array" ref="X54">_xlfn.LET(_xlpm.canal,INDEX($E$2:$P$2,COLUMN()-COLUMN($Q$2)+1),_xlpm.pos,SUMPRODUCT((Produção!$B$2:$B$109=$A54)*(Produção!$F$2:$F$109=_xlpm.canal)*ROW(Produção!$I$2:$I$109))-1,IF(_xlpm.pos&lt;1,"-------",IF(INDEX(Produção!$I$2:$I$109,_xlpm.pos)="","-------",INDEX(Produção!$I$2:$I$109,_xlpm.pos))))</f>
        <v>#REF!</v>
      </c>
      <c r="Y54" s="42" t="e" cm="1">
        <f t="array" ref="Y54">_xlfn.LET(_xlpm.canal,INDEX($E$2:$P$2,COLUMN()-COLUMN($Q$2)+1),_xlpm.pos,SUMPRODUCT((Produção!$B$2:$B$109=$A54)*(Produção!$F$2:$F$109=_xlpm.canal)*ROW(Produção!$I$2:$I$109))-1,IF(_xlpm.pos&lt;1,"-------",IF(INDEX(Produção!$I$2:$I$109,_xlpm.pos)="","-------",INDEX(Produção!$I$2:$I$109,_xlpm.pos))))</f>
        <v>#REF!</v>
      </c>
      <c r="Z54" s="42" t="e" cm="1">
        <f t="array" ref="Z54">_xlfn.LET(_xlpm.canal,INDEX($E$2:$P$2,COLUMN()-COLUMN($Q$2)+1),_xlpm.pos,SUMPRODUCT((Produção!$B$2:$B$109=$A54)*(Produção!$F$2:$F$109=_xlpm.canal)*ROW(Produção!$I$2:$I$109))-1,IF(_xlpm.pos&lt;1,"-------",IF(INDEX(Produção!$I$2:$I$109,_xlpm.pos)="","-------",INDEX(Produção!$I$2:$I$109,_xlpm.pos))))</f>
        <v>#REF!</v>
      </c>
      <c r="AA54" s="42" t="e" cm="1">
        <f t="array" ref="AA54">_xlfn.LET(_xlpm.canal,INDEX($E$2:$P$2,COLUMN()-COLUMN($Q$2)+1),_xlpm.pos,SUMPRODUCT((Produção!$B$2:$B$109=$A54)*(Produção!$F$2:$F$109=_xlpm.canal)*ROW(Produção!$I$2:$I$109))-1,IF(_xlpm.pos&lt;1,"-------",IF(INDEX(Produção!$I$2:$I$109,_xlpm.pos)="","-------",INDEX(Produção!$I$2:$I$109,_xlpm.pos))))</f>
        <v>#REF!</v>
      </c>
      <c r="AB54" s="42" t="e" cm="1">
        <f t="array" ref="AB54">_xlfn.LET(_xlpm.canal,INDEX($E$2:$P$2,COLUMN()-COLUMN($Q$2)+1),_xlpm.pos,SUMPRODUCT((Produção!$B$2:$B$109=$A54)*(Produção!$F$2:$F$109=_xlpm.canal)*ROW(Produção!$I$2:$I$109))-1,IF(_xlpm.pos&lt;1,"-------",IF(INDEX(Produção!$I$2:$I$109,_xlpm.pos)="","-------",INDEX(Produção!$I$2:$I$109,_xlpm.pos))))</f>
        <v>#REF!</v>
      </c>
      <c r="AD54" s="34" t="e" cm="1">
        <f t="array" ref="AD54">SUMPRODUCT(($Q54:$AB54&lt;&gt;"-------")*1)</f>
        <v>#REF!</v>
      </c>
      <c r="AE54" s="34">
        <f>RANK($D54,$D$3:$D$90)+COUNTIF($D$3:$D54,$D54)-1</f>
        <v>52</v>
      </c>
    </row>
    <row r="55" spans="1:31">
      <c r="A55" s="38" t="e" cm="1">
        <f t="array" ref="A55">INDEX(Produção!B$2:B$109,(ROW()-3)*12+1)</f>
        <v>#REF!</v>
      </c>
      <c r="B55" s="39" t="e" cm="1">
        <f t="array" ref="B55">INDEX(Produção!C$2:C$109,(ROW()-3)*12+1)</f>
        <v>#REF!</v>
      </c>
      <c r="C55" s="39" t="e" cm="1">
        <f t="array" ref="C55">INDEX(Produção!D$2:D$109,(ROW()-3)*12+1)</f>
        <v>#REF!</v>
      </c>
      <c r="D55" s="40">
        <f t="shared" si="0"/>
        <v>0</v>
      </c>
      <c r="E55" s="41">
        <f>SUMIFS(Produção!$G$2:$G$109,Produção!$B$2:$B$109,$A55,Produção!$F$2:$F$109,E$2)</f>
        <v>0</v>
      </c>
      <c r="F55" s="41">
        <f>SUMIFS(Produção!$G$2:$G$109,Produção!$B$2:$B$109,$A55,Produção!$F$2:$F$109,F$2)</f>
        <v>0</v>
      </c>
      <c r="G55" s="41">
        <f>SUMIFS(Produção!$G$2:$G$109,Produção!$B$2:$B$109,$A55,Produção!$F$2:$F$109,G$2)</f>
        <v>0</v>
      </c>
      <c r="H55" s="41">
        <f>SUMIFS(Produção!$G$2:$G$109,Produção!$B$2:$B$109,$A55,Produção!$F$2:$F$109,H$2)</f>
        <v>0</v>
      </c>
      <c r="I55" s="41">
        <f>SUMIFS(Produção!$G$2:$G$109,Produção!$B$2:$B$109,$A55,Produção!$F$2:$F$109,I$2)</f>
        <v>0</v>
      </c>
      <c r="J55" s="41">
        <f>SUMIFS(Produção!$G$2:$G$109,Produção!$B$2:$B$109,$A55,Produção!$F$2:$F$109,J$2)</f>
        <v>0</v>
      </c>
      <c r="K55" s="41">
        <f>SUMIFS(Produção!$G$2:$G$109,Produção!$B$2:$B$109,$A55,Produção!$F$2:$F$109,K$2)</f>
        <v>0</v>
      </c>
      <c r="L55" s="41">
        <f>SUMIFS(Produção!$G$2:$G$109,Produção!$B$2:$B$109,$A55,Produção!$F$2:$F$109,L$2)</f>
        <v>0</v>
      </c>
      <c r="M55" s="41">
        <f>SUMIFS(Produção!$G$2:$G$109,Produção!$B$2:$B$109,$A55,Produção!$F$2:$F$109,M$2)</f>
        <v>0</v>
      </c>
      <c r="N55" s="41">
        <f>SUMIFS(Produção!$G$2:$G$109,Produção!$B$2:$B$109,$A55,Produção!$F$2:$F$109,N$2)</f>
        <v>0</v>
      </c>
      <c r="O55" s="41">
        <f>SUMIFS(Produção!$G$2:$G$109,Produção!$B$2:$B$109,$A55,Produção!$F$2:$F$109,O$2)</f>
        <v>0</v>
      </c>
      <c r="P55" s="41">
        <f>SUMIFS(Produção!$G$2:$G$109,Produção!$B$2:$B$109,$A55,Produção!$F$2:$F$109,P$2)</f>
        <v>0</v>
      </c>
      <c r="Q55" s="42" t="e" cm="1">
        <f t="array" ref="Q55">_xlfn.LET(_xlpm.canal,INDEX($E$2:$P$2,COLUMN()-COLUMN($Q$2)+1),_xlpm.pos,SUMPRODUCT((Produção!$B$2:$B$109=$A55)*(Produção!$F$2:$F$109=_xlpm.canal)*ROW(Produção!$I$2:$I$109))-1,IF(_xlpm.pos&lt;1,"-------",IF(INDEX(Produção!$I$2:$I$109,_xlpm.pos)="","-------",INDEX(Produção!$I$2:$I$109,_xlpm.pos))))</f>
        <v>#REF!</v>
      </c>
      <c r="R55" s="42" t="e" cm="1">
        <f t="array" ref="R55">_xlfn.LET(_xlpm.canal,INDEX($E$2:$P$2,COLUMN()-COLUMN($Q$2)+1),_xlpm.pos,SUMPRODUCT((Produção!$B$2:$B$109=$A55)*(Produção!$F$2:$F$109=_xlpm.canal)*ROW(Produção!$I$2:$I$109))-1,IF(_xlpm.pos&lt;1,"-------",IF(INDEX(Produção!$I$2:$I$109,_xlpm.pos)="","-------",INDEX(Produção!$I$2:$I$109,_xlpm.pos))))</f>
        <v>#REF!</v>
      </c>
      <c r="S55" s="42" t="e" cm="1">
        <f t="array" ref="S55">_xlfn.LET(_xlpm.canal,INDEX($E$2:$P$2,COLUMN()-COLUMN($Q$2)+1),_xlpm.pos,SUMPRODUCT((Produção!$B$2:$B$109=$A55)*(Produção!$F$2:$F$109=_xlpm.canal)*ROW(Produção!$I$2:$I$109))-1,IF(_xlpm.pos&lt;1,"-------",IF(INDEX(Produção!$I$2:$I$109,_xlpm.pos)="","-------",INDEX(Produção!$I$2:$I$109,_xlpm.pos))))</f>
        <v>#REF!</v>
      </c>
      <c r="T55" s="42" t="e" cm="1">
        <f t="array" ref="T55">_xlfn.LET(_xlpm.canal,INDEX($E$2:$P$2,COLUMN()-COLUMN($Q$2)+1),_xlpm.pos,SUMPRODUCT((Produção!$B$2:$B$109=$A55)*(Produção!$F$2:$F$109=_xlpm.canal)*ROW(Produção!$I$2:$I$109))-1,IF(_xlpm.pos&lt;1,"-------",IF(INDEX(Produção!$I$2:$I$109,_xlpm.pos)="","-------",INDEX(Produção!$I$2:$I$109,_xlpm.pos))))</f>
        <v>#REF!</v>
      </c>
      <c r="U55" s="42" t="e" cm="1">
        <f t="array" ref="U55">_xlfn.LET(_xlpm.canal,INDEX($E$2:$P$2,COLUMN()-COLUMN($Q$2)+1),_xlpm.pos,SUMPRODUCT((Produção!$B$2:$B$109=$A55)*(Produção!$F$2:$F$109=_xlpm.canal)*ROW(Produção!$I$2:$I$109))-1,IF(_xlpm.pos&lt;1,"-------",IF(INDEX(Produção!$I$2:$I$109,_xlpm.pos)="","-------",INDEX(Produção!$I$2:$I$109,_xlpm.pos))))</f>
        <v>#REF!</v>
      </c>
      <c r="V55" s="42" t="e" cm="1">
        <f t="array" ref="V55">_xlfn.LET(_xlpm.canal,INDEX($E$2:$P$2,COLUMN()-COLUMN($Q$2)+1),_xlpm.pos,SUMPRODUCT((Produção!$B$2:$B$109=$A55)*(Produção!$F$2:$F$109=_xlpm.canal)*ROW(Produção!$I$2:$I$109))-1,IF(_xlpm.pos&lt;1,"-------",IF(INDEX(Produção!$I$2:$I$109,_xlpm.pos)="","-------",INDEX(Produção!$I$2:$I$109,_xlpm.pos))))</f>
        <v>#REF!</v>
      </c>
      <c r="W55" s="42" t="e" cm="1">
        <f t="array" ref="W55">_xlfn.LET(_xlpm.canal,INDEX($E$2:$P$2,COLUMN()-COLUMN($Q$2)+1),_xlpm.pos,SUMPRODUCT((Produção!$B$2:$B$109=$A55)*(Produção!$F$2:$F$109=_xlpm.canal)*ROW(Produção!$I$2:$I$109))-1,IF(_xlpm.pos&lt;1,"-------",IF(INDEX(Produção!$I$2:$I$109,_xlpm.pos)="","-------",INDEX(Produção!$I$2:$I$109,_xlpm.pos))))</f>
        <v>#REF!</v>
      </c>
      <c r="X55" s="42" t="e" cm="1">
        <f t="array" ref="X55">_xlfn.LET(_xlpm.canal,INDEX($E$2:$P$2,COLUMN()-COLUMN($Q$2)+1),_xlpm.pos,SUMPRODUCT((Produção!$B$2:$B$109=$A55)*(Produção!$F$2:$F$109=_xlpm.canal)*ROW(Produção!$I$2:$I$109))-1,IF(_xlpm.pos&lt;1,"-------",IF(INDEX(Produção!$I$2:$I$109,_xlpm.pos)="","-------",INDEX(Produção!$I$2:$I$109,_xlpm.pos))))</f>
        <v>#REF!</v>
      </c>
      <c r="Y55" s="42" t="e" cm="1">
        <f t="array" ref="Y55">_xlfn.LET(_xlpm.canal,INDEX($E$2:$P$2,COLUMN()-COLUMN($Q$2)+1),_xlpm.pos,SUMPRODUCT((Produção!$B$2:$B$109=$A55)*(Produção!$F$2:$F$109=_xlpm.canal)*ROW(Produção!$I$2:$I$109))-1,IF(_xlpm.pos&lt;1,"-------",IF(INDEX(Produção!$I$2:$I$109,_xlpm.pos)="","-------",INDEX(Produção!$I$2:$I$109,_xlpm.pos))))</f>
        <v>#REF!</v>
      </c>
      <c r="Z55" s="42" t="e" cm="1">
        <f t="array" ref="Z55">_xlfn.LET(_xlpm.canal,INDEX($E$2:$P$2,COLUMN()-COLUMN($Q$2)+1),_xlpm.pos,SUMPRODUCT((Produção!$B$2:$B$109=$A55)*(Produção!$F$2:$F$109=_xlpm.canal)*ROW(Produção!$I$2:$I$109))-1,IF(_xlpm.pos&lt;1,"-------",IF(INDEX(Produção!$I$2:$I$109,_xlpm.pos)="","-------",INDEX(Produção!$I$2:$I$109,_xlpm.pos))))</f>
        <v>#REF!</v>
      </c>
      <c r="AA55" s="42" t="e" cm="1">
        <f t="array" ref="AA55">_xlfn.LET(_xlpm.canal,INDEX($E$2:$P$2,COLUMN()-COLUMN($Q$2)+1),_xlpm.pos,SUMPRODUCT((Produção!$B$2:$B$109=$A55)*(Produção!$F$2:$F$109=_xlpm.canal)*ROW(Produção!$I$2:$I$109))-1,IF(_xlpm.pos&lt;1,"-------",IF(INDEX(Produção!$I$2:$I$109,_xlpm.pos)="","-------",INDEX(Produção!$I$2:$I$109,_xlpm.pos))))</f>
        <v>#REF!</v>
      </c>
      <c r="AB55" s="42" t="e" cm="1">
        <f t="array" ref="AB55">_xlfn.LET(_xlpm.canal,INDEX($E$2:$P$2,COLUMN()-COLUMN($Q$2)+1),_xlpm.pos,SUMPRODUCT((Produção!$B$2:$B$109=$A55)*(Produção!$F$2:$F$109=_xlpm.canal)*ROW(Produção!$I$2:$I$109))-1,IF(_xlpm.pos&lt;1,"-------",IF(INDEX(Produção!$I$2:$I$109,_xlpm.pos)="","-------",INDEX(Produção!$I$2:$I$109,_xlpm.pos))))</f>
        <v>#REF!</v>
      </c>
      <c r="AD55" s="34" t="e" cm="1">
        <f t="array" ref="AD55">SUMPRODUCT(($Q55:$AB55&lt;&gt;"-------")*1)</f>
        <v>#REF!</v>
      </c>
      <c r="AE55" s="34">
        <f>RANK($D55,$D$3:$D$90)+COUNTIF($D$3:$D55,$D55)-1</f>
        <v>53</v>
      </c>
    </row>
    <row r="56" spans="1:31">
      <c r="A56" s="38" t="e" cm="1">
        <f t="array" ref="A56">INDEX(Produção!B$2:B$109,(ROW()-3)*12+1)</f>
        <v>#REF!</v>
      </c>
      <c r="B56" s="39" t="e" cm="1">
        <f t="array" ref="B56">INDEX(Produção!C$2:C$109,(ROW()-3)*12+1)</f>
        <v>#REF!</v>
      </c>
      <c r="C56" s="39" t="e" cm="1">
        <f t="array" ref="C56">INDEX(Produção!D$2:D$109,(ROW()-3)*12+1)</f>
        <v>#REF!</v>
      </c>
      <c r="D56" s="40">
        <f t="shared" si="0"/>
        <v>0</v>
      </c>
      <c r="E56" s="41">
        <f>SUMIFS(Produção!$G$2:$G$109,Produção!$B$2:$B$109,$A56,Produção!$F$2:$F$109,E$2)</f>
        <v>0</v>
      </c>
      <c r="F56" s="41">
        <f>SUMIFS(Produção!$G$2:$G$109,Produção!$B$2:$B$109,$A56,Produção!$F$2:$F$109,F$2)</f>
        <v>0</v>
      </c>
      <c r="G56" s="41">
        <f>SUMIFS(Produção!$G$2:$G$109,Produção!$B$2:$B$109,$A56,Produção!$F$2:$F$109,G$2)</f>
        <v>0</v>
      </c>
      <c r="H56" s="41">
        <f>SUMIFS(Produção!$G$2:$G$109,Produção!$B$2:$B$109,$A56,Produção!$F$2:$F$109,H$2)</f>
        <v>0</v>
      </c>
      <c r="I56" s="41">
        <f>SUMIFS(Produção!$G$2:$G$109,Produção!$B$2:$B$109,$A56,Produção!$F$2:$F$109,I$2)</f>
        <v>0</v>
      </c>
      <c r="J56" s="41">
        <f>SUMIFS(Produção!$G$2:$G$109,Produção!$B$2:$B$109,$A56,Produção!$F$2:$F$109,J$2)</f>
        <v>0</v>
      </c>
      <c r="K56" s="41">
        <f>SUMIFS(Produção!$G$2:$G$109,Produção!$B$2:$B$109,$A56,Produção!$F$2:$F$109,K$2)</f>
        <v>0</v>
      </c>
      <c r="L56" s="41">
        <f>SUMIFS(Produção!$G$2:$G$109,Produção!$B$2:$B$109,$A56,Produção!$F$2:$F$109,L$2)</f>
        <v>0</v>
      </c>
      <c r="M56" s="41">
        <f>SUMIFS(Produção!$G$2:$G$109,Produção!$B$2:$B$109,$A56,Produção!$F$2:$F$109,M$2)</f>
        <v>0</v>
      </c>
      <c r="N56" s="41">
        <f>SUMIFS(Produção!$G$2:$G$109,Produção!$B$2:$B$109,$A56,Produção!$F$2:$F$109,N$2)</f>
        <v>0</v>
      </c>
      <c r="O56" s="41">
        <f>SUMIFS(Produção!$G$2:$G$109,Produção!$B$2:$B$109,$A56,Produção!$F$2:$F$109,O$2)</f>
        <v>0</v>
      </c>
      <c r="P56" s="41">
        <f>SUMIFS(Produção!$G$2:$G$109,Produção!$B$2:$B$109,$A56,Produção!$F$2:$F$109,P$2)</f>
        <v>0</v>
      </c>
      <c r="Q56" s="42" t="e" cm="1">
        <f t="array" ref="Q56">_xlfn.LET(_xlpm.canal,INDEX($E$2:$P$2,COLUMN()-COLUMN($Q$2)+1),_xlpm.pos,SUMPRODUCT((Produção!$B$2:$B$109=$A56)*(Produção!$F$2:$F$109=_xlpm.canal)*ROW(Produção!$I$2:$I$109))-1,IF(_xlpm.pos&lt;1,"-------",IF(INDEX(Produção!$I$2:$I$109,_xlpm.pos)="","-------",INDEX(Produção!$I$2:$I$109,_xlpm.pos))))</f>
        <v>#REF!</v>
      </c>
      <c r="R56" s="42" t="e" cm="1">
        <f t="array" ref="R56">_xlfn.LET(_xlpm.canal,INDEX($E$2:$P$2,COLUMN()-COLUMN($Q$2)+1),_xlpm.pos,SUMPRODUCT((Produção!$B$2:$B$109=$A56)*(Produção!$F$2:$F$109=_xlpm.canal)*ROW(Produção!$I$2:$I$109))-1,IF(_xlpm.pos&lt;1,"-------",IF(INDEX(Produção!$I$2:$I$109,_xlpm.pos)="","-------",INDEX(Produção!$I$2:$I$109,_xlpm.pos))))</f>
        <v>#REF!</v>
      </c>
      <c r="S56" s="42" t="e" cm="1">
        <f t="array" ref="S56">_xlfn.LET(_xlpm.canal,INDEX($E$2:$P$2,COLUMN()-COLUMN($Q$2)+1),_xlpm.pos,SUMPRODUCT((Produção!$B$2:$B$109=$A56)*(Produção!$F$2:$F$109=_xlpm.canal)*ROW(Produção!$I$2:$I$109))-1,IF(_xlpm.pos&lt;1,"-------",IF(INDEX(Produção!$I$2:$I$109,_xlpm.pos)="","-------",INDEX(Produção!$I$2:$I$109,_xlpm.pos))))</f>
        <v>#REF!</v>
      </c>
      <c r="T56" s="42" t="e" cm="1">
        <f t="array" ref="T56">_xlfn.LET(_xlpm.canal,INDEX($E$2:$P$2,COLUMN()-COLUMN($Q$2)+1),_xlpm.pos,SUMPRODUCT((Produção!$B$2:$B$109=$A56)*(Produção!$F$2:$F$109=_xlpm.canal)*ROW(Produção!$I$2:$I$109))-1,IF(_xlpm.pos&lt;1,"-------",IF(INDEX(Produção!$I$2:$I$109,_xlpm.pos)="","-------",INDEX(Produção!$I$2:$I$109,_xlpm.pos))))</f>
        <v>#REF!</v>
      </c>
      <c r="U56" s="42" t="e" cm="1">
        <f t="array" ref="U56">_xlfn.LET(_xlpm.canal,INDEX($E$2:$P$2,COLUMN()-COLUMN($Q$2)+1),_xlpm.pos,SUMPRODUCT((Produção!$B$2:$B$109=$A56)*(Produção!$F$2:$F$109=_xlpm.canal)*ROW(Produção!$I$2:$I$109))-1,IF(_xlpm.pos&lt;1,"-------",IF(INDEX(Produção!$I$2:$I$109,_xlpm.pos)="","-------",INDEX(Produção!$I$2:$I$109,_xlpm.pos))))</f>
        <v>#REF!</v>
      </c>
      <c r="V56" s="42" t="e" cm="1">
        <f t="array" ref="V56">_xlfn.LET(_xlpm.canal,INDEX($E$2:$P$2,COLUMN()-COLUMN($Q$2)+1),_xlpm.pos,SUMPRODUCT((Produção!$B$2:$B$109=$A56)*(Produção!$F$2:$F$109=_xlpm.canal)*ROW(Produção!$I$2:$I$109))-1,IF(_xlpm.pos&lt;1,"-------",IF(INDEX(Produção!$I$2:$I$109,_xlpm.pos)="","-------",INDEX(Produção!$I$2:$I$109,_xlpm.pos))))</f>
        <v>#REF!</v>
      </c>
      <c r="W56" s="42" t="e" cm="1">
        <f t="array" ref="W56">_xlfn.LET(_xlpm.canal,INDEX($E$2:$P$2,COLUMN()-COLUMN($Q$2)+1),_xlpm.pos,SUMPRODUCT((Produção!$B$2:$B$109=$A56)*(Produção!$F$2:$F$109=_xlpm.canal)*ROW(Produção!$I$2:$I$109))-1,IF(_xlpm.pos&lt;1,"-------",IF(INDEX(Produção!$I$2:$I$109,_xlpm.pos)="","-------",INDEX(Produção!$I$2:$I$109,_xlpm.pos))))</f>
        <v>#REF!</v>
      </c>
      <c r="X56" s="42" t="e" cm="1">
        <f t="array" ref="X56">_xlfn.LET(_xlpm.canal,INDEX($E$2:$P$2,COLUMN()-COLUMN($Q$2)+1),_xlpm.pos,SUMPRODUCT((Produção!$B$2:$B$109=$A56)*(Produção!$F$2:$F$109=_xlpm.canal)*ROW(Produção!$I$2:$I$109))-1,IF(_xlpm.pos&lt;1,"-------",IF(INDEX(Produção!$I$2:$I$109,_xlpm.pos)="","-------",INDEX(Produção!$I$2:$I$109,_xlpm.pos))))</f>
        <v>#REF!</v>
      </c>
      <c r="Y56" s="42" t="e" cm="1">
        <f t="array" ref="Y56">_xlfn.LET(_xlpm.canal,INDEX($E$2:$P$2,COLUMN()-COLUMN($Q$2)+1),_xlpm.pos,SUMPRODUCT((Produção!$B$2:$B$109=$A56)*(Produção!$F$2:$F$109=_xlpm.canal)*ROW(Produção!$I$2:$I$109))-1,IF(_xlpm.pos&lt;1,"-------",IF(INDEX(Produção!$I$2:$I$109,_xlpm.pos)="","-------",INDEX(Produção!$I$2:$I$109,_xlpm.pos))))</f>
        <v>#REF!</v>
      </c>
      <c r="Z56" s="42" t="e" cm="1">
        <f t="array" ref="Z56">_xlfn.LET(_xlpm.canal,INDEX($E$2:$P$2,COLUMN()-COLUMN($Q$2)+1),_xlpm.pos,SUMPRODUCT((Produção!$B$2:$B$109=$A56)*(Produção!$F$2:$F$109=_xlpm.canal)*ROW(Produção!$I$2:$I$109))-1,IF(_xlpm.pos&lt;1,"-------",IF(INDEX(Produção!$I$2:$I$109,_xlpm.pos)="","-------",INDEX(Produção!$I$2:$I$109,_xlpm.pos))))</f>
        <v>#REF!</v>
      </c>
      <c r="AA56" s="42" t="e" cm="1">
        <f t="array" ref="AA56">_xlfn.LET(_xlpm.canal,INDEX($E$2:$P$2,COLUMN()-COLUMN($Q$2)+1),_xlpm.pos,SUMPRODUCT((Produção!$B$2:$B$109=$A56)*(Produção!$F$2:$F$109=_xlpm.canal)*ROW(Produção!$I$2:$I$109))-1,IF(_xlpm.pos&lt;1,"-------",IF(INDEX(Produção!$I$2:$I$109,_xlpm.pos)="","-------",INDEX(Produção!$I$2:$I$109,_xlpm.pos))))</f>
        <v>#REF!</v>
      </c>
      <c r="AB56" s="42" t="e" cm="1">
        <f t="array" ref="AB56">_xlfn.LET(_xlpm.canal,INDEX($E$2:$P$2,COLUMN()-COLUMN($Q$2)+1),_xlpm.pos,SUMPRODUCT((Produção!$B$2:$B$109=$A56)*(Produção!$F$2:$F$109=_xlpm.canal)*ROW(Produção!$I$2:$I$109))-1,IF(_xlpm.pos&lt;1,"-------",IF(INDEX(Produção!$I$2:$I$109,_xlpm.pos)="","-------",INDEX(Produção!$I$2:$I$109,_xlpm.pos))))</f>
        <v>#REF!</v>
      </c>
      <c r="AD56" s="34" t="e" cm="1">
        <f t="array" ref="AD56">SUMPRODUCT(($Q56:$AB56&lt;&gt;"-------")*1)</f>
        <v>#REF!</v>
      </c>
      <c r="AE56" s="34">
        <f>RANK($D56,$D$3:$D$90)+COUNTIF($D$3:$D56,$D56)-1</f>
        <v>54</v>
      </c>
    </row>
    <row r="57" spans="1:31">
      <c r="A57" s="38" t="e" cm="1">
        <f t="array" ref="A57">INDEX(Produção!B$2:B$109,(ROW()-3)*12+1)</f>
        <v>#REF!</v>
      </c>
      <c r="B57" s="39" t="e" cm="1">
        <f t="array" ref="B57">INDEX(Produção!C$2:C$109,(ROW()-3)*12+1)</f>
        <v>#REF!</v>
      </c>
      <c r="C57" s="39" t="e" cm="1">
        <f t="array" ref="C57">INDEX(Produção!D$2:D$109,(ROW()-3)*12+1)</f>
        <v>#REF!</v>
      </c>
      <c r="D57" s="40">
        <f t="shared" si="0"/>
        <v>0</v>
      </c>
      <c r="E57" s="41">
        <f>SUMIFS(Produção!$G$2:$G$109,Produção!$B$2:$B$109,$A57,Produção!$F$2:$F$109,E$2)</f>
        <v>0</v>
      </c>
      <c r="F57" s="41">
        <f>SUMIFS(Produção!$G$2:$G$109,Produção!$B$2:$B$109,$A57,Produção!$F$2:$F$109,F$2)</f>
        <v>0</v>
      </c>
      <c r="G57" s="41">
        <f>SUMIFS(Produção!$G$2:$G$109,Produção!$B$2:$B$109,$A57,Produção!$F$2:$F$109,G$2)</f>
        <v>0</v>
      </c>
      <c r="H57" s="41">
        <f>SUMIFS(Produção!$G$2:$G$109,Produção!$B$2:$B$109,$A57,Produção!$F$2:$F$109,H$2)</f>
        <v>0</v>
      </c>
      <c r="I57" s="41">
        <f>SUMIFS(Produção!$G$2:$G$109,Produção!$B$2:$B$109,$A57,Produção!$F$2:$F$109,I$2)</f>
        <v>0</v>
      </c>
      <c r="J57" s="41">
        <f>SUMIFS(Produção!$G$2:$G$109,Produção!$B$2:$B$109,$A57,Produção!$F$2:$F$109,J$2)</f>
        <v>0</v>
      </c>
      <c r="K57" s="41">
        <f>SUMIFS(Produção!$G$2:$G$109,Produção!$B$2:$B$109,$A57,Produção!$F$2:$F$109,K$2)</f>
        <v>0</v>
      </c>
      <c r="L57" s="41">
        <f>SUMIFS(Produção!$G$2:$G$109,Produção!$B$2:$B$109,$A57,Produção!$F$2:$F$109,L$2)</f>
        <v>0</v>
      </c>
      <c r="M57" s="41">
        <f>SUMIFS(Produção!$G$2:$G$109,Produção!$B$2:$B$109,$A57,Produção!$F$2:$F$109,M$2)</f>
        <v>0</v>
      </c>
      <c r="N57" s="41">
        <f>SUMIFS(Produção!$G$2:$G$109,Produção!$B$2:$B$109,$A57,Produção!$F$2:$F$109,N$2)</f>
        <v>0</v>
      </c>
      <c r="O57" s="41">
        <f>SUMIFS(Produção!$G$2:$G$109,Produção!$B$2:$B$109,$A57,Produção!$F$2:$F$109,O$2)</f>
        <v>0</v>
      </c>
      <c r="P57" s="41">
        <f>SUMIFS(Produção!$G$2:$G$109,Produção!$B$2:$B$109,$A57,Produção!$F$2:$F$109,P$2)</f>
        <v>0</v>
      </c>
      <c r="Q57" s="42" t="e" cm="1">
        <f t="array" ref="Q57">_xlfn.LET(_xlpm.canal,INDEX($E$2:$P$2,COLUMN()-COLUMN($Q$2)+1),_xlpm.pos,SUMPRODUCT((Produção!$B$2:$B$109=$A57)*(Produção!$F$2:$F$109=_xlpm.canal)*ROW(Produção!$I$2:$I$109))-1,IF(_xlpm.pos&lt;1,"-------",IF(INDEX(Produção!$I$2:$I$109,_xlpm.pos)="","-------",INDEX(Produção!$I$2:$I$109,_xlpm.pos))))</f>
        <v>#REF!</v>
      </c>
      <c r="R57" s="42" t="e" cm="1">
        <f t="array" ref="R57">_xlfn.LET(_xlpm.canal,INDEX($E$2:$P$2,COLUMN()-COLUMN($Q$2)+1),_xlpm.pos,SUMPRODUCT((Produção!$B$2:$B$109=$A57)*(Produção!$F$2:$F$109=_xlpm.canal)*ROW(Produção!$I$2:$I$109))-1,IF(_xlpm.pos&lt;1,"-------",IF(INDEX(Produção!$I$2:$I$109,_xlpm.pos)="","-------",INDEX(Produção!$I$2:$I$109,_xlpm.pos))))</f>
        <v>#REF!</v>
      </c>
      <c r="S57" s="42" t="e" cm="1">
        <f t="array" ref="S57">_xlfn.LET(_xlpm.canal,INDEX($E$2:$P$2,COLUMN()-COLUMN($Q$2)+1),_xlpm.pos,SUMPRODUCT((Produção!$B$2:$B$109=$A57)*(Produção!$F$2:$F$109=_xlpm.canal)*ROW(Produção!$I$2:$I$109))-1,IF(_xlpm.pos&lt;1,"-------",IF(INDEX(Produção!$I$2:$I$109,_xlpm.pos)="","-------",INDEX(Produção!$I$2:$I$109,_xlpm.pos))))</f>
        <v>#REF!</v>
      </c>
      <c r="T57" s="42" t="e" cm="1">
        <f t="array" ref="T57">_xlfn.LET(_xlpm.canal,INDEX($E$2:$P$2,COLUMN()-COLUMN($Q$2)+1),_xlpm.pos,SUMPRODUCT((Produção!$B$2:$B$109=$A57)*(Produção!$F$2:$F$109=_xlpm.canal)*ROW(Produção!$I$2:$I$109))-1,IF(_xlpm.pos&lt;1,"-------",IF(INDEX(Produção!$I$2:$I$109,_xlpm.pos)="","-------",INDEX(Produção!$I$2:$I$109,_xlpm.pos))))</f>
        <v>#REF!</v>
      </c>
      <c r="U57" s="42" t="e" cm="1">
        <f t="array" ref="U57">_xlfn.LET(_xlpm.canal,INDEX($E$2:$P$2,COLUMN()-COLUMN($Q$2)+1),_xlpm.pos,SUMPRODUCT((Produção!$B$2:$B$109=$A57)*(Produção!$F$2:$F$109=_xlpm.canal)*ROW(Produção!$I$2:$I$109))-1,IF(_xlpm.pos&lt;1,"-------",IF(INDEX(Produção!$I$2:$I$109,_xlpm.pos)="","-------",INDEX(Produção!$I$2:$I$109,_xlpm.pos))))</f>
        <v>#REF!</v>
      </c>
      <c r="V57" s="42" t="e" cm="1">
        <f t="array" ref="V57">_xlfn.LET(_xlpm.canal,INDEX($E$2:$P$2,COLUMN()-COLUMN($Q$2)+1),_xlpm.pos,SUMPRODUCT((Produção!$B$2:$B$109=$A57)*(Produção!$F$2:$F$109=_xlpm.canal)*ROW(Produção!$I$2:$I$109))-1,IF(_xlpm.pos&lt;1,"-------",IF(INDEX(Produção!$I$2:$I$109,_xlpm.pos)="","-------",INDEX(Produção!$I$2:$I$109,_xlpm.pos))))</f>
        <v>#REF!</v>
      </c>
      <c r="W57" s="42" t="e" cm="1">
        <f t="array" ref="W57">_xlfn.LET(_xlpm.canal,INDEX($E$2:$P$2,COLUMN()-COLUMN($Q$2)+1),_xlpm.pos,SUMPRODUCT((Produção!$B$2:$B$109=$A57)*(Produção!$F$2:$F$109=_xlpm.canal)*ROW(Produção!$I$2:$I$109))-1,IF(_xlpm.pos&lt;1,"-------",IF(INDEX(Produção!$I$2:$I$109,_xlpm.pos)="","-------",INDEX(Produção!$I$2:$I$109,_xlpm.pos))))</f>
        <v>#REF!</v>
      </c>
      <c r="X57" s="42" t="e" cm="1">
        <f t="array" ref="X57">_xlfn.LET(_xlpm.canal,INDEX($E$2:$P$2,COLUMN()-COLUMN($Q$2)+1),_xlpm.pos,SUMPRODUCT((Produção!$B$2:$B$109=$A57)*(Produção!$F$2:$F$109=_xlpm.canal)*ROW(Produção!$I$2:$I$109))-1,IF(_xlpm.pos&lt;1,"-------",IF(INDEX(Produção!$I$2:$I$109,_xlpm.pos)="","-------",INDEX(Produção!$I$2:$I$109,_xlpm.pos))))</f>
        <v>#REF!</v>
      </c>
      <c r="Y57" s="42" t="e" cm="1">
        <f t="array" ref="Y57">_xlfn.LET(_xlpm.canal,INDEX($E$2:$P$2,COLUMN()-COLUMN($Q$2)+1),_xlpm.pos,SUMPRODUCT((Produção!$B$2:$B$109=$A57)*(Produção!$F$2:$F$109=_xlpm.canal)*ROW(Produção!$I$2:$I$109))-1,IF(_xlpm.pos&lt;1,"-------",IF(INDEX(Produção!$I$2:$I$109,_xlpm.pos)="","-------",INDEX(Produção!$I$2:$I$109,_xlpm.pos))))</f>
        <v>#REF!</v>
      </c>
      <c r="Z57" s="42" t="e" cm="1">
        <f t="array" ref="Z57">_xlfn.LET(_xlpm.canal,INDEX($E$2:$P$2,COLUMN()-COLUMN($Q$2)+1),_xlpm.pos,SUMPRODUCT((Produção!$B$2:$B$109=$A57)*(Produção!$F$2:$F$109=_xlpm.canal)*ROW(Produção!$I$2:$I$109))-1,IF(_xlpm.pos&lt;1,"-------",IF(INDEX(Produção!$I$2:$I$109,_xlpm.pos)="","-------",INDEX(Produção!$I$2:$I$109,_xlpm.pos))))</f>
        <v>#REF!</v>
      </c>
      <c r="AA57" s="42" t="e" cm="1">
        <f t="array" ref="AA57">_xlfn.LET(_xlpm.canal,INDEX($E$2:$P$2,COLUMN()-COLUMN($Q$2)+1),_xlpm.pos,SUMPRODUCT((Produção!$B$2:$B$109=$A57)*(Produção!$F$2:$F$109=_xlpm.canal)*ROW(Produção!$I$2:$I$109))-1,IF(_xlpm.pos&lt;1,"-------",IF(INDEX(Produção!$I$2:$I$109,_xlpm.pos)="","-------",INDEX(Produção!$I$2:$I$109,_xlpm.pos))))</f>
        <v>#REF!</v>
      </c>
      <c r="AB57" s="42" t="e" cm="1">
        <f t="array" ref="AB57">_xlfn.LET(_xlpm.canal,INDEX($E$2:$P$2,COLUMN()-COLUMN($Q$2)+1),_xlpm.pos,SUMPRODUCT((Produção!$B$2:$B$109=$A57)*(Produção!$F$2:$F$109=_xlpm.canal)*ROW(Produção!$I$2:$I$109))-1,IF(_xlpm.pos&lt;1,"-------",IF(INDEX(Produção!$I$2:$I$109,_xlpm.pos)="","-------",INDEX(Produção!$I$2:$I$109,_xlpm.pos))))</f>
        <v>#REF!</v>
      </c>
      <c r="AD57" s="34" t="e" cm="1">
        <f t="array" ref="AD57">SUMPRODUCT(($Q57:$AB57&lt;&gt;"-------")*1)</f>
        <v>#REF!</v>
      </c>
      <c r="AE57" s="34">
        <f>RANK($D57,$D$3:$D$90)+COUNTIF($D$3:$D57,$D57)-1</f>
        <v>55</v>
      </c>
    </row>
    <row r="58" spans="1:31">
      <c r="A58" s="38" t="e" cm="1">
        <f t="array" ref="A58">INDEX(Produção!B$2:B$109,(ROW()-3)*12+1)</f>
        <v>#REF!</v>
      </c>
      <c r="B58" s="39" t="e" cm="1">
        <f t="array" ref="B58">INDEX(Produção!C$2:C$109,(ROW()-3)*12+1)</f>
        <v>#REF!</v>
      </c>
      <c r="C58" s="39" t="e" cm="1">
        <f t="array" ref="C58">INDEX(Produção!D$2:D$109,(ROW()-3)*12+1)</f>
        <v>#REF!</v>
      </c>
      <c r="D58" s="40">
        <f t="shared" si="0"/>
        <v>0</v>
      </c>
      <c r="E58" s="41">
        <f>SUMIFS(Produção!$G$2:$G$109,Produção!$B$2:$B$109,$A58,Produção!$F$2:$F$109,E$2)</f>
        <v>0</v>
      </c>
      <c r="F58" s="41">
        <f>SUMIFS(Produção!$G$2:$G$109,Produção!$B$2:$B$109,$A58,Produção!$F$2:$F$109,F$2)</f>
        <v>0</v>
      </c>
      <c r="G58" s="41">
        <f>SUMIFS(Produção!$G$2:$G$109,Produção!$B$2:$B$109,$A58,Produção!$F$2:$F$109,G$2)</f>
        <v>0</v>
      </c>
      <c r="H58" s="41">
        <f>SUMIFS(Produção!$G$2:$G$109,Produção!$B$2:$B$109,$A58,Produção!$F$2:$F$109,H$2)</f>
        <v>0</v>
      </c>
      <c r="I58" s="41">
        <f>SUMIFS(Produção!$G$2:$G$109,Produção!$B$2:$B$109,$A58,Produção!$F$2:$F$109,I$2)</f>
        <v>0</v>
      </c>
      <c r="J58" s="41">
        <f>SUMIFS(Produção!$G$2:$G$109,Produção!$B$2:$B$109,$A58,Produção!$F$2:$F$109,J$2)</f>
        <v>0</v>
      </c>
      <c r="K58" s="41">
        <f>SUMIFS(Produção!$G$2:$G$109,Produção!$B$2:$B$109,$A58,Produção!$F$2:$F$109,K$2)</f>
        <v>0</v>
      </c>
      <c r="L58" s="41">
        <f>SUMIFS(Produção!$G$2:$G$109,Produção!$B$2:$B$109,$A58,Produção!$F$2:$F$109,L$2)</f>
        <v>0</v>
      </c>
      <c r="M58" s="41">
        <f>SUMIFS(Produção!$G$2:$G$109,Produção!$B$2:$B$109,$A58,Produção!$F$2:$F$109,M$2)</f>
        <v>0</v>
      </c>
      <c r="N58" s="41">
        <f>SUMIFS(Produção!$G$2:$G$109,Produção!$B$2:$B$109,$A58,Produção!$F$2:$F$109,N$2)</f>
        <v>0</v>
      </c>
      <c r="O58" s="41">
        <f>SUMIFS(Produção!$G$2:$G$109,Produção!$B$2:$B$109,$A58,Produção!$F$2:$F$109,O$2)</f>
        <v>0</v>
      </c>
      <c r="P58" s="41">
        <f>SUMIFS(Produção!$G$2:$G$109,Produção!$B$2:$B$109,$A58,Produção!$F$2:$F$109,P$2)</f>
        <v>0</v>
      </c>
      <c r="Q58" s="42" t="e" cm="1">
        <f t="array" ref="Q58">_xlfn.LET(_xlpm.canal,INDEX($E$2:$P$2,COLUMN()-COLUMN($Q$2)+1),_xlpm.pos,SUMPRODUCT((Produção!$B$2:$B$109=$A58)*(Produção!$F$2:$F$109=_xlpm.canal)*ROW(Produção!$I$2:$I$109))-1,IF(_xlpm.pos&lt;1,"-------",IF(INDEX(Produção!$I$2:$I$109,_xlpm.pos)="","-------",INDEX(Produção!$I$2:$I$109,_xlpm.pos))))</f>
        <v>#REF!</v>
      </c>
      <c r="R58" s="42" t="e" cm="1">
        <f t="array" ref="R58">_xlfn.LET(_xlpm.canal,INDEX($E$2:$P$2,COLUMN()-COLUMN($Q$2)+1),_xlpm.pos,SUMPRODUCT((Produção!$B$2:$B$109=$A58)*(Produção!$F$2:$F$109=_xlpm.canal)*ROW(Produção!$I$2:$I$109))-1,IF(_xlpm.pos&lt;1,"-------",IF(INDEX(Produção!$I$2:$I$109,_xlpm.pos)="","-------",INDEX(Produção!$I$2:$I$109,_xlpm.pos))))</f>
        <v>#REF!</v>
      </c>
      <c r="S58" s="42" t="e" cm="1">
        <f t="array" ref="S58">_xlfn.LET(_xlpm.canal,INDEX($E$2:$P$2,COLUMN()-COLUMN($Q$2)+1),_xlpm.pos,SUMPRODUCT((Produção!$B$2:$B$109=$A58)*(Produção!$F$2:$F$109=_xlpm.canal)*ROW(Produção!$I$2:$I$109))-1,IF(_xlpm.pos&lt;1,"-------",IF(INDEX(Produção!$I$2:$I$109,_xlpm.pos)="","-------",INDEX(Produção!$I$2:$I$109,_xlpm.pos))))</f>
        <v>#REF!</v>
      </c>
      <c r="T58" s="42" t="e" cm="1">
        <f t="array" ref="T58">_xlfn.LET(_xlpm.canal,INDEX($E$2:$P$2,COLUMN()-COLUMN($Q$2)+1),_xlpm.pos,SUMPRODUCT((Produção!$B$2:$B$109=$A58)*(Produção!$F$2:$F$109=_xlpm.canal)*ROW(Produção!$I$2:$I$109))-1,IF(_xlpm.pos&lt;1,"-------",IF(INDEX(Produção!$I$2:$I$109,_xlpm.pos)="","-------",INDEX(Produção!$I$2:$I$109,_xlpm.pos))))</f>
        <v>#REF!</v>
      </c>
      <c r="U58" s="42" t="e" cm="1">
        <f t="array" ref="U58">_xlfn.LET(_xlpm.canal,INDEX($E$2:$P$2,COLUMN()-COLUMN($Q$2)+1),_xlpm.pos,SUMPRODUCT((Produção!$B$2:$B$109=$A58)*(Produção!$F$2:$F$109=_xlpm.canal)*ROW(Produção!$I$2:$I$109))-1,IF(_xlpm.pos&lt;1,"-------",IF(INDEX(Produção!$I$2:$I$109,_xlpm.pos)="","-------",INDEX(Produção!$I$2:$I$109,_xlpm.pos))))</f>
        <v>#REF!</v>
      </c>
      <c r="V58" s="42" t="e" cm="1">
        <f t="array" ref="V58">_xlfn.LET(_xlpm.canal,INDEX($E$2:$P$2,COLUMN()-COLUMN($Q$2)+1),_xlpm.pos,SUMPRODUCT((Produção!$B$2:$B$109=$A58)*(Produção!$F$2:$F$109=_xlpm.canal)*ROW(Produção!$I$2:$I$109))-1,IF(_xlpm.pos&lt;1,"-------",IF(INDEX(Produção!$I$2:$I$109,_xlpm.pos)="","-------",INDEX(Produção!$I$2:$I$109,_xlpm.pos))))</f>
        <v>#REF!</v>
      </c>
      <c r="W58" s="42" t="e" cm="1">
        <f t="array" ref="W58">_xlfn.LET(_xlpm.canal,INDEX($E$2:$P$2,COLUMN()-COLUMN($Q$2)+1),_xlpm.pos,SUMPRODUCT((Produção!$B$2:$B$109=$A58)*(Produção!$F$2:$F$109=_xlpm.canal)*ROW(Produção!$I$2:$I$109))-1,IF(_xlpm.pos&lt;1,"-------",IF(INDEX(Produção!$I$2:$I$109,_xlpm.pos)="","-------",INDEX(Produção!$I$2:$I$109,_xlpm.pos))))</f>
        <v>#REF!</v>
      </c>
      <c r="X58" s="42" t="e" cm="1">
        <f t="array" ref="X58">_xlfn.LET(_xlpm.canal,INDEX($E$2:$P$2,COLUMN()-COLUMN($Q$2)+1),_xlpm.pos,SUMPRODUCT((Produção!$B$2:$B$109=$A58)*(Produção!$F$2:$F$109=_xlpm.canal)*ROW(Produção!$I$2:$I$109))-1,IF(_xlpm.pos&lt;1,"-------",IF(INDEX(Produção!$I$2:$I$109,_xlpm.pos)="","-------",INDEX(Produção!$I$2:$I$109,_xlpm.pos))))</f>
        <v>#REF!</v>
      </c>
      <c r="Y58" s="42" t="e" cm="1">
        <f t="array" ref="Y58">_xlfn.LET(_xlpm.canal,INDEX($E$2:$P$2,COLUMN()-COLUMN($Q$2)+1),_xlpm.pos,SUMPRODUCT((Produção!$B$2:$B$109=$A58)*(Produção!$F$2:$F$109=_xlpm.canal)*ROW(Produção!$I$2:$I$109))-1,IF(_xlpm.pos&lt;1,"-------",IF(INDEX(Produção!$I$2:$I$109,_xlpm.pos)="","-------",INDEX(Produção!$I$2:$I$109,_xlpm.pos))))</f>
        <v>#REF!</v>
      </c>
      <c r="Z58" s="42" t="e" cm="1">
        <f t="array" ref="Z58">_xlfn.LET(_xlpm.canal,INDEX($E$2:$P$2,COLUMN()-COLUMN($Q$2)+1),_xlpm.pos,SUMPRODUCT((Produção!$B$2:$B$109=$A58)*(Produção!$F$2:$F$109=_xlpm.canal)*ROW(Produção!$I$2:$I$109))-1,IF(_xlpm.pos&lt;1,"-------",IF(INDEX(Produção!$I$2:$I$109,_xlpm.pos)="","-------",INDEX(Produção!$I$2:$I$109,_xlpm.pos))))</f>
        <v>#REF!</v>
      </c>
      <c r="AA58" s="42" t="e" cm="1">
        <f t="array" ref="AA58">_xlfn.LET(_xlpm.canal,INDEX($E$2:$P$2,COLUMN()-COLUMN($Q$2)+1),_xlpm.pos,SUMPRODUCT((Produção!$B$2:$B$109=$A58)*(Produção!$F$2:$F$109=_xlpm.canal)*ROW(Produção!$I$2:$I$109))-1,IF(_xlpm.pos&lt;1,"-------",IF(INDEX(Produção!$I$2:$I$109,_xlpm.pos)="","-------",INDEX(Produção!$I$2:$I$109,_xlpm.pos))))</f>
        <v>#REF!</v>
      </c>
      <c r="AB58" s="42" t="e" cm="1">
        <f t="array" ref="AB58">_xlfn.LET(_xlpm.canal,INDEX($E$2:$P$2,COLUMN()-COLUMN($Q$2)+1),_xlpm.pos,SUMPRODUCT((Produção!$B$2:$B$109=$A58)*(Produção!$F$2:$F$109=_xlpm.canal)*ROW(Produção!$I$2:$I$109))-1,IF(_xlpm.pos&lt;1,"-------",IF(INDEX(Produção!$I$2:$I$109,_xlpm.pos)="","-------",INDEX(Produção!$I$2:$I$109,_xlpm.pos))))</f>
        <v>#REF!</v>
      </c>
      <c r="AD58" s="34" t="e" cm="1">
        <f t="array" ref="AD58">SUMPRODUCT(($Q58:$AB58&lt;&gt;"-------")*1)</f>
        <v>#REF!</v>
      </c>
      <c r="AE58" s="34">
        <f>RANK($D58,$D$3:$D$90)+COUNTIF($D$3:$D58,$D58)-1</f>
        <v>56</v>
      </c>
    </row>
    <row r="59" spans="1:31">
      <c r="A59" s="38" t="e" cm="1">
        <f t="array" ref="A59">INDEX(Produção!B$2:B$109,(ROW()-3)*12+1)</f>
        <v>#REF!</v>
      </c>
      <c r="B59" s="39" t="e" cm="1">
        <f t="array" ref="B59">INDEX(Produção!C$2:C$109,(ROW()-3)*12+1)</f>
        <v>#REF!</v>
      </c>
      <c r="C59" s="39" t="e" cm="1">
        <f t="array" ref="C59">INDEX(Produção!D$2:D$109,(ROW()-3)*12+1)</f>
        <v>#REF!</v>
      </c>
      <c r="D59" s="40">
        <f t="shared" si="0"/>
        <v>0</v>
      </c>
      <c r="E59" s="41">
        <f>SUMIFS(Produção!$G$2:$G$109,Produção!$B$2:$B$109,$A59,Produção!$F$2:$F$109,E$2)</f>
        <v>0</v>
      </c>
      <c r="F59" s="41">
        <f>SUMIFS(Produção!$G$2:$G$109,Produção!$B$2:$B$109,$A59,Produção!$F$2:$F$109,F$2)</f>
        <v>0</v>
      </c>
      <c r="G59" s="41">
        <f>SUMIFS(Produção!$G$2:$G$109,Produção!$B$2:$B$109,$A59,Produção!$F$2:$F$109,G$2)</f>
        <v>0</v>
      </c>
      <c r="H59" s="41">
        <f>SUMIFS(Produção!$G$2:$G$109,Produção!$B$2:$B$109,$A59,Produção!$F$2:$F$109,H$2)</f>
        <v>0</v>
      </c>
      <c r="I59" s="41">
        <f>SUMIFS(Produção!$G$2:$G$109,Produção!$B$2:$B$109,$A59,Produção!$F$2:$F$109,I$2)</f>
        <v>0</v>
      </c>
      <c r="J59" s="41">
        <f>SUMIFS(Produção!$G$2:$G$109,Produção!$B$2:$B$109,$A59,Produção!$F$2:$F$109,J$2)</f>
        <v>0</v>
      </c>
      <c r="K59" s="41">
        <f>SUMIFS(Produção!$G$2:$G$109,Produção!$B$2:$B$109,$A59,Produção!$F$2:$F$109,K$2)</f>
        <v>0</v>
      </c>
      <c r="L59" s="41">
        <f>SUMIFS(Produção!$G$2:$G$109,Produção!$B$2:$B$109,$A59,Produção!$F$2:$F$109,L$2)</f>
        <v>0</v>
      </c>
      <c r="M59" s="41">
        <f>SUMIFS(Produção!$G$2:$G$109,Produção!$B$2:$B$109,$A59,Produção!$F$2:$F$109,M$2)</f>
        <v>0</v>
      </c>
      <c r="N59" s="41">
        <f>SUMIFS(Produção!$G$2:$G$109,Produção!$B$2:$B$109,$A59,Produção!$F$2:$F$109,N$2)</f>
        <v>0</v>
      </c>
      <c r="O59" s="41">
        <f>SUMIFS(Produção!$G$2:$G$109,Produção!$B$2:$B$109,$A59,Produção!$F$2:$F$109,O$2)</f>
        <v>0</v>
      </c>
      <c r="P59" s="41">
        <f>SUMIFS(Produção!$G$2:$G$109,Produção!$B$2:$B$109,$A59,Produção!$F$2:$F$109,P$2)</f>
        <v>0</v>
      </c>
      <c r="Q59" s="42" t="e" cm="1">
        <f t="array" ref="Q59">_xlfn.LET(_xlpm.canal,INDEX($E$2:$P$2,COLUMN()-COLUMN($Q$2)+1),_xlpm.pos,SUMPRODUCT((Produção!$B$2:$B$109=$A59)*(Produção!$F$2:$F$109=_xlpm.canal)*ROW(Produção!$I$2:$I$109))-1,IF(_xlpm.pos&lt;1,"-------",IF(INDEX(Produção!$I$2:$I$109,_xlpm.pos)="","-------",INDEX(Produção!$I$2:$I$109,_xlpm.pos))))</f>
        <v>#REF!</v>
      </c>
      <c r="R59" s="42" t="e" cm="1">
        <f t="array" ref="R59">_xlfn.LET(_xlpm.canal,INDEX($E$2:$P$2,COLUMN()-COLUMN($Q$2)+1),_xlpm.pos,SUMPRODUCT((Produção!$B$2:$B$109=$A59)*(Produção!$F$2:$F$109=_xlpm.canal)*ROW(Produção!$I$2:$I$109))-1,IF(_xlpm.pos&lt;1,"-------",IF(INDEX(Produção!$I$2:$I$109,_xlpm.pos)="","-------",INDEX(Produção!$I$2:$I$109,_xlpm.pos))))</f>
        <v>#REF!</v>
      </c>
      <c r="S59" s="42" t="e" cm="1">
        <f t="array" ref="S59">_xlfn.LET(_xlpm.canal,INDEX($E$2:$P$2,COLUMN()-COLUMN($Q$2)+1),_xlpm.pos,SUMPRODUCT((Produção!$B$2:$B$109=$A59)*(Produção!$F$2:$F$109=_xlpm.canal)*ROW(Produção!$I$2:$I$109))-1,IF(_xlpm.pos&lt;1,"-------",IF(INDEX(Produção!$I$2:$I$109,_xlpm.pos)="","-------",INDEX(Produção!$I$2:$I$109,_xlpm.pos))))</f>
        <v>#REF!</v>
      </c>
      <c r="T59" s="42" t="e" cm="1">
        <f t="array" ref="T59">_xlfn.LET(_xlpm.canal,INDEX($E$2:$P$2,COLUMN()-COLUMN($Q$2)+1),_xlpm.pos,SUMPRODUCT((Produção!$B$2:$B$109=$A59)*(Produção!$F$2:$F$109=_xlpm.canal)*ROW(Produção!$I$2:$I$109))-1,IF(_xlpm.pos&lt;1,"-------",IF(INDEX(Produção!$I$2:$I$109,_xlpm.pos)="","-------",INDEX(Produção!$I$2:$I$109,_xlpm.pos))))</f>
        <v>#REF!</v>
      </c>
      <c r="U59" s="42" t="e" cm="1">
        <f t="array" ref="U59">_xlfn.LET(_xlpm.canal,INDEX($E$2:$P$2,COLUMN()-COLUMN($Q$2)+1),_xlpm.pos,SUMPRODUCT((Produção!$B$2:$B$109=$A59)*(Produção!$F$2:$F$109=_xlpm.canal)*ROW(Produção!$I$2:$I$109))-1,IF(_xlpm.pos&lt;1,"-------",IF(INDEX(Produção!$I$2:$I$109,_xlpm.pos)="","-------",INDEX(Produção!$I$2:$I$109,_xlpm.pos))))</f>
        <v>#REF!</v>
      </c>
      <c r="V59" s="42" t="e" cm="1">
        <f t="array" ref="V59">_xlfn.LET(_xlpm.canal,INDEX($E$2:$P$2,COLUMN()-COLUMN($Q$2)+1),_xlpm.pos,SUMPRODUCT((Produção!$B$2:$B$109=$A59)*(Produção!$F$2:$F$109=_xlpm.canal)*ROW(Produção!$I$2:$I$109))-1,IF(_xlpm.pos&lt;1,"-------",IF(INDEX(Produção!$I$2:$I$109,_xlpm.pos)="","-------",INDEX(Produção!$I$2:$I$109,_xlpm.pos))))</f>
        <v>#REF!</v>
      </c>
      <c r="W59" s="42" t="e" cm="1">
        <f t="array" ref="W59">_xlfn.LET(_xlpm.canal,INDEX($E$2:$P$2,COLUMN()-COLUMN($Q$2)+1),_xlpm.pos,SUMPRODUCT((Produção!$B$2:$B$109=$A59)*(Produção!$F$2:$F$109=_xlpm.canal)*ROW(Produção!$I$2:$I$109))-1,IF(_xlpm.pos&lt;1,"-------",IF(INDEX(Produção!$I$2:$I$109,_xlpm.pos)="","-------",INDEX(Produção!$I$2:$I$109,_xlpm.pos))))</f>
        <v>#REF!</v>
      </c>
      <c r="X59" s="42" t="e" cm="1">
        <f t="array" ref="X59">_xlfn.LET(_xlpm.canal,INDEX($E$2:$P$2,COLUMN()-COLUMN($Q$2)+1),_xlpm.pos,SUMPRODUCT((Produção!$B$2:$B$109=$A59)*(Produção!$F$2:$F$109=_xlpm.canal)*ROW(Produção!$I$2:$I$109))-1,IF(_xlpm.pos&lt;1,"-------",IF(INDEX(Produção!$I$2:$I$109,_xlpm.pos)="","-------",INDEX(Produção!$I$2:$I$109,_xlpm.pos))))</f>
        <v>#REF!</v>
      </c>
      <c r="Y59" s="42" t="e" cm="1">
        <f t="array" ref="Y59">_xlfn.LET(_xlpm.canal,INDEX($E$2:$P$2,COLUMN()-COLUMN($Q$2)+1),_xlpm.pos,SUMPRODUCT((Produção!$B$2:$B$109=$A59)*(Produção!$F$2:$F$109=_xlpm.canal)*ROW(Produção!$I$2:$I$109))-1,IF(_xlpm.pos&lt;1,"-------",IF(INDEX(Produção!$I$2:$I$109,_xlpm.pos)="","-------",INDEX(Produção!$I$2:$I$109,_xlpm.pos))))</f>
        <v>#REF!</v>
      </c>
      <c r="Z59" s="42" t="e" cm="1">
        <f t="array" ref="Z59">_xlfn.LET(_xlpm.canal,INDEX($E$2:$P$2,COLUMN()-COLUMN($Q$2)+1),_xlpm.pos,SUMPRODUCT((Produção!$B$2:$B$109=$A59)*(Produção!$F$2:$F$109=_xlpm.canal)*ROW(Produção!$I$2:$I$109))-1,IF(_xlpm.pos&lt;1,"-------",IF(INDEX(Produção!$I$2:$I$109,_xlpm.pos)="","-------",INDEX(Produção!$I$2:$I$109,_xlpm.pos))))</f>
        <v>#REF!</v>
      </c>
      <c r="AA59" s="42" t="e" cm="1">
        <f t="array" ref="AA59">_xlfn.LET(_xlpm.canal,INDEX($E$2:$P$2,COLUMN()-COLUMN($Q$2)+1),_xlpm.pos,SUMPRODUCT((Produção!$B$2:$B$109=$A59)*(Produção!$F$2:$F$109=_xlpm.canal)*ROW(Produção!$I$2:$I$109))-1,IF(_xlpm.pos&lt;1,"-------",IF(INDEX(Produção!$I$2:$I$109,_xlpm.pos)="","-------",INDEX(Produção!$I$2:$I$109,_xlpm.pos))))</f>
        <v>#REF!</v>
      </c>
      <c r="AB59" s="42" t="e" cm="1">
        <f t="array" ref="AB59">_xlfn.LET(_xlpm.canal,INDEX($E$2:$P$2,COLUMN()-COLUMN($Q$2)+1),_xlpm.pos,SUMPRODUCT((Produção!$B$2:$B$109=$A59)*(Produção!$F$2:$F$109=_xlpm.canal)*ROW(Produção!$I$2:$I$109))-1,IF(_xlpm.pos&lt;1,"-------",IF(INDEX(Produção!$I$2:$I$109,_xlpm.pos)="","-------",INDEX(Produção!$I$2:$I$109,_xlpm.pos))))</f>
        <v>#REF!</v>
      </c>
      <c r="AD59" s="34" t="e" cm="1">
        <f t="array" ref="AD59">SUMPRODUCT(($Q59:$AB59&lt;&gt;"-------")*1)</f>
        <v>#REF!</v>
      </c>
      <c r="AE59" s="34">
        <f>RANK($D59,$D$3:$D$90)+COUNTIF($D$3:$D59,$D59)-1</f>
        <v>57</v>
      </c>
    </row>
    <row r="60" spans="1:31">
      <c r="A60" s="38" t="e" cm="1">
        <f t="array" ref="A60">INDEX(Produção!B$2:B$109,(ROW()-3)*12+1)</f>
        <v>#REF!</v>
      </c>
      <c r="B60" s="39" t="e" cm="1">
        <f t="array" ref="B60">INDEX(Produção!C$2:C$109,(ROW()-3)*12+1)</f>
        <v>#REF!</v>
      </c>
      <c r="C60" s="39" t="e" cm="1">
        <f t="array" ref="C60">INDEX(Produção!D$2:D$109,(ROW()-3)*12+1)</f>
        <v>#REF!</v>
      </c>
      <c r="D60" s="40">
        <f t="shared" si="0"/>
        <v>0</v>
      </c>
      <c r="E60" s="41">
        <f>SUMIFS(Produção!$G$2:$G$109,Produção!$B$2:$B$109,$A60,Produção!$F$2:$F$109,E$2)</f>
        <v>0</v>
      </c>
      <c r="F60" s="41">
        <f>SUMIFS(Produção!$G$2:$G$109,Produção!$B$2:$B$109,$A60,Produção!$F$2:$F$109,F$2)</f>
        <v>0</v>
      </c>
      <c r="G60" s="41">
        <f>SUMIFS(Produção!$G$2:$G$109,Produção!$B$2:$B$109,$A60,Produção!$F$2:$F$109,G$2)</f>
        <v>0</v>
      </c>
      <c r="H60" s="41">
        <f>SUMIFS(Produção!$G$2:$G$109,Produção!$B$2:$B$109,$A60,Produção!$F$2:$F$109,H$2)</f>
        <v>0</v>
      </c>
      <c r="I60" s="41">
        <f>SUMIFS(Produção!$G$2:$G$109,Produção!$B$2:$B$109,$A60,Produção!$F$2:$F$109,I$2)</f>
        <v>0</v>
      </c>
      <c r="J60" s="41">
        <f>SUMIFS(Produção!$G$2:$G$109,Produção!$B$2:$B$109,$A60,Produção!$F$2:$F$109,J$2)</f>
        <v>0</v>
      </c>
      <c r="K60" s="41">
        <f>SUMIFS(Produção!$G$2:$G$109,Produção!$B$2:$B$109,$A60,Produção!$F$2:$F$109,K$2)</f>
        <v>0</v>
      </c>
      <c r="L60" s="41">
        <f>SUMIFS(Produção!$G$2:$G$109,Produção!$B$2:$B$109,$A60,Produção!$F$2:$F$109,L$2)</f>
        <v>0</v>
      </c>
      <c r="M60" s="41">
        <f>SUMIFS(Produção!$G$2:$G$109,Produção!$B$2:$B$109,$A60,Produção!$F$2:$F$109,M$2)</f>
        <v>0</v>
      </c>
      <c r="N60" s="41">
        <f>SUMIFS(Produção!$G$2:$G$109,Produção!$B$2:$B$109,$A60,Produção!$F$2:$F$109,N$2)</f>
        <v>0</v>
      </c>
      <c r="O60" s="41">
        <f>SUMIFS(Produção!$G$2:$G$109,Produção!$B$2:$B$109,$A60,Produção!$F$2:$F$109,O$2)</f>
        <v>0</v>
      </c>
      <c r="P60" s="41">
        <f>SUMIFS(Produção!$G$2:$G$109,Produção!$B$2:$B$109,$A60,Produção!$F$2:$F$109,P$2)</f>
        <v>0</v>
      </c>
      <c r="Q60" s="42" t="e" cm="1">
        <f t="array" ref="Q60">_xlfn.LET(_xlpm.canal,INDEX($E$2:$P$2,COLUMN()-COLUMN($Q$2)+1),_xlpm.pos,SUMPRODUCT((Produção!$B$2:$B$109=$A60)*(Produção!$F$2:$F$109=_xlpm.canal)*ROW(Produção!$I$2:$I$109))-1,IF(_xlpm.pos&lt;1,"-------",IF(INDEX(Produção!$I$2:$I$109,_xlpm.pos)="","-------",INDEX(Produção!$I$2:$I$109,_xlpm.pos))))</f>
        <v>#REF!</v>
      </c>
      <c r="R60" s="42" t="e" cm="1">
        <f t="array" ref="R60">_xlfn.LET(_xlpm.canal,INDEX($E$2:$P$2,COLUMN()-COLUMN($Q$2)+1),_xlpm.pos,SUMPRODUCT((Produção!$B$2:$B$109=$A60)*(Produção!$F$2:$F$109=_xlpm.canal)*ROW(Produção!$I$2:$I$109))-1,IF(_xlpm.pos&lt;1,"-------",IF(INDEX(Produção!$I$2:$I$109,_xlpm.pos)="","-------",INDEX(Produção!$I$2:$I$109,_xlpm.pos))))</f>
        <v>#REF!</v>
      </c>
      <c r="S60" s="42" t="e" cm="1">
        <f t="array" ref="S60">_xlfn.LET(_xlpm.canal,INDEX($E$2:$P$2,COLUMN()-COLUMN($Q$2)+1),_xlpm.pos,SUMPRODUCT((Produção!$B$2:$B$109=$A60)*(Produção!$F$2:$F$109=_xlpm.canal)*ROW(Produção!$I$2:$I$109))-1,IF(_xlpm.pos&lt;1,"-------",IF(INDEX(Produção!$I$2:$I$109,_xlpm.pos)="","-------",INDEX(Produção!$I$2:$I$109,_xlpm.pos))))</f>
        <v>#REF!</v>
      </c>
      <c r="T60" s="42" t="e" cm="1">
        <f t="array" ref="T60">_xlfn.LET(_xlpm.canal,INDEX($E$2:$P$2,COLUMN()-COLUMN($Q$2)+1),_xlpm.pos,SUMPRODUCT((Produção!$B$2:$B$109=$A60)*(Produção!$F$2:$F$109=_xlpm.canal)*ROW(Produção!$I$2:$I$109))-1,IF(_xlpm.pos&lt;1,"-------",IF(INDEX(Produção!$I$2:$I$109,_xlpm.pos)="","-------",INDEX(Produção!$I$2:$I$109,_xlpm.pos))))</f>
        <v>#REF!</v>
      </c>
      <c r="U60" s="42" t="e" cm="1">
        <f t="array" ref="U60">_xlfn.LET(_xlpm.canal,INDEX($E$2:$P$2,COLUMN()-COLUMN($Q$2)+1),_xlpm.pos,SUMPRODUCT((Produção!$B$2:$B$109=$A60)*(Produção!$F$2:$F$109=_xlpm.canal)*ROW(Produção!$I$2:$I$109))-1,IF(_xlpm.pos&lt;1,"-------",IF(INDEX(Produção!$I$2:$I$109,_xlpm.pos)="","-------",INDEX(Produção!$I$2:$I$109,_xlpm.pos))))</f>
        <v>#REF!</v>
      </c>
      <c r="V60" s="42" t="e" cm="1">
        <f t="array" ref="V60">_xlfn.LET(_xlpm.canal,INDEX($E$2:$P$2,COLUMN()-COLUMN($Q$2)+1),_xlpm.pos,SUMPRODUCT((Produção!$B$2:$B$109=$A60)*(Produção!$F$2:$F$109=_xlpm.canal)*ROW(Produção!$I$2:$I$109))-1,IF(_xlpm.pos&lt;1,"-------",IF(INDEX(Produção!$I$2:$I$109,_xlpm.pos)="","-------",INDEX(Produção!$I$2:$I$109,_xlpm.pos))))</f>
        <v>#REF!</v>
      </c>
      <c r="W60" s="42" t="e" cm="1">
        <f t="array" ref="W60">_xlfn.LET(_xlpm.canal,INDEX($E$2:$P$2,COLUMN()-COLUMN($Q$2)+1),_xlpm.pos,SUMPRODUCT((Produção!$B$2:$B$109=$A60)*(Produção!$F$2:$F$109=_xlpm.canal)*ROW(Produção!$I$2:$I$109))-1,IF(_xlpm.pos&lt;1,"-------",IF(INDEX(Produção!$I$2:$I$109,_xlpm.pos)="","-------",INDEX(Produção!$I$2:$I$109,_xlpm.pos))))</f>
        <v>#REF!</v>
      </c>
      <c r="X60" s="42" t="e" cm="1">
        <f t="array" ref="X60">_xlfn.LET(_xlpm.canal,INDEX($E$2:$P$2,COLUMN()-COLUMN($Q$2)+1),_xlpm.pos,SUMPRODUCT((Produção!$B$2:$B$109=$A60)*(Produção!$F$2:$F$109=_xlpm.canal)*ROW(Produção!$I$2:$I$109))-1,IF(_xlpm.pos&lt;1,"-------",IF(INDEX(Produção!$I$2:$I$109,_xlpm.pos)="","-------",INDEX(Produção!$I$2:$I$109,_xlpm.pos))))</f>
        <v>#REF!</v>
      </c>
      <c r="Y60" s="42" t="e" cm="1">
        <f t="array" ref="Y60">_xlfn.LET(_xlpm.canal,INDEX($E$2:$P$2,COLUMN()-COLUMN($Q$2)+1),_xlpm.pos,SUMPRODUCT((Produção!$B$2:$B$109=$A60)*(Produção!$F$2:$F$109=_xlpm.canal)*ROW(Produção!$I$2:$I$109))-1,IF(_xlpm.pos&lt;1,"-------",IF(INDEX(Produção!$I$2:$I$109,_xlpm.pos)="","-------",INDEX(Produção!$I$2:$I$109,_xlpm.pos))))</f>
        <v>#REF!</v>
      </c>
      <c r="Z60" s="42" t="e" cm="1">
        <f t="array" ref="Z60">_xlfn.LET(_xlpm.canal,INDEX($E$2:$P$2,COLUMN()-COLUMN($Q$2)+1),_xlpm.pos,SUMPRODUCT((Produção!$B$2:$B$109=$A60)*(Produção!$F$2:$F$109=_xlpm.canal)*ROW(Produção!$I$2:$I$109))-1,IF(_xlpm.pos&lt;1,"-------",IF(INDEX(Produção!$I$2:$I$109,_xlpm.pos)="","-------",INDEX(Produção!$I$2:$I$109,_xlpm.pos))))</f>
        <v>#REF!</v>
      </c>
      <c r="AA60" s="42" t="e" cm="1">
        <f t="array" ref="AA60">_xlfn.LET(_xlpm.canal,INDEX($E$2:$P$2,COLUMN()-COLUMN($Q$2)+1),_xlpm.pos,SUMPRODUCT((Produção!$B$2:$B$109=$A60)*(Produção!$F$2:$F$109=_xlpm.canal)*ROW(Produção!$I$2:$I$109))-1,IF(_xlpm.pos&lt;1,"-------",IF(INDEX(Produção!$I$2:$I$109,_xlpm.pos)="","-------",INDEX(Produção!$I$2:$I$109,_xlpm.pos))))</f>
        <v>#REF!</v>
      </c>
      <c r="AB60" s="42" t="e" cm="1">
        <f t="array" ref="AB60">_xlfn.LET(_xlpm.canal,INDEX($E$2:$P$2,COLUMN()-COLUMN($Q$2)+1),_xlpm.pos,SUMPRODUCT((Produção!$B$2:$B$109=$A60)*(Produção!$F$2:$F$109=_xlpm.canal)*ROW(Produção!$I$2:$I$109))-1,IF(_xlpm.pos&lt;1,"-------",IF(INDEX(Produção!$I$2:$I$109,_xlpm.pos)="","-------",INDEX(Produção!$I$2:$I$109,_xlpm.pos))))</f>
        <v>#REF!</v>
      </c>
      <c r="AD60" s="34" t="e" cm="1">
        <f t="array" ref="AD60">SUMPRODUCT(($Q60:$AB60&lt;&gt;"-------")*1)</f>
        <v>#REF!</v>
      </c>
      <c r="AE60" s="34">
        <f>RANK($D60,$D$3:$D$90)+COUNTIF($D$3:$D60,$D60)-1</f>
        <v>58</v>
      </c>
    </row>
    <row r="61" spans="1:31">
      <c r="A61" s="38" t="e" cm="1">
        <f t="array" ref="A61">INDEX(Produção!B$2:B$109,(ROW()-3)*12+1)</f>
        <v>#REF!</v>
      </c>
      <c r="B61" s="39" t="e" cm="1">
        <f t="array" ref="B61">INDEX(Produção!C$2:C$109,(ROW()-3)*12+1)</f>
        <v>#REF!</v>
      </c>
      <c r="C61" s="39" t="e" cm="1">
        <f t="array" ref="C61">INDEX(Produção!D$2:D$109,(ROW()-3)*12+1)</f>
        <v>#REF!</v>
      </c>
      <c r="D61" s="40">
        <f t="shared" si="0"/>
        <v>0</v>
      </c>
      <c r="E61" s="41">
        <f>SUMIFS(Produção!$G$2:$G$109,Produção!$B$2:$B$109,$A61,Produção!$F$2:$F$109,E$2)</f>
        <v>0</v>
      </c>
      <c r="F61" s="41">
        <f>SUMIFS(Produção!$G$2:$G$109,Produção!$B$2:$B$109,$A61,Produção!$F$2:$F$109,F$2)</f>
        <v>0</v>
      </c>
      <c r="G61" s="41">
        <f>SUMIFS(Produção!$G$2:$G$109,Produção!$B$2:$B$109,$A61,Produção!$F$2:$F$109,G$2)</f>
        <v>0</v>
      </c>
      <c r="H61" s="41">
        <f>SUMIFS(Produção!$G$2:$G$109,Produção!$B$2:$B$109,$A61,Produção!$F$2:$F$109,H$2)</f>
        <v>0</v>
      </c>
      <c r="I61" s="41">
        <f>SUMIFS(Produção!$G$2:$G$109,Produção!$B$2:$B$109,$A61,Produção!$F$2:$F$109,I$2)</f>
        <v>0</v>
      </c>
      <c r="J61" s="41">
        <f>SUMIFS(Produção!$G$2:$G$109,Produção!$B$2:$B$109,$A61,Produção!$F$2:$F$109,J$2)</f>
        <v>0</v>
      </c>
      <c r="K61" s="41">
        <f>SUMIFS(Produção!$G$2:$G$109,Produção!$B$2:$B$109,$A61,Produção!$F$2:$F$109,K$2)</f>
        <v>0</v>
      </c>
      <c r="L61" s="41">
        <f>SUMIFS(Produção!$G$2:$G$109,Produção!$B$2:$B$109,$A61,Produção!$F$2:$F$109,L$2)</f>
        <v>0</v>
      </c>
      <c r="M61" s="41">
        <f>SUMIFS(Produção!$G$2:$G$109,Produção!$B$2:$B$109,$A61,Produção!$F$2:$F$109,M$2)</f>
        <v>0</v>
      </c>
      <c r="N61" s="41">
        <f>SUMIFS(Produção!$G$2:$G$109,Produção!$B$2:$B$109,$A61,Produção!$F$2:$F$109,N$2)</f>
        <v>0</v>
      </c>
      <c r="O61" s="41">
        <f>SUMIFS(Produção!$G$2:$G$109,Produção!$B$2:$B$109,$A61,Produção!$F$2:$F$109,O$2)</f>
        <v>0</v>
      </c>
      <c r="P61" s="41">
        <f>SUMIFS(Produção!$G$2:$G$109,Produção!$B$2:$B$109,$A61,Produção!$F$2:$F$109,P$2)</f>
        <v>0</v>
      </c>
      <c r="Q61" s="42" t="e" cm="1">
        <f t="array" ref="Q61">_xlfn.LET(_xlpm.canal,INDEX($E$2:$P$2,COLUMN()-COLUMN($Q$2)+1),_xlpm.pos,SUMPRODUCT((Produção!$B$2:$B$109=$A61)*(Produção!$F$2:$F$109=_xlpm.canal)*ROW(Produção!$I$2:$I$109))-1,IF(_xlpm.pos&lt;1,"-------",IF(INDEX(Produção!$I$2:$I$109,_xlpm.pos)="","-------",INDEX(Produção!$I$2:$I$109,_xlpm.pos))))</f>
        <v>#REF!</v>
      </c>
      <c r="R61" s="42" t="e" cm="1">
        <f t="array" ref="R61">_xlfn.LET(_xlpm.canal,INDEX($E$2:$P$2,COLUMN()-COLUMN($Q$2)+1),_xlpm.pos,SUMPRODUCT((Produção!$B$2:$B$109=$A61)*(Produção!$F$2:$F$109=_xlpm.canal)*ROW(Produção!$I$2:$I$109))-1,IF(_xlpm.pos&lt;1,"-------",IF(INDEX(Produção!$I$2:$I$109,_xlpm.pos)="","-------",INDEX(Produção!$I$2:$I$109,_xlpm.pos))))</f>
        <v>#REF!</v>
      </c>
      <c r="S61" s="42" t="e" cm="1">
        <f t="array" ref="S61">_xlfn.LET(_xlpm.canal,INDEX($E$2:$P$2,COLUMN()-COLUMN($Q$2)+1),_xlpm.pos,SUMPRODUCT((Produção!$B$2:$B$109=$A61)*(Produção!$F$2:$F$109=_xlpm.canal)*ROW(Produção!$I$2:$I$109))-1,IF(_xlpm.pos&lt;1,"-------",IF(INDEX(Produção!$I$2:$I$109,_xlpm.pos)="","-------",INDEX(Produção!$I$2:$I$109,_xlpm.pos))))</f>
        <v>#REF!</v>
      </c>
      <c r="T61" s="42" t="e" cm="1">
        <f t="array" ref="T61">_xlfn.LET(_xlpm.canal,INDEX($E$2:$P$2,COLUMN()-COLUMN($Q$2)+1),_xlpm.pos,SUMPRODUCT((Produção!$B$2:$B$109=$A61)*(Produção!$F$2:$F$109=_xlpm.canal)*ROW(Produção!$I$2:$I$109))-1,IF(_xlpm.pos&lt;1,"-------",IF(INDEX(Produção!$I$2:$I$109,_xlpm.pos)="","-------",INDEX(Produção!$I$2:$I$109,_xlpm.pos))))</f>
        <v>#REF!</v>
      </c>
      <c r="U61" s="42" t="e" cm="1">
        <f t="array" ref="U61">_xlfn.LET(_xlpm.canal,INDEX($E$2:$P$2,COLUMN()-COLUMN($Q$2)+1),_xlpm.pos,SUMPRODUCT((Produção!$B$2:$B$109=$A61)*(Produção!$F$2:$F$109=_xlpm.canal)*ROW(Produção!$I$2:$I$109))-1,IF(_xlpm.pos&lt;1,"-------",IF(INDEX(Produção!$I$2:$I$109,_xlpm.pos)="","-------",INDEX(Produção!$I$2:$I$109,_xlpm.pos))))</f>
        <v>#REF!</v>
      </c>
      <c r="V61" s="42" t="e" cm="1">
        <f t="array" ref="V61">_xlfn.LET(_xlpm.canal,INDEX($E$2:$P$2,COLUMN()-COLUMN($Q$2)+1),_xlpm.pos,SUMPRODUCT((Produção!$B$2:$B$109=$A61)*(Produção!$F$2:$F$109=_xlpm.canal)*ROW(Produção!$I$2:$I$109))-1,IF(_xlpm.pos&lt;1,"-------",IF(INDEX(Produção!$I$2:$I$109,_xlpm.pos)="","-------",INDEX(Produção!$I$2:$I$109,_xlpm.pos))))</f>
        <v>#REF!</v>
      </c>
      <c r="W61" s="42" t="e" cm="1">
        <f t="array" ref="W61">_xlfn.LET(_xlpm.canal,INDEX($E$2:$P$2,COLUMN()-COLUMN($Q$2)+1),_xlpm.pos,SUMPRODUCT((Produção!$B$2:$B$109=$A61)*(Produção!$F$2:$F$109=_xlpm.canal)*ROW(Produção!$I$2:$I$109))-1,IF(_xlpm.pos&lt;1,"-------",IF(INDEX(Produção!$I$2:$I$109,_xlpm.pos)="","-------",INDEX(Produção!$I$2:$I$109,_xlpm.pos))))</f>
        <v>#REF!</v>
      </c>
      <c r="X61" s="42" t="e" cm="1">
        <f t="array" ref="X61">_xlfn.LET(_xlpm.canal,INDEX($E$2:$P$2,COLUMN()-COLUMN($Q$2)+1),_xlpm.pos,SUMPRODUCT((Produção!$B$2:$B$109=$A61)*(Produção!$F$2:$F$109=_xlpm.canal)*ROW(Produção!$I$2:$I$109))-1,IF(_xlpm.pos&lt;1,"-------",IF(INDEX(Produção!$I$2:$I$109,_xlpm.pos)="","-------",INDEX(Produção!$I$2:$I$109,_xlpm.pos))))</f>
        <v>#REF!</v>
      </c>
      <c r="Y61" s="42" t="e" cm="1">
        <f t="array" ref="Y61">_xlfn.LET(_xlpm.canal,INDEX($E$2:$P$2,COLUMN()-COLUMN($Q$2)+1),_xlpm.pos,SUMPRODUCT((Produção!$B$2:$B$109=$A61)*(Produção!$F$2:$F$109=_xlpm.canal)*ROW(Produção!$I$2:$I$109))-1,IF(_xlpm.pos&lt;1,"-------",IF(INDEX(Produção!$I$2:$I$109,_xlpm.pos)="","-------",INDEX(Produção!$I$2:$I$109,_xlpm.pos))))</f>
        <v>#REF!</v>
      </c>
      <c r="Z61" s="42" t="e" cm="1">
        <f t="array" ref="Z61">_xlfn.LET(_xlpm.canal,INDEX($E$2:$P$2,COLUMN()-COLUMN($Q$2)+1),_xlpm.pos,SUMPRODUCT((Produção!$B$2:$B$109=$A61)*(Produção!$F$2:$F$109=_xlpm.canal)*ROW(Produção!$I$2:$I$109))-1,IF(_xlpm.pos&lt;1,"-------",IF(INDEX(Produção!$I$2:$I$109,_xlpm.pos)="","-------",INDEX(Produção!$I$2:$I$109,_xlpm.pos))))</f>
        <v>#REF!</v>
      </c>
      <c r="AA61" s="42" t="e" cm="1">
        <f t="array" ref="AA61">_xlfn.LET(_xlpm.canal,INDEX($E$2:$P$2,COLUMN()-COLUMN($Q$2)+1),_xlpm.pos,SUMPRODUCT((Produção!$B$2:$B$109=$A61)*(Produção!$F$2:$F$109=_xlpm.canal)*ROW(Produção!$I$2:$I$109))-1,IF(_xlpm.pos&lt;1,"-------",IF(INDEX(Produção!$I$2:$I$109,_xlpm.pos)="","-------",INDEX(Produção!$I$2:$I$109,_xlpm.pos))))</f>
        <v>#REF!</v>
      </c>
      <c r="AB61" s="42" t="e" cm="1">
        <f t="array" ref="AB61">_xlfn.LET(_xlpm.canal,INDEX($E$2:$P$2,COLUMN()-COLUMN($Q$2)+1),_xlpm.pos,SUMPRODUCT((Produção!$B$2:$B$109=$A61)*(Produção!$F$2:$F$109=_xlpm.canal)*ROW(Produção!$I$2:$I$109))-1,IF(_xlpm.pos&lt;1,"-------",IF(INDEX(Produção!$I$2:$I$109,_xlpm.pos)="","-------",INDEX(Produção!$I$2:$I$109,_xlpm.pos))))</f>
        <v>#REF!</v>
      </c>
      <c r="AD61" s="34" t="e" cm="1">
        <f t="array" ref="AD61">SUMPRODUCT(($Q61:$AB61&lt;&gt;"-------")*1)</f>
        <v>#REF!</v>
      </c>
      <c r="AE61" s="34">
        <f>RANK($D61,$D$3:$D$90)+COUNTIF($D$3:$D61,$D61)-1</f>
        <v>59</v>
      </c>
    </row>
    <row r="62" spans="1:31">
      <c r="A62" s="38" t="e" cm="1">
        <f t="array" ref="A62">INDEX(Produção!B$2:B$109,(ROW()-3)*12+1)</f>
        <v>#REF!</v>
      </c>
      <c r="B62" s="39" t="e" cm="1">
        <f t="array" ref="B62">INDEX(Produção!C$2:C$109,(ROW()-3)*12+1)</f>
        <v>#REF!</v>
      </c>
      <c r="C62" s="39" t="e" cm="1">
        <f t="array" ref="C62">INDEX(Produção!D$2:D$109,(ROW()-3)*12+1)</f>
        <v>#REF!</v>
      </c>
      <c r="D62" s="40">
        <f t="shared" si="0"/>
        <v>0</v>
      </c>
      <c r="E62" s="41">
        <f>SUMIFS(Produção!$G$2:$G$109,Produção!$B$2:$B$109,$A62,Produção!$F$2:$F$109,E$2)</f>
        <v>0</v>
      </c>
      <c r="F62" s="41">
        <f>SUMIFS(Produção!$G$2:$G$109,Produção!$B$2:$B$109,$A62,Produção!$F$2:$F$109,F$2)</f>
        <v>0</v>
      </c>
      <c r="G62" s="41">
        <f>SUMIFS(Produção!$G$2:$G$109,Produção!$B$2:$B$109,$A62,Produção!$F$2:$F$109,G$2)</f>
        <v>0</v>
      </c>
      <c r="H62" s="41">
        <f>SUMIFS(Produção!$G$2:$G$109,Produção!$B$2:$B$109,$A62,Produção!$F$2:$F$109,H$2)</f>
        <v>0</v>
      </c>
      <c r="I62" s="41">
        <f>SUMIFS(Produção!$G$2:$G$109,Produção!$B$2:$B$109,$A62,Produção!$F$2:$F$109,I$2)</f>
        <v>0</v>
      </c>
      <c r="J62" s="41">
        <f>SUMIFS(Produção!$G$2:$G$109,Produção!$B$2:$B$109,$A62,Produção!$F$2:$F$109,J$2)</f>
        <v>0</v>
      </c>
      <c r="K62" s="41">
        <f>SUMIFS(Produção!$G$2:$G$109,Produção!$B$2:$B$109,$A62,Produção!$F$2:$F$109,K$2)</f>
        <v>0</v>
      </c>
      <c r="L62" s="41">
        <f>SUMIFS(Produção!$G$2:$G$109,Produção!$B$2:$B$109,$A62,Produção!$F$2:$F$109,L$2)</f>
        <v>0</v>
      </c>
      <c r="M62" s="41">
        <f>SUMIFS(Produção!$G$2:$G$109,Produção!$B$2:$B$109,$A62,Produção!$F$2:$F$109,M$2)</f>
        <v>0</v>
      </c>
      <c r="N62" s="41">
        <f>SUMIFS(Produção!$G$2:$G$109,Produção!$B$2:$B$109,$A62,Produção!$F$2:$F$109,N$2)</f>
        <v>0</v>
      </c>
      <c r="O62" s="41">
        <f>SUMIFS(Produção!$G$2:$G$109,Produção!$B$2:$B$109,$A62,Produção!$F$2:$F$109,O$2)</f>
        <v>0</v>
      </c>
      <c r="P62" s="41">
        <f>SUMIFS(Produção!$G$2:$G$109,Produção!$B$2:$B$109,$A62,Produção!$F$2:$F$109,P$2)</f>
        <v>0</v>
      </c>
      <c r="Q62" s="42" t="e" cm="1">
        <f t="array" ref="Q62">_xlfn.LET(_xlpm.canal,INDEX($E$2:$P$2,COLUMN()-COLUMN($Q$2)+1),_xlpm.pos,SUMPRODUCT((Produção!$B$2:$B$109=$A62)*(Produção!$F$2:$F$109=_xlpm.canal)*ROW(Produção!$I$2:$I$109))-1,IF(_xlpm.pos&lt;1,"-------",IF(INDEX(Produção!$I$2:$I$109,_xlpm.pos)="","-------",INDEX(Produção!$I$2:$I$109,_xlpm.pos))))</f>
        <v>#REF!</v>
      </c>
      <c r="R62" s="42" t="e" cm="1">
        <f t="array" ref="R62">_xlfn.LET(_xlpm.canal,INDEX($E$2:$P$2,COLUMN()-COLUMN($Q$2)+1),_xlpm.pos,SUMPRODUCT((Produção!$B$2:$B$109=$A62)*(Produção!$F$2:$F$109=_xlpm.canal)*ROW(Produção!$I$2:$I$109))-1,IF(_xlpm.pos&lt;1,"-------",IF(INDEX(Produção!$I$2:$I$109,_xlpm.pos)="","-------",INDEX(Produção!$I$2:$I$109,_xlpm.pos))))</f>
        <v>#REF!</v>
      </c>
      <c r="S62" s="42" t="e" cm="1">
        <f t="array" ref="S62">_xlfn.LET(_xlpm.canal,INDEX($E$2:$P$2,COLUMN()-COLUMN($Q$2)+1),_xlpm.pos,SUMPRODUCT((Produção!$B$2:$B$109=$A62)*(Produção!$F$2:$F$109=_xlpm.canal)*ROW(Produção!$I$2:$I$109))-1,IF(_xlpm.pos&lt;1,"-------",IF(INDEX(Produção!$I$2:$I$109,_xlpm.pos)="","-------",INDEX(Produção!$I$2:$I$109,_xlpm.pos))))</f>
        <v>#REF!</v>
      </c>
      <c r="T62" s="42" t="e" cm="1">
        <f t="array" ref="T62">_xlfn.LET(_xlpm.canal,INDEX($E$2:$P$2,COLUMN()-COLUMN($Q$2)+1),_xlpm.pos,SUMPRODUCT((Produção!$B$2:$B$109=$A62)*(Produção!$F$2:$F$109=_xlpm.canal)*ROW(Produção!$I$2:$I$109))-1,IF(_xlpm.pos&lt;1,"-------",IF(INDEX(Produção!$I$2:$I$109,_xlpm.pos)="","-------",INDEX(Produção!$I$2:$I$109,_xlpm.pos))))</f>
        <v>#REF!</v>
      </c>
      <c r="U62" s="42" t="e" cm="1">
        <f t="array" ref="U62">_xlfn.LET(_xlpm.canal,INDEX($E$2:$P$2,COLUMN()-COLUMN($Q$2)+1),_xlpm.pos,SUMPRODUCT((Produção!$B$2:$B$109=$A62)*(Produção!$F$2:$F$109=_xlpm.canal)*ROW(Produção!$I$2:$I$109))-1,IF(_xlpm.pos&lt;1,"-------",IF(INDEX(Produção!$I$2:$I$109,_xlpm.pos)="","-------",INDEX(Produção!$I$2:$I$109,_xlpm.pos))))</f>
        <v>#REF!</v>
      </c>
      <c r="V62" s="42" t="e" cm="1">
        <f t="array" ref="V62">_xlfn.LET(_xlpm.canal,INDEX($E$2:$P$2,COLUMN()-COLUMN($Q$2)+1),_xlpm.pos,SUMPRODUCT((Produção!$B$2:$B$109=$A62)*(Produção!$F$2:$F$109=_xlpm.canal)*ROW(Produção!$I$2:$I$109))-1,IF(_xlpm.pos&lt;1,"-------",IF(INDEX(Produção!$I$2:$I$109,_xlpm.pos)="","-------",INDEX(Produção!$I$2:$I$109,_xlpm.pos))))</f>
        <v>#REF!</v>
      </c>
      <c r="W62" s="42" t="e" cm="1">
        <f t="array" ref="W62">_xlfn.LET(_xlpm.canal,INDEX($E$2:$P$2,COLUMN()-COLUMN($Q$2)+1),_xlpm.pos,SUMPRODUCT((Produção!$B$2:$B$109=$A62)*(Produção!$F$2:$F$109=_xlpm.canal)*ROW(Produção!$I$2:$I$109))-1,IF(_xlpm.pos&lt;1,"-------",IF(INDEX(Produção!$I$2:$I$109,_xlpm.pos)="","-------",INDEX(Produção!$I$2:$I$109,_xlpm.pos))))</f>
        <v>#REF!</v>
      </c>
      <c r="X62" s="42" t="e" cm="1">
        <f t="array" ref="X62">_xlfn.LET(_xlpm.canal,INDEX($E$2:$P$2,COLUMN()-COLUMN($Q$2)+1),_xlpm.pos,SUMPRODUCT((Produção!$B$2:$B$109=$A62)*(Produção!$F$2:$F$109=_xlpm.canal)*ROW(Produção!$I$2:$I$109))-1,IF(_xlpm.pos&lt;1,"-------",IF(INDEX(Produção!$I$2:$I$109,_xlpm.pos)="","-------",INDEX(Produção!$I$2:$I$109,_xlpm.pos))))</f>
        <v>#REF!</v>
      </c>
      <c r="Y62" s="42" t="e" cm="1">
        <f t="array" ref="Y62">_xlfn.LET(_xlpm.canal,INDEX($E$2:$P$2,COLUMN()-COLUMN($Q$2)+1),_xlpm.pos,SUMPRODUCT((Produção!$B$2:$B$109=$A62)*(Produção!$F$2:$F$109=_xlpm.canal)*ROW(Produção!$I$2:$I$109))-1,IF(_xlpm.pos&lt;1,"-------",IF(INDEX(Produção!$I$2:$I$109,_xlpm.pos)="","-------",INDEX(Produção!$I$2:$I$109,_xlpm.pos))))</f>
        <v>#REF!</v>
      </c>
      <c r="Z62" s="42" t="e" cm="1">
        <f t="array" ref="Z62">_xlfn.LET(_xlpm.canal,INDEX($E$2:$P$2,COLUMN()-COLUMN($Q$2)+1),_xlpm.pos,SUMPRODUCT((Produção!$B$2:$B$109=$A62)*(Produção!$F$2:$F$109=_xlpm.canal)*ROW(Produção!$I$2:$I$109))-1,IF(_xlpm.pos&lt;1,"-------",IF(INDEX(Produção!$I$2:$I$109,_xlpm.pos)="","-------",INDEX(Produção!$I$2:$I$109,_xlpm.pos))))</f>
        <v>#REF!</v>
      </c>
      <c r="AA62" s="42" t="e" cm="1">
        <f t="array" ref="AA62">_xlfn.LET(_xlpm.canal,INDEX($E$2:$P$2,COLUMN()-COLUMN($Q$2)+1),_xlpm.pos,SUMPRODUCT((Produção!$B$2:$B$109=$A62)*(Produção!$F$2:$F$109=_xlpm.canal)*ROW(Produção!$I$2:$I$109))-1,IF(_xlpm.pos&lt;1,"-------",IF(INDEX(Produção!$I$2:$I$109,_xlpm.pos)="","-------",INDEX(Produção!$I$2:$I$109,_xlpm.pos))))</f>
        <v>#REF!</v>
      </c>
      <c r="AB62" s="42" t="e" cm="1">
        <f t="array" ref="AB62">_xlfn.LET(_xlpm.canal,INDEX($E$2:$P$2,COLUMN()-COLUMN($Q$2)+1),_xlpm.pos,SUMPRODUCT((Produção!$B$2:$B$109=$A62)*(Produção!$F$2:$F$109=_xlpm.canal)*ROW(Produção!$I$2:$I$109))-1,IF(_xlpm.pos&lt;1,"-------",IF(INDEX(Produção!$I$2:$I$109,_xlpm.pos)="","-------",INDEX(Produção!$I$2:$I$109,_xlpm.pos))))</f>
        <v>#REF!</v>
      </c>
      <c r="AD62" s="34" t="e" cm="1">
        <f t="array" ref="AD62">SUMPRODUCT(($Q62:$AB62&lt;&gt;"-------")*1)</f>
        <v>#REF!</v>
      </c>
      <c r="AE62" s="34">
        <f>RANK($D62,$D$3:$D$90)+COUNTIF($D$3:$D62,$D62)-1</f>
        <v>60</v>
      </c>
    </row>
    <row r="63" spans="1:31">
      <c r="A63" s="38" t="e" cm="1">
        <f t="array" ref="A63">INDEX(Produção!B$2:B$109,(ROW()-3)*12+1)</f>
        <v>#REF!</v>
      </c>
      <c r="B63" s="39" t="e" cm="1">
        <f t="array" ref="B63">INDEX(Produção!C$2:C$109,(ROW()-3)*12+1)</f>
        <v>#REF!</v>
      </c>
      <c r="C63" s="39" t="e" cm="1">
        <f t="array" ref="C63">INDEX(Produção!D$2:D$109,(ROW()-3)*12+1)</f>
        <v>#REF!</v>
      </c>
      <c r="D63" s="40">
        <f t="shared" si="0"/>
        <v>0</v>
      </c>
      <c r="E63" s="41">
        <f>SUMIFS(Produção!$G$2:$G$109,Produção!$B$2:$B$109,$A63,Produção!$F$2:$F$109,E$2)</f>
        <v>0</v>
      </c>
      <c r="F63" s="41">
        <f>SUMIFS(Produção!$G$2:$G$109,Produção!$B$2:$B$109,$A63,Produção!$F$2:$F$109,F$2)</f>
        <v>0</v>
      </c>
      <c r="G63" s="41">
        <f>SUMIFS(Produção!$G$2:$G$109,Produção!$B$2:$B$109,$A63,Produção!$F$2:$F$109,G$2)</f>
        <v>0</v>
      </c>
      <c r="H63" s="41">
        <f>SUMIFS(Produção!$G$2:$G$109,Produção!$B$2:$B$109,$A63,Produção!$F$2:$F$109,H$2)</f>
        <v>0</v>
      </c>
      <c r="I63" s="41">
        <f>SUMIFS(Produção!$G$2:$G$109,Produção!$B$2:$B$109,$A63,Produção!$F$2:$F$109,I$2)</f>
        <v>0</v>
      </c>
      <c r="J63" s="41">
        <f>SUMIFS(Produção!$G$2:$G$109,Produção!$B$2:$B$109,$A63,Produção!$F$2:$F$109,J$2)</f>
        <v>0</v>
      </c>
      <c r="K63" s="41">
        <f>SUMIFS(Produção!$G$2:$G$109,Produção!$B$2:$B$109,$A63,Produção!$F$2:$F$109,K$2)</f>
        <v>0</v>
      </c>
      <c r="L63" s="41">
        <f>SUMIFS(Produção!$G$2:$G$109,Produção!$B$2:$B$109,$A63,Produção!$F$2:$F$109,L$2)</f>
        <v>0</v>
      </c>
      <c r="M63" s="41">
        <f>SUMIFS(Produção!$G$2:$G$109,Produção!$B$2:$B$109,$A63,Produção!$F$2:$F$109,M$2)</f>
        <v>0</v>
      </c>
      <c r="N63" s="41">
        <f>SUMIFS(Produção!$G$2:$G$109,Produção!$B$2:$B$109,$A63,Produção!$F$2:$F$109,N$2)</f>
        <v>0</v>
      </c>
      <c r="O63" s="41">
        <f>SUMIFS(Produção!$G$2:$G$109,Produção!$B$2:$B$109,$A63,Produção!$F$2:$F$109,O$2)</f>
        <v>0</v>
      </c>
      <c r="P63" s="41">
        <f>SUMIFS(Produção!$G$2:$G$109,Produção!$B$2:$B$109,$A63,Produção!$F$2:$F$109,P$2)</f>
        <v>0</v>
      </c>
      <c r="Q63" s="42" t="e" cm="1">
        <f t="array" ref="Q63">_xlfn.LET(_xlpm.canal,INDEX($E$2:$P$2,COLUMN()-COLUMN($Q$2)+1),_xlpm.pos,SUMPRODUCT((Produção!$B$2:$B$109=$A63)*(Produção!$F$2:$F$109=_xlpm.canal)*ROW(Produção!$I$2:$I$109))-1,IF(_xlpm.pos&lt;1,"-------",IF(INDEX(Produção!$I$2:$I$109,_xlpm.pos)="","-------",INDEX(Produção!$I$2:$I$109,_xlpm.pos))))</f>
        <v>#REF!</v>
      </c>
      <c r="R63" s="42" t="e" cm="1">
        <f t="array" ref="R63">_xlfn.LET(_xlpm.canal,INDEX($E$2:$P$2,COLUMN()-COLUMN($Q$2)+1),_xlpm.pos,SUMPRODUCT((Produção!$B$2:$B$109=$A63)*(Produção!$F$2:$F$109=_xlpm.canal)*ROW(Produção!$I$2:$I$109))-1,IF(_xlpm.pos&lt;1,"-------",IF(INDEX(Produção!$I$2:$I$109,_xlpm.pos)="","-------",INDEX(Produção!$I$2:$I$109,_xlpm.pos))))</f>
        <v>#REF!</v>
      </c>
      <c r="S63" s="42" t="e" cm="1">
        <f t="array" ref="S63">_xlfn.LET(_xlpm.canal,INDEX($E$2:$P$2,COLUMN()-COLUMN($Q$2)+1),_xlpm.pos,SUMPRODUCT((Produção!$B$2:$B$109=$A63)*(Produção!$F$2:$F$109=_xlpm.canal)*ROW(Produção!$I$2:$I$109))-1,IF(_xlpm.pos&lt;1,"-------",IF(INDEX(Produção!$I$2:$I$109,_xlpm.pos)="","-------",INDEX(Produção!$I$2:$I$109,_xlpm.pos))))</f>
        <v>#REF!</v>
      </c>
      <c r="T63" s="42" t="e" cm="1">
        <f t="array" ref="T63">_xlfn.LET(_xlpm.canal,INDEX($E$2:$P$2,COLUMN()-COLUMN($Q$2)+1),_xlpm.pos,SUMPRODUCT((Produção!$B$2:$B$109=$A63)*(Produção!$F$2:$F$109=_xlpm.canal)*ROW(Produção!$I$2:$I$109))-1,IF(_xlpm.pos&lt;1,"-------",IF(INDEX(Produção!$I$2:$I$109,_xlpm.pos)="","-------",INDEX(Produção!$I$2:$I$109,_xlpm.pos))))</f>
        <v>#REF!</v>
      </c>
      <c r="U63" s="42" t="e" cm="1">
        <f t="array" ref="U63">_xlfn.LET(_xlpm.canal,INDEX($E$2:$P$2,COLUMN()-COLUMN($Q$2)+1),_xlpm.pos,SUMPRODUCT((Produção!$B$2:$B$109=$A63)*(Produção!$F$2:$F$109=_xlpm.canal)*ROW(Produção!$I$2:$I$109))-1,IF(_xlpm.pos&lt;1,"-------",IF(INDEX(Produção!$I$2:$I$109,_xlpm.pos)="","-------",INDEX(Produção!$I$2:$I$109,_xlpm.pos))))</f>
        <v>#REF!</v>
      </c>
      <c r="V63" s="42" t="e" cm="1">
        <f t="array" ref="V63">_xlfn.LET(_xlpm.canal,INDEX($E$2:$P$2,COLUMN()-COLUMN($Q$2)+1),_xlpm.pos,SUMPRODUCT((Produção!$B$2:$B$109=$A63)*(Produção!$F$2:$F$109=_xlpm.canal)*ROW(Produção!$I$2:$I$109))-1,IF(_xlpm.pos&lt;1,"-------",IF(INDEX(Produção!$I$2:$I$109,_xlpm.pos)="","-------",INDEX(Produção!$I$2:$I$109,_xlpm.pos))))</f>
        <v>#REF!</v>
      </c>
      <c r="W63" s="42" t="e" cm="1">
        <f t="array" ref="W63">_xlfn.LET(_xlpm.canal,INDEX($E$2:$P$2,COLUMN()-COLUMN($Q$2)+1),_xlpm.pos,SUMPRODUCT((Produção!$B$2:$B$109=$A63)*(Produção!$F$2:$F$109=_xlpm.canal)*ROW(Produção!$I$2:$I$109))-1,IF(_xlpm.pos&lt;1,"-------",IF(INDEX(Produção!$I$2:$I$109,_xlpm.pos)="","-------",INDEX(Produção!$I$2:$I$109,_xlpm.pos))))</f>
        <v>#REF!</v>
      </c>
      <c r="X63" s="42" t="e" cm="1">
        <f t="array" ref="X63">_xlfn.LET(_xlpm.canal,INDEX($E$2:$P$2,COLUMN()-COLUMN($Q$2)+1),_xlpm.pos,SUMPRODUCT((Produção!$B$2:$B$109=$A63)*(Produção!$F$2:$F$109=_xlpm.canal)*ROW(Produção!$I$2:$I$109))-1,IF(_xlpm.pos&lt;1,"-------",IF(INDEX(Produção!$I$2:$I$109,_xlpm.pos)="","-------",INDEX(Produção!$I$2:$I$109,_xlpm.pos))))</f>
        <v>#REF!</v>
      </c>
      <c r="Y63" s="42" t="e" cm="1">
        <f t="array" ref="Y63">_xlfn.LET(_xlpm.canal,INDEX($E$2:$P$2,COLUMN()-COLUMN($Q$2)+1),_xlpm.pos,SUMPRODUCT((Produção!$B$2:$B$109=$A63)*(Produção!$F$2:$F$109=_xlpm.canal)*ROW(Produção!$I$2:$I$109))-1,IF(_xlpm.pos&lt;1,"-------",IF(INDEX(Produção!$I$2:$I$109,_xlpm.pos)="","-------",INDEX(Produção!$I$2:$I$109,_xlpm.pos))))</f>
        <v>#REF!</v>
      </c>
      <c r="Z63" s="42" t="e" cm="1">
        <f t="array" ref="Z63">_xlfn.LET(_xlpm.canal,INDEX($E$2:$P$2,COLUMN()-COLUMN($Q$2)+1),_xlpm.pos,SUMPRODUCT((Produção!$B$2:$B$109=$A63)*(Produção!$F$2:$F$109=_xlpm.canal)*ROW(Produção!$I$2:$I$109))-1,IF(_xlpm.pos&lt;1,"-------",IF(INDEX(Produção!$I$2:$I$109,_xlpm.pos)="","-------",INDEX(Produção!$I$2:$I$109,_xlpm.pos))))</f>
        <v>#REF!</v>
      </c>
      <c r="AA63" s="42" t="e" cm="1">
        <f t="array" ref="AA63">_xlfn.LET(_xlpm.canal,INDEX($E$2:$P$2,COLUMN()-COLUMN($Q$2)+1),_xlpm.pos,SUMPRODUCT((Produção!$B$2:$B$109=$A63)*(Produção!$F$2:$F$109=_xlpm.canal)*ROW(Produção!$I$2:$I$109))-1,IF(_xlpm.pos&lt;1,"-------",IF(INDEX(Produção!$I$2:$I$109,_xlpm.pos)="","-------",INDEX(Produção!$I$2:$I$109,_xlpm.pos))))</f>
        <v>#REF!</v>
      </c>
      <c r="AB63" s="42" t="e" cm="1">
        <f t="array" ref="AB63">_xlfn.LET(_xlpm.canal,INDEX($E$2:$P$2,COLUMN()-COLUMN($Q$2)+1),_xlpm.pos,SUMPRODUCT((Produção!$B$2:$B$109=$A63)*(Produção!$F$2:$F$109=_xlpm.canal)*ROW(Produção!$I$2:$I$109))-1,IF(_xlpm.pos&lt;1,"-------",IF(INDEX(Produção!$I$2:$I$109,_xlpm.pos)="","-------",INDEX(Produção!$I$2:$I$109,_xlpm.pos))))</f>
        <v>#REF!</v>
      </c>
      <c r="AD63" s="34" t="e" cm="1">
        <f t="array" ref="AD63">SUMPRODUCT(($Q63:$AB63&lt;&gt;"-------")*1)</f>
        <v>#REF!</v>
      </c>
      <c r="AE63" s="34">
        <f>RANK($D63,$D$3:$D$90)+COUNTIF($D$3:$D63,$D63)-1</f>
        <v>61</v>
      </c>
    </row>
    <row r="64" spans="1:31">
      <c r="A64" s="38" t="e" cm="1">
        <f t="array" ref="A64">INDEX(Produção!B$2:B$109,(ROW()-3)*12+1)</f>
        <v>#REF!</v>
      </c>
      <c r="B64" s="39" t="e" cm="1">
        <f t="array" ref="B64">INDEX(Produção!C$2:C$109,(ROW()-3)*12+1)</f>
        <v>#REF!</v>
      </c>
      <c r="C64" s="39" t="e" cm="1">
        <f t="array" ref="C64">INDEX(Produção!D$2:D$109,(ROW()-3)*12+1)</f>
        <v>#REF!</v>
      </c>
      <c r="D64" s="40">
        <f t="shared" si="0"/>
        <v>0</v>
      </c>
      <c r="E64" s="41">
        <f>SUMIFS(Produção!$G$2:$G$109,Produção!$B$2:$B$109,$A64,Produção!$F$2:$F$109,E$2)</f>
        <v>0</v>
      </c>
      <c r="F64" s="41">
        <f>SUMIFS(Produção!$G$2:$G$109,Produção!$B$2:$B$109,$A64,Produção!$F$2:$F$109,F$2)</f>
        <v>0</v>
      </c>
      <c r="G64" s="41">
        <f>SUMIFS(Produção!$G$2:$G$109,Produção!$B$2:$B$109,$A64,Produção!$F$2:$F$109,G$2)</f>
        <v>0</v>
      </c>
      <c r="H64" s="41">
        <f>SUMIFS(Produção!$G$2:$G$109,Produção!$B$2:$B$109,$A64,Produção!$F$2:$F$109,H$2)</f>
        <v>0</v>
      </c>
      <c r="I64" s="41">
        <f>SUMIFS(Produção!$G$2:$G$109,Produção!$B$2:$B$109,$A64,Produção!$F$2:$F$109,I$2)</f>
        <v>0</v>
      </c>
      <c r="J64" s="41">
        <f>SUMIFS(Produção!$G$2:$G$109,Produção!$B$2:$B$109,$A64,Produção!$F$2:$F$109,J$2)</f>
        <v>0</v>
      </c>
      <c r="K64" s="41">
        <f>SUMIFS(Produção!$G$2:$G$109,Produção!$B$2:$B$109,$A64,Produção!$F$2:$F$109,K$2)</f>
        <v>0</v>
      </c>
      <c r="L64" s="41">
        <f>SUMIFS(Produção!$G$2:$G$109,Produção!$B$2:$B$109,$A64,Produção!$F$2:$F$109,L$2)</f>
        <v>0</v>
      </c>
      <c r="M64" s="41">
        <f>SUMIFS(Produção!$G$2:$G$109,Produção!$B$2:$B$109,$A64,Produção!$F$2:$F$109,M$2)</f>
        <v>0</v>
      </c>
      <c r="N64" s="41">
        <f>SUMIFS(Produção!$G$2:$G$109,Produção!$B$2:$B$109,$A64,Produção!$F$2:$F$109,N$2)</f>
        <v>0</v>
      </c>
      <c r="O64" s="41">
        <f>SUMIFS(Produção!$G$2:$G$109,Produção!$B$2:$B$109,$A64,Produção!$F$2:$F$109,O$2)</f>
        <v>0</v>
      </c>
      <c r="P64" s="41">
        <f>SUMIFS(Produção!$G$2:$G$109,Produção!$B$2:$B$109,$A64,Produção!$F$2:$F$109,P$2)</f>
        <v>0</v>
      </c>
      <c r="Q64" s="42" t="e" cm="1">
        <f t="array" ref="Q64">_xlfn.LET(_xlpm.canal,INDEX($E$2:$P$2,COLUMN()-COLUMN($Q$2)+1),_xlpm.pos,SUMPRODUCT((Produção!$B$2:$B$109=$A64)*(Produção!$F$2:$F$109=_xlpm.canal)*ROW(Produção!$I$2:$I$109))-1,IF(_xlpm.pos&lt;1,"-------",IF(INDEX(Produção!$I$2:$I$109,_xlpm.pos)="","-------",INDEX(Produção!$I$2:$I$109,_xlpm.pos))))</f>
        <v>#REF!</v>
      </c>
      <c r="R64" s="42" t="e" cm="1">
        <f t="array" ref="R64">_xlfn.LET(_xlpm.canal,INDEX($E$2:$P$2,COLUMN()-COLUMN($Q$2)+1),_xlpm.pos,SUMPRODUCT((Produção!$B$2:$B$109=$A64)*(Produção!$F$2:$F$109=_xlpm.canal)*ROW(Produção!$I$2:$I$109))-1,IF(_xlpm.pos&lt;1,"-------",IF(INDEX(Produção!$I$2:$I$109,_xlpm.pos)="","-------",INDEX(Produção!$I$2:$I$109,_xlpm.pos))))</f>
        <v>#REF!</v>
      </c>
      <c r="S64" s="42" t="e" cm="1">
        <f t="array" ref="S64">_xlfn.LET(_xlpm.canal,INDEX($E$2:$P$2,COLUMN()-COLUMN($Q$2)+1),_xlpm.pos,SUMPRODUCT((Produção!$B$2:$B$109=$A64)*(Produção!$F$2:$F$109=_xlpm.canal)*ROW(Produção!$I$2:$I$109))-1,IF(_xlpm.pos&lt;1,"-------",IF(INDEX(Produção!$I$2:$I$109,_xlpm.pos)="","-------",INDEX(Produção!$I$2:$I$109,_xlpm.pos))))</f>
        <v>#REF!</v>
      </c>
      <c r="T64" s="42" t="e" cm="1">
        <f t="array" ref="T64">_xlfn.LET(_xlpm.canal,INDEX($E$2:$P$2,COLUMN()-COLUMN($Q$2)+1),_xlpm.pos,SUMPRODUCT((Produção!$B$2:$B$109=$A64)*(Produção!$F$2:$F$109=_xlpm.canal)*ROW(Produção!$I$2:$I$109))-1,IF(_xlpm.pos&lt;1,"-------",IF(INDEX(Produção!$I$2:$I$109,_xlpm.pos)="","-------",INDEX(Produção!$I$2:$I$109,_xlpm.pos))))</f>
        <v>#REF!</v>
      </c>
      <c r="U64" s="42" t="e" cm="1">
        <f t="array" ref="U64">_xlfn.LET(_xlpm.canal,INDEX($E$2:$P$2,COLUMN()-COLUMN($Q$2)+1),_xlpm.pos,SUMPRODUCT((Produção!$B$2:$B$109=$A64)*(Produção!$F$2:$F$109=_xlpm.canal)*ROW(Produção!$I$2:$I$109))-1,IF(_xlpm.pos&lt;1,"-------",IF(INDEX(Produção!$I$2:$I$109,_xlpm.pos)="","-------",INDEX(Produção!$I$2:$I$109,_xlpm.pos))))</f>
        <v>#REF!</v>
      </c>
      <c r="V64" s="42" t="e" cm="1">
        <f t="array" ref="V64">_xlfn.LET(_xlpm.canal,INDEX($E$2:$P$2,COLUMN()-COLUMN($Q$2)+1),_xlpm.pos,SUMPRODUCT((Produção!$B$2:$B$109=$A64)*(Produção!$F$2:$F$109=_xlpm.canal)*ROW(Produção!$I$2:$I$109))-1,IF(_xlpm.pos&lt;1,"-------",IF(INDEX(Produção!$I$2:$I$109,_xlpm.pos)="","-------",INDEX(Produção!$I$2:$I$109,_xlpm.pos))))</f>
        <v>#REF!</v>
      </c>
      <c r="W64" s="42" t="e" cm="1">
        <f t="array" ref="W64">_xlfn.LET(_xlpm.canal,INDEX($E$2:$P$2,COLUMN()-COLUMN($Q$2)+1),_xlpm.pos,SUMPRODUCT((Produção!$B$2:$B$109=$A64)*(Produção!$F$2:$F$109=_xlpm.canal)*ROW(Produção!$I$2:$I$109))-1,IF(_xlpm.pos&lt;1,"-------",IF(INDEX(Produção!$I$2:$I$109,_xlpm.pos)="","-------",INDEX(Produção!$I$2:$I$109,_xlpm.pos))))</f>
        <v>#REF!</v>
      </c>
      <c r="X64" s="42" t="e" cm="1">
        <f t="array" ref="X64">_xlfn.LET(_xlpm.canal,INDEX($E$2:$P$2,COLUMN()-COLUMN($Q$2)+1),_xlpm.pos,SUMPRODUCT((Produção!$B$2:$B$109=$A64)*(Produção!$F$2:$F$109=_xlpm.canal)*ROW(Produção!$I$2:$I$109))-1,IF(_xlpm.pos&lt;1,"-------",IF(INDEX(Produção!$I$2:$I$109,_xlpm.pos)="","-------",INDEX(Produção!$I$2:$I$109,_xlpm.pos))))</f>
        <v>#REF!</v>
      </c>
      <c r="Y64" s="42" t="e" cm="1">
        <f t="array" ref="Y64">_xlfn.LET(_xlpm.canal,INDEX($E$2:$P$2,COLUMN()-COLUMN($Q$2)+1),_xlpm.pos,SUMPRODUCT((Produção!$B$2:$B$109=$A64)*(Produção!$F$2:$F$109=_xlpm.canal)*ROW(Produção!$I$2:$I$109))-1,IF(_xlpm.pos&lt;1,"-------",IF(INDEX(Produção!$I$2:$I$109,_xlpm.pos)="","-------",INDEX(Produção!$I$2:$I$109,_xlpm.pos))))</f>
        <v>#REF!</v>
      </c>
      <c r="Z64" s="42" t="e" cm="1">
        <f t="array" ref="Z64">_xlfn.LET(_xlpm.canal,INDEX($E$2:$P$2,COLUMN()-COLUMN($Q$2)+1),_xlpm.pos,SUMPRODUCT((Produção!$B$2:$B$109=$A64)*(Produção!$F$2:$F$109=_xlpm.canal)*ROW(Produção!$I$2:$I$109))-1,IF(_xlpm.pos&lt;1,"-------",IF(INDEX(Produção!$I$2:$I$109,_xlpm.pos)="","-------",INDEX(Produção!$I$2:$I$109,_xlpm.pos))))</f>
        <v>#REF!</v>
      </c>
      <c r="AA64" s="42" t="e" cm="1">
        <f t="array" ref="AA64">_xlfn.LET(_xlpm.canal,INDEX($E$2:$P$2,COLUMN()-COLUMN($Q$2)+1),_xlpm.pos,SUMPRODUCT((Produção!$B$2:$B$109=$A64)*(Produção!$F$2:$F$109=_xlpm.canal)*ROW(Produção!$I$2:$I$109))-1,IF(_xlpm.pos&lt;1,"-------",IF(INDEX(Produção!$I$2:$I$109,_xlpm.pos)="","-------",INDEX(Produção!$I$2:$I$109,_xlpm.pos))))</f>
        <v>#REF!</v>
      </c>
      <c r="AB64" s="42" t="e" cm="1">
        <f t="array" ref="AB64">_xlfn.LET(_xlpm.canal,INDEX($E$2:$P$2,COLUMN()-COLUMN($Q$2)+1),_xlpm.pos,SUMPRODUCT((Produção!$B$2:$B$109=$A64)*(Produção!$F$2:$F$109=_xlpm.canal)*ROW(Produção!$I$2:$I$109))-1,IF(_xlpm.pos&lt;1,"-------",IF(INDEX(Produção!$I$2:$I$109,_xlpm.pos)="","-------",INDEX(Produção!$I$2:$I$109,_xlpm.pos))))</f>
        <v>#REF!</v>
      </c>
      <c r="AD64" s="34" t="e" cm="1">
        <f t="array" ref="AD64">SUMPRODUCT(($Q64:$AB64&lt;&gt;"-------")*1)</f>
        <v>#REF!</v>
      </c>
      <c r="AE64" s="34">
        <f>RANK($D64,$D$3:$D$90)+COUNTIF($D$3:$D64,$D64)-1</f>
        <v>62</v>
      </c>
    </row>
    <row r="65" spans="1:31">
      <c r="A65" s="38" t="e" cm="1">
        <f t="array" ref="A65">INDEX(Produção!B$2:B$109,(ROW()-3)*12+1)</f>
        <v>#REF!</v>
      </c>
      <c r="B65" s="39" t="e" cm="1">
        <f t="array" ref="B65">INDEX(Produção!C$2:C$109,(ROW()-3)*12+1)</f>
        <v>#REF!</v>
      </c>
      <c r="C65" s="39" t="e" cm="1">
        <f t="array" ref="C65">INDEX(Produção!D$2:D$109,(ROW()-3)*12+1)</f>
        <v>#REF!</v>
      </c>
      <c r="D65" s="40">
        <f t="shared" si="0"/>
        <v>0</v>
      </c>
      <c r="E65" s="41">
        <f>SUMIFS(Produção!$G$2:$G$109,Produção!$B$2:$B$109,$A65,Produção!$F$2:$F$109,E$2)</f>
        <v>0</v>
      </c>
      <c r="F65" s="41">
        <f>SUMIFS(Produção!$G$2:$G$109,Produção!$B$2:$B$109,$A65,Produção!$F$2:$F$109,F$2)</f>
        <v>0</v>
      </c>
      <c r="G65" s="41">
        <f>SUMIFS(Produção!$G$2:$G$109,Produção!$B$2:$B$109,$A65,Produção!$F$2:$F$109,G$2)</f>
        <v>0</v>
      </c>
      <c r="H65" s="41">
        <f>SUMIFS(Produção!$G$2:$G$109,Produção!$B$2:$B$109,$A65,Produção!$F$2:$F$109,H$2)</f>
        <v>0</v>
      </c>
      <c r="I65" s="41">
        <f>SUMIFS(Produção!$G$2:$G$109,Produção!$B$2:$B$109,$A65,Produção!$F$2:$F$109,I$2)</f>
        <v>0</v>
      </c>
      <c r="J65" s="41">
        <f>SUMIFS(Produção!$G$2:$G$109,Produção!$B$2:$B$109,$A65,Produção!$F$2:$F$109,J$2)</f>
        <v>0</v>
      </c>
      <c r="K65" s="41">
        <f>SUMIFS(Produção!$G$2:$G$109,Produção!$B$2:$B$109,$A65,Produção!$F$2:$F$109,K$2)</f>
        <v>0</v>
      </c>
      <c r="L65" s="41">
        <f>SUMIFS(Produção!$G$2:$G$109,Produção!$B$2:$B$109,$A65,Produção!$F$2:$F$109,L$2)</f>
        <v>0</v>
      </c>
      <c r="M65" s="41">
        <f>SUMIFS(Produção!$G$2:$G$109,Produção!$B$2:$B$109,$A65,Produção!$F$2:$F$109,M$2)</f>
        <v>0</v>
      </c>
      <c r="N65" s="41">
        <f>SUMIFS(Produção!$G$2:$G$109,Produção!$B$2:$B$109,$A65,Produção!$F$2:$F$109,N$2)</f>
        <v>0</v>
      </c>
      <c r="O65" s="41">
        <f>SUMIFS(Produção!$G$2:$G$109,Produção!$B$2:$B$109,$A65,Produção!$F$2:$F$109,O$2)</f>
        <v>0</v>
      </c>
      <c r="P65" s="41">
        <f>SUMIFS(Produção!$G$2:$G$109,Produção!$B$2:$B$109,$A65,Produção!$F$2:$F$109,P$2)</f>
        <v>0</v>
      </c>
      <c r="Q65" s="42" t="e" cm="1">
        <f t="array" ref="Q65">_xlfn.LET(_xlpm.canal,INDEX($E$2:$P$2,COLUMN()-COLUMN($Q$2)+1),_xlpm.pos,SUMPRODUCT((Produção!$B$2:$B$109=$A65)*(Produção!$F$2:$F$109=_xlpm.canal)*ROW(Produção!$I$2:$I$109))-1,IF(_xlpm.pos&lt;1,"-------",IF(INDEX(Produção!$I$2:$I$109,_xlpm.pos)="","-------",INDEX(Produção!$I$2:$I$109,_xlpm.pos))))</f>
        <v>#REF!</v>
      </c>
      <c r="R65" s="42" t="e" cm="1">
        <f t="array" ref="R65">_xlfn.LET(_xlpm.canal,INDEX($E$2:$P$2,COLUMN()-COLUMN($Q$2)+1),_xlpm.pos,SUMPRODUCT((Produção!$B$2:$B$109=$A65)*(Produção!$F$2:$F$109=_xlpm.canal)*ROW(Produção!$I$2:$I$109))-1,IF(_xlpm.pos&lt;1,"-------",IF(INDEX(Produção!$I$2:$I$109,_xlpm.pos)="","-------",INDEX(Produção!$I$2:$I$109,_xlpm.pos))))</f>
        <v>#REF!</v>
      </c>
      <c r="S65" s="42" t="e" cm="1">
        <f t="array" ref="S65">_xlfn.LET(_xlpm.canal,INDEX($E$2:$P$2,COLUMN()-COLUMN($Q$2)+1),_xlpm.pos,SUMPRODUCT((Produção!$B$2:$B$109=$A65)*(Produção!$F$2:$F$109=_xlpm.canal)*ROW(Produção!$I$2:$I$109))-1,IF(_xlpm.pos&lt;1,"-------",IF(INDEX(Produção!$I$2:$I$109,_xlpm.pos)="","-------",INDEX(Produção!$I$2:$I$109,_xlpm.pos))))</f>
        <v>#REF!</v>
      </c>
      <c r="T65" s="42" t="e" cm="1">
        <f t="array" ref="T65">_xlfn.LET(_xlpm.canal,INDEX($E$2:$P$2,COLUMN()-COLUMN($Q$2)+1),_xlpm.pos,SUMPRODUCT((Produção!$B$2:$B$109=$A65)*(Produção!$F$2:$F$109=_xlpm.canal)*ROW(Produção!$I$2:$I$109))-1,IF(_xlpm.pos&lt;1,"-------",IF(INDEX(Produção!$I$2:$I$109,_xlpm.pos)="","-------",INDEX(Produção!$I$2:$I$109,_xlpm.pos))))</f>
        <v>#REF!</v>
      </c>
      <c r="U65" s="42" t="e" cm="1">
        <f t="array" ref="U65">_xlfn.LET(_xlpm.canal,INDEX($E$2:$P$2,COLUMN()-COLUMN($Q$2)+1),_xlpm.pos,SUMPRODUCT((Produção!$B$2:$B$109=$A65)*(Produção!$F$2:$F$109=_xlpm.canal)*ROW(Produção!$I$2:$I$109))-1,IF(_xlpm.pos&lt;1,"-------",IF(INDEX(Produção!$I$2:$I$109,_xlpm.pos)="","-------",INDEX(Produção!$I$2:$I$109,_xlpm.pos))))</f>
        <v>#REF!</v>
      </c>
      <c r="V65" s="42" t="e" cm="1">
        <f t="array" ref="V65">_xlfn.LET(_xlpm.canal,INDEX($E$2:$P$2,COLUMN()-COLUMN($Q$2)+1),_xlpm.pos,SUMPRODUCT((Produção!$B$2:$B$109=$A65)*(Produção!$F$2:$F$109=_xlpm.canal)*ROW(Produção!$I$2:$I$109))-1,IF(_xlpm.pos&lt;1,"-------",IF(INDEX(Produção!$I$2:$I$109,_xlpm.pos)="","-------",INDEX(Produção!$I$2:$I$109,_xlpm.pos))))</f>
        <v>#REF!</v>
      </c>
      <c r="W65" s="42" t="e" cm="1">
        <f t="array" ref="W65">_xlfn.LET(_xlpm.canal,INDEX($E$2:$P$2,COLUMN()-COLUMN($Q$2)+1),_xlpm.pos,SUMPRODUCT((Produção!$B$2:$B$109=$A65)*(Produção!$F$2:$F$109=_xlpm.canal)*ROW(Produção!$I$2:$I$109))-1,IF(_xlpm.pos&lt;1,"-------",IF(INDEX(Produção!$I$2:$I$109,_xlpm.pos)="","-------",INDEX(Produção!$I$2:$I$109,_xlpm.pos))))</f>
        <v>#REF!</v>
      </c>
      <c r="X65" s="42" t="e" cm="1">
        <f t="array" ref="X65">_xlfn.LET(_xlpm.canal,INDEX($E$2:$P$2,COLUMN()-COLUMN($Q$2)+1),_xlpm.pos,SUMPRODUCT((Produção!$B$2:$B$109=$A65)*(Produção!$F$2:$F$109=_xlpm.canal)*ROW(Produção!$I$2:$I$109))-1,IF(_xlpm.pos&lt;1,"-------",IF(INDEX(Produção!$I$2:$I$109,_xlpm.pos)="","-------",INDEX(Produção!$I$2:$I$109,_xlpm.pos))))</f>
        <v>#REF!</v>
      </c>
      <c r="Y65" s="42" t="e" cm="1">
        <f t="array" ref="Y65">_xlfn.LET(_xlpm.canal,INDEX($E$2:$P$2,COLUMN()-COLUMN($Q$2)+1),_xlpm.pos,SUMPRODUCT((Produção!$B$2:$B$109=$A65)*(Produção!$F$2:$F$109=_xlpm.canal)*ROW(Produção!$I$2:$I$109))-1,IF(_xlpm.pos&lt;1,"-------",IF(INDEX(Produção!$I$2:$I$109,_xlpm.pos)="","-------",INDEX(Produção!$I$2:$I$109,_xlpm.pos))))</f>
        <v>#REF!</v>
      </c>
      <c r="Z65" s="42" t="e" cm="1">
        <f t="array" ref="Z65">_xlfn.LET(_xlpm.canal,INDEX($E$2:$P$2,COLUMN()-COLUMN($Q$2)+1),_xlpm.pos,SUMPRODUCT((Produção!$B$2:$B$109=$A65)*(Produção!$F$2:$F$109=_xlpm.canal)*ROW(Produção!$I$2:$I$109))-1,IF(_xlpm.pos&lt;1,"-------",IF(INDEX(Produção!$I$2:$I$109,_xlpm.pos)="","-------",INDEX(Produção!$I$2:$I$109,_xlpm.pos))))</f>
        <v>#REF!</v>
      </c>
      <c r="AA65" s="42" t="e" cm="1">
        <f t="array" ref="AA65">_xlfn.LET(_xlpm.canal,INDEX($E$2:$P$2,COLUMN()-COLUMN($Q$2)+1),_xlpm.pos,SUMPRODUCT((Produção!$B$2:$B$109=$A65)*(Produção!$F$2:$F$109=_xlpm.canal)*ROW(Produção!$I$2:$I$109))-1,IF(_xlpm.pos&lt;1,"-------",IF(INDEX(Produção!$I$2:$I$109,_xlpm.pos)="","-------",INDEX(Produção!$I$2:$I$109,_xlpm.pos))))</f>
        <v>#REF!</v>
      </c>
      <c r="AB65" s="42" t="e" cm="1">
        <f t="array" ref="AB65">_xlfn.LET(_xlpm.canal,INDEX($E$2:$P$2,COLUMN()-COLUMN($Q$2)+1),_xlpm.pos,SUMPRODUCT((Produção!$B$2:$B$109=$A65)*(Produção!$F$2:$F$109=_xlpm.canal)*ROW(Produção!$I$2:$I$109))-1,IF(_xlpm.pos&lt;1,"-------",IF(INDEX(Produção!$I$2:$I$109,_xlpm.pos)="","-------",INDEX(Produção!$I$2:$I$109,_xlpm.pos))))</f>
        <v>#REF!</v>
      </c>
      <c r="AD65" s="34" t="e" cm="1">
        <f t="array" ref="AD65">SUMPRODUCT(($Q65:$AB65&lt;&gt;"-------")*1)</f>
        <v>#REF!</v>
      </c>
      <c r="AE65" s="34">
        <f>RANK($D65,$D$3:$D$90)+COUNTIF($D$3:$D65,$D65)-1</f>
        <v>63</v>
      </c>
    </row>
    <row r="66" spans="1:31">
      <c r="A66" s="38" t="e" cm="1">
        <f t="array" ref="A66">INDEX(Produção!B$2:B$109,(ROW()-3)*12+1)</f>
        <v>#REF!</v>
      </c>
      <c r="B66" s="39" t="e" cm="1">
        <f t="array" ref="B66">INDEX(Produção!C$2:C$109,(ROW()-3)*12+1)</f>
        <v>#REF!</v>
      </c>
      <c r="C66" s="39" t="e" cm="1">
        <f t="array" ref="C66">INDEX(Produção!D$2:D$109,(ROW()-3)*12+1)</f>
        <v>#REF!</v>
      </c>
      <c r="D66" s="40">
        <f t="shared" si="0"/>
        <v>0</v>
      </c>
      <c r="E66" s="41">
        <f>SUMIFS(Produção!$G$2:$G$109,Produção!$B$2:$B$109,$A66,Produção!$F$2:$F$109,E$2)</f>
        <v>0</v>
      </c>
      <c r="F66" s="41">
        <f>SUMIFS(Produção!$G$2:$G$109,Produção!$B$2:$B$109,$A66,Produção!$F$2:$F$109,F$2)</f>
        <v>0</v>
      </c>
      <c r="G66" s="41">
        <f>SUMIFS(Produção!$G$2:$G$109,Produção!$B$2:$B$109,$A66,Produção!$F$2:$F$109,G$2)</f>
        <v>0</v>
      </c>
      <c r="H66" s="41">
        <f>SUMIFS(Produção!$G$2:$G$109,Produção!$B$2:$B$109,$A66,Produção!$F$2:$F$109,H$2)</f>
        <v>0</v>
      </c>
      <c r="I66" s="41">
        <f>SUMIFS(Produção!$G$2:$G$109,Produção!$B$2:$B$109,$A66,Produção!$F$2:$F$109,I$2)</f>
        <v>0</v>
      </c>
      <c r="J66" s="41">
        <f>SUMIFS(Produção!$G$2:$G$109,Produção!$B$2:$B$109,$A66,Produção!$F$2:$F$109,J$2)</f>
        <v>0</v>
      </c>
      <c r="K66" s="41">
        <f>SUMIFS(Produção!$G$2:$G$109,Produção!$B$2:$B$109,$A66,Produção!$F$2:$F$109,K$2)</f>
        <v>0</v>
      </c>
      <c r="L66" s="41">
        <f>SUMIFS(Produção!$G$2:$G$109,Produção!$B$2:$B$109,$A66,Produção!$F$2:$F$109,L$2)</f>
        <v>0</v>
      </c>
      <c r="M66" s="41">
        <f>SUMIFS(Produção!$G$2:$G$109,Produção!$B$2:$B$109,$A66,Produção!$F$2:$F$109,M$2)</f>
        <v>0</v>
      </c>
      <c r="N66" s="41">
        <f>SUMIFS(Produção!$G$2:$G$109,Produção!$B$2:$B$109,$A66,Produção!$F$2:$F$109,N$2)</f>
        <v>0</v>
      </c>
      <c r="O66" s="41">
        <f>SUMIFS(Produção!$G$2:$G$109,Produção!$B$2:$B$109,$A66,Produção!$F$2:$F$109,O$2)</f>
        <v>0</v>
      </c>
      <c r="P66" s="41">
        <f>SUMIFS(Produção!$G$2:$G$109,Produção!$B$2:$B$109,$A66,Produção!$F$2:$F$109,P$2)</f>
        <v>0</v>
      </c>
      <c r="Q66" s="42" t="e" cm="1">
        <f t="array" ref="Q66">_xlfn.LET(_xlpm.canal,INDEX($E$2:$P$2,COLUMN()-COLUMN($Q$2)+1),_xlpm.pos,SUMPRODUCT((Produção!$B$2:$B$109=$A66)*(Produção!$F$2:$F$109=_xlpm.canal)*ROW(Produção!$I$2:$I$109))-1,IF(_xlpm.pos&lt;1,"-------",IF(INDEX(Produção!$I$2:$I$109,_xlpm.pos)="","-------",INDEX(Produção!$I$2:$I$109,_xlpm.pos))))</f>
        <v>#REF!</v>
      </c>
      <c r="R66" s="42" t="e" cm="1">
        <f t="array" ref="R66">_xlfn.LET(_xlpm.canal,INDEX($E$2:$P$2,COLUMN()-COLUMN($Q$2)+1),_xlpm.pos,SUMPRODUCT((Produção!$B$2:$B$109=$A66)*(Produção!$F$2:$F$109=_xlpm.canal)*ROW(Produção!$I$2:$I$109))-1,IF(_xlpm.pos&lt;1,"-------",IF(INDEX(Produção!$I$2:$I$109,_xlpm.pos)="","-------",INDEX(Produção!$I$2:$I$109,_xlpm.pos))))</f>
        <v>#REF!</v>
      </c>
      <c r="S66" s="42" t="e" cm="1">
        <f t="array" ref="S66">_xlfn.LET(_xlpm.canal,INDEX($E$2:$P$2,COLUMN()-COLUMN($Q$2)+1),_xlpm.pos,SUMPRODUCT((Produção!$B$2:$B$109=$A66)*(Produção!$F$2:$F$109=_xlpm.canal)*ROW(Produção!$I$2:$I$109))-1,IF(_xlpm.pos&lt;1,"-------",IF(INDEX(Produção!$I$2:$I$109,_xlpm.pos)="","-------",INDEX(Produção!$I$2:$I$109,_xlpm.pos))))</f>
        <v>#REF!</v>
      </c>
      <c r="T66" s="42" t="e" cm="1">
        <f t="array" ref="T66">_xlfn.LET(_xlpm.canal,INDEX($E$2:$P$2,COLUMN()-COLUMN($Q$2)+1),_xlpm.pos,SUMPRODUCT((Produção!$B$2:$B$109=$A66)*(Produção!$F$2:$F$109=_xlpm.canal)*ROW(Produção!$I$2:$I$109))-1,IF(_xlpm.pos&lt;1,"-------",IF(INDEX(Produção!$I$2:$I$109,_xlpm.pos)="","-------",INDEX(Produção!$I$2:$I$109,_xlpm.pos))))</f>
        <v>#REF!</v>
      </c>
      <c r="U66" s="42" t="e" cm="1">
        <f t="array" ref="U66">_xlfn.LET(_xlpm.canal,INDEX($E$2:$P$2,COLUMN()-COLUMN($Q$2)+1),_xlpm.pos,SUMPRODUCT((Produção!$B$2:$B$109=$A66)*(Produção!$F$2:$F$109=_xlpm.canal)*ROW(Produção!$I$2:$I$109))-1,IF(_xlpm.pos&lt;1,"-------",IF(INDEX(Produção!$I$2:$I$109,_xlpm.pos)="","-------",INDEX(Produção!$I$2:$I$109,_xlpm.pos))))</f>
        <v>#REF!</v>
      </c>
      <c r="V66" s="42" t="e" cm="1">
        <f t="array" ref="V66">_xlfn.LET(_xlpm.canal,INDEX($E$2:$P$2,COLUMN()-COLUMN($Q$2)+1),_xlpm.pos,SUMPRODUCT((Produção!$B$2:$B$109=$A66)*(Produção!$F$2:$F$109=_xlpm.canal)*ROW(Produção!$I$2:$I$109))-1,IF(_xlpm.pos&lt;1,"-------",IF(INDEX(Produção!$I$2:$I$109,_xlpm.pos)="","-------",INDEX(Produção!$I$2:$I$109,_xlpm.pos))))</f>
        <v>#REF!</v>
      </c>
      <c r="W66" s="42" t="e" cm="1">
        <f t="array" ref="W66">_xlfn.LET(_xlpm.canal,INDEX($E$2:$P$2,COLUMN()-COLUMN($Q$2)+1),_xlpm.pos,SUMPRODUCT((Produção!$B$2:$B$109=$A66)*(Produção!$F$2:$F$109=_xlpm.canal)*ROW(Produção!$I$2:$I$109))-1,IF(_xlpm.pos&lt;1,"-------",IF(INDEX(Produção!$I$2:$I$109,_xlpm.pos)="","-------",INDEX(Produção!$I$2:$I$109,_xlpm.pos))))</f>
        <v>#REF!</v>
      </c>
      <c r="X66" s="42" t="e" cm="1">
        <f t="array" ref="X66">_xlfn.LET(_xlpm.canal,INDEX($E$2:$P$2,COLUMN()-COLUMN($Q$2)+1),_xlpm.pos,SUMPRODUCT((Produção!$B$2:$B$109=$A66)*(Produção!$F$2:$F$109=_xlpm.canal)*ROW(Produção!$I$2:$I$109))-1,IF(_xlpm.pos&lt;1,"-------",IF(INDEX(Produção!$I$2:$I$109,_xlpm.pos)="","-------",INDEX(Produção!$I$2:$I$109,_xlpm.pos))))</f>
        <v>#REF!</v>
      </c>
      <c r="Y66" s="42" t="e" cm="1">
        <f t="array" ref="Y66">_xlfn.LET(_xlpm.canal,INDEX($E$2:$P$2,COLUMN()-COLUMN($Q$2)+1),_xlpm.pos,SUMPRODUCT((Produção!$B$2:$B$109=$A66)*(Produção!$F$2:$F$109=_xlpm.canal)*ROW(Produção!$I$2:$I$109))-1,IF(_xlpm.pos&lt;1,"-------",IF(INDEX(Produção!$I$2:$I$109,_xlpm.pos)="","-------",INDEX(Produção!$I$2:$I$109,_xlpm.pos))))</f>
        <v>#REF!</v>
      </c>
      <c r="Z66" s="42" t="e" cm="1">
        <f t="array" ref="Z66">_xlfn.LET(_xlpm.canal,INDEX($E$2:$P$2,COLUMN()-COLUMN($Q$2)+1),_xlpm.pos,SUMPRODUCT((Produção!$B$2:$B$109=$A66)*(Produção!$F$2:$F$109=_xlpm.canal)*ROW(Produção!$I$2:$I$109))-1,IF(_xlpm.pos&lt;1,"-------",IF(INDEX(Produção!$I$2:$I$109,_xlpm.pos)="","-------",INDEX(Produção!$I$2:$I$109,_xlpm.pos))))</f>
        <v>#REF!</v>
      </c>
      <c r="AA66" s="42" t="e" cm="1">
        <f t="array" ref="AA66">_xlfn.LET(_xlpm.canal,INDEX($E$2:$P$2,COLUMN()-COLUMN($Q$2)+1),_xlpm.pos,SUMPRODUCT((Produção!$B$2:$B$109=$A66)*(Produção!$F$2:$F$109=_xlpm.canal)*ROW(Produção!$I$2:$I$109))-1,IF(_xlpm.pos&lt;1,"-------",IF(INDEX(Produção!$I$2:$I$109,_xlpm.pos)="","-------",INDEX(Produção!$I$2:$I$109,_xlpm.pos))))</f>
        <v>#REF!</v>
      </c>
      <c r="AB66" s="42" t="e" cm="1">
        <f t="array" ref="AB66">_xlfn.LET(_xlpm.canal,INDEX($E$2:$P$2,COLUMN()-COLUMN($Q$2)+1),_xlpm.pos,SUMPRODUCT((Produção!$B$2:$B$109=$A66)*(Produção!$F$2:$F$109=_xlpm.canal)*ROW(Produção!$I$2:$I$109))-1,IF(_xlpm.pos&lt;1,"-------",IF(INDEX(Produção!$I$2:$I$109,_xlpm.pos)="","-------",INDEX(Produção!$I$2:$I$109,_xlpm.pos))))</f>
        <v>#REF!</v>
      </c>
      <c r="AD66" s="34" t="e" cm="1">
        <f t="array" ref="AD66">SUMPRODUCT(($Q66:$AB66&lt;&gt;"-------")*1)</f>
        <v>#REF!</v>
      </c>
      <c r="AE66" s="34">
        <f>RANK($D66,$D$3:$D$90)+COUNTIF($D$3:$D66,$D66)-1</f>
        <v>64</v>
      </c>
    </row>
    <row r="67" spans="1:31">
      <c r="A67" s="38" t="e" cm="1">
        <f t="array" ref="A67">INDEX(Produção!B$2:B$109,(ROW()-3)*12+1)</f>
        <v>#REF!</v>
      </c>
      <c r="B67" s="39" t="e" cm="1">
        <f t="array" ref="B67">INDEX(Produção!C$2:C$109,(ROW()-3)*12+1)</f>
        <v>#REF!</v>
      </c>
      <c r="C67" s="39" t="e" cm="1">
        <f t="array" ref="C67">INDEX(Produção!D$2:D$109,(ROW()-3)*12+1)</f>
        <v>#REF!</v>
      </c>
      <c r="D67" s="40">
        <f t="shared" si="0"/>
        <v>0</v>
      </c>
      <c r="E67" s="41">
        <f>SUMIFS(Produção!$G$2:$G$109,Produção!$B$2:$B$109,$A67,Produção!$F$2:$F$109,E$2)</f>
        <v>0</v>
      </c>
      <c r="F67" s="41">
        <f>SUMIFS(Produção!$G$2:$G$109,Produção!$B$2:$B$109,$A67,Produção!$F$2:$F$109,F$2)</f>
        <v>0</v>
      </c>
      <c r="G67" s="41">
        <f>SUMIFS(Produção!$G$2:$G$109,Produção!$B$2:$B$109,$A67,Produção!$F$2:$F$109,G$2)</f>
        <v>0</v>
      </c>
      <c r="H67" s="41">
        <f>SUMIFS(Produção!$G$2:$G$109,Produção!$B$2:$B$109,$A67,Produção!$F$2:$F$109,H$2)</f>
        <v>0</v>
      </c>
      <c r="I67" s="41">
        <f>SUMIFS(Produção!$G$2:$G$109,Produção!$B$2:$B$109,$A67,Produção!$F$2:$F$109,I$2)</f>
        <v>0</v>
      </c>
      <c r="J67" s="41">
        <f>SUMIFS(Produção!$G$2:$G$109,Produção!$B$2:$B$109,$A67,Produção!$F$2:$F$109,J$2)</f>
        <v>0</v>
      </c>
      <c r="K67" s="41">
        <f>SUMIFS(Produção!$G$2:$G$109,Produção!$B$2:$B$109,$A67,Produção!$F$2:$F$109,K$2)</f>
        <v>0</v>
      </c>
      <c r="L67" s="41">
        <f>SUMIFS(Produção!$G$2:$G$109,Produção!$B$2:$B$109,$A67,Produção!$F$2:$F$109,L$2)</f>
        <v>0</v>
      </c>
      <c r="M67" s="41">
        <f>SUMIFS(Produção!$G$2:$G$109,Produção!$B$2:$B$109,$A67,Produção!$F$2:$F$109,M$2)</f>
        <v>0</v>
      </c>
      <c r="N67" s="41">
        <f>SUMIFS(Produção!$G$2:$G$109,Produção!$B$2:$B$109,$A67,Produção!$F$2:$F$109,N$2)</f>
        <v>0</v>
      </c>
      <c r="O67" s="41">
        <f>SUMIFS(Produção!$G$2:$G$109,Produção!$B$2:$B$109,$A67,Produção!$F$2:$F$109,O$2)</f>
        <v>0</v>
      </c>
      <c r="P67" s="41">
        <f>SUMIFS(Produção!$G$2:$G$109,Produção!$B$2:$B$109,$A67,Produção!$F$2:$F$109,P$2)</f>
        <v>0</v>
      </c>
      <c r="Q67" s="42" t="e" cm="1">
        <f t="array" ref="Q67">_xlfn.LET(_xlpm.canal,INDEX($E$2:$P$2,COLUMN()-COLUMN($Q$2)+1),_xlpm.pos,SUMPRODUCT((Produção!$B$2:$B$109=$A67)*(Produção!$F$2:$F$109=_xlpm.canal)*ROW(Produção!$I$2:$I$109))-1,IF(_xlpm.pos&lt;1,"-------",IF(INDEX(Produção!$I$2:$I$109,_xlpm.pos)="","-------",INDEX(Produção!$I$2:$I$109,_xlpm.pos))))</f>
        <v>#REF!</v>
      </c>
      <c r="R67" s="42" t="e" cm="1">
        <f t="array" ref="R67">_xlfn.LET(_xlpm.canal,INDEX($E$2:$P$2,COLUMN()-COLUMN($Q$2)+1),_xlpm.pos,SUMPRODUCT((Produção!$B$2:$B$109=$A67)*(Produção!$F$2:$F$109=_xlpm.canal)*ROW(Produção!$I$2:$I$109))-1,IF(_xlpm.pos&lt;1,"-------",IF(INDEX(Produção!$I$2:$I$109,_xlpm.pos)="","-------",INDEX(Produção!$I$2:$I$109,_xlpm.pos))))</f>
        <v>#REF!</v>
      </c>
      <c r="S67" s="42" t="e" cm="1">
        <f t="array" ref="S67">_xlfn.LET(_xlpm.canal,INDEX($E$2:$P$2,COLUMN()-COLUMN($Q$2)+1),_xlpm.pos,SUMPRODUCT((Produção!$B$2:$B$109=$A67)*(Produção!$F$2:$F$109=_xlpm.canal)*ROW(Produção!$I$2:$I$109))-1,IF(_xlpm.pos&lt;1,"-------",IF(INDEX(Produção!$I$2:$I$109,_xlpm.pos)="","-------",INDEX(Produção!$I$2:$I$109,_xlpm.pos))))</f>
        <v>#REF!</v>
      </c>
      <c r="T67" s="42" t="e" cm="1">
        <f t="array" ref="T67">_xlfn.LET(_xlpm.canal,INDEX($E$2:$P$2,COLUMN()-COLUMN($Q$2)+1),_xlpm.pos,SUMPRODUCT((Produção!$B$2:$B$109=$A67)*(Produção!$F$2:$F$109=_xlpm.canal)*ROW(Produção!$I$2:$I$109))-1,IF(_xlpm.pos&lt;1,"-------",IF(INDEX(Produção!$I$2:$I$109,_xlpm.pos)="","-------",INDEX(Produção!$I$2:$I$109,_xlpm.pos))))</f>
        <v>#REF!</v>
      </c>
      <c r="U67" s="42" t="e" cm="1">
        <f t="array" ref="U67">_xlfn.LET(_xlpm.canal,INDEX($E$2:$P$2,COLUMN()-COLUMN($Q$2)+1),_xlpm.pos,SUMPRODUCT((Produção!$B$2:$B$109=$A67)*(Produção!$F$2:$F$109=_xlpm.canal)*ROW(Produção!$I$2:$I$109))-1,IF(_xlpm.pos&lt;1,"-------",IF(INDEX(Produção!$I$2:$I$109,_xlpm.pos)="","-------",INDEX(Produção!$I$2:$I$109,_xlpm.pos))))</f>
        <v>#REF!</v>
      </c>
      <c r="V67" s="42" t="e" cm="1">
        <f t="array" ref="V67">_xlfn.LET(_xlpm.canal,INDEX($E$2:$P$2,COLUMN()-COLUMN($Q$2)+1),_xlpm.pos,SUMPRODUCT((Produção!$B$2:$B$109=$A67)*(Produção!$F$2:$F$109=_xlpm.canal)*ROW(Produção!$I$2:$I$109))-1,IF(_xlpm.pos&lt;1,"-------",IF(INDEX(Produção!$I$2:$I$109,_xlpm.pos)="","-------",INDEX(Produção!$I$2:$I$109,_xlpm.pos))))</f>
        <v>#REF!</v>
      </c>
      <c r="W67" s="42" t="e" cm="1">
        <f t="array" ref="W67">_xlfn.LET(_xlpm.canal,INDEX($E$2:$P$2,COLUMN()-COLUMN($Q$2)+1),_xlpm.pos,SUMPRODUCT((Produção!$B$2:$B$109=$A67)*(Produção!$F$2:$F$109=_xlpm.canal)*ROW(Produção!$I$2:$I$109))-1,IF(_xlpm.pos&lt;1,"-------",IF(INDEX(Produção!$I$2:$I$109,_xlpm.pos)="","-------",INDEX(Produção!$I$2:$I$109,_xlpm.pos))))</f>
        <v>#REF!</v>
      </c>
      <c r="X67" s="42" t="e" cm="1">
        <f t="array" ref="X67">_xlfn.LET(_xlpm.canal,INDEX($E$2:$P$2,COLUMN()-COLUMN($Q$2)+1),_xlpm.pos,SUMPRODUCT((Produção!$B$2:$B$109=$A67)*(Produção!$F$2:$F$109=_xlpm.canal)*ROW(Produção!$I$2:$I$109))-1,IF(_xlpm.pos&lt;1,"-------",IF(INDEX(Produção!$I$2:$I$109,_xlpm.pos)="","-------",INDEX(Produção!$I$2:$I$109,_xlpm.pos))))</f>
        <v>#REF!</v>
      </c>
      <c r="Y67" s="42" t="e" cm="1">
        <f t="array" ref="Y67">_xlfn.LET(_xlpm.canal,INDEX($E$2:$P$2,COLUMN()-COLUMN($Q$2)+1),_xlpm.pos,SUMPRODUCT((Produção!$B$2:$B$109=$A67)*(Produção!$F$2:$F$109=_xlpm.canal)*ROW(Produção!$I$2:$I$109))-1,IF(_xlpm.pos&lt;1,"-------",IF(INDEX(Produção!$I$2:$I$109,_xlpm.pos)="","-------",INDEX(Produção!$I$2:$I$109,_xlpm.pos))))</f>
        <v>#REF!</v>
      </c>
      <c r="Z67" s="42" t="e" cm="1">
        <f t="array" ref="Z67">_xlfn.LET(_xlpm.canal,INDEX($E$2:$P$2,COLUMN()-COLUMN($Q$2)+1),_xlpm.pos,SUMPRODUCT((Produção!$B$2:$B$109=$A67)*(Produção!$F$2:$F$109=_xlpm.canal)*ROW(Produção!$I$2:$I$109))-1,IF(_xlpm.pos&lt;1,"-------",IF(INDEX(Produção!$I$2:$I$109,_xlpm.pos)="","-------",INDEX(Produção!$I$2:$I$109,_xlpm.pos))))</f>
        <v>#REF!</v>
      </c>
      <c r="AA67" s="42" t="e" cm="1">
        <f t="array" ref="AA67">_xlfn.LET(_xlpm.canal,INDEX($E$2:$P$2,COLUMN()-COLUMN($Q$2)+1),_xlpm.pos,SUMPRODUCT((Produção!$B$2:$B$109=$A67)*(Produção!$F$2:$F$109=_xlpm.canal)*ROW(Produção!$I$2:$I$109))-1,IF(_xlpm.pos&lt;1,"-------",IF(INDEX(Produção!$I$2:$I$109,_xlpm.pos)="","-------",INDEX(Produção!$I$2:$I$109,_xlpm.pos))))</f>
        <v>#REF!</v>
      </c>
      <c r="AB67" s="42" t="e" cm="1">
        <f t="array" ref="AB67">_xlfn.LET(_xlpm.canal,INDEX($E$2:$P$2,COLUMN()-COLUMN($Q$2)+1),_xlpm.pos,SUMPRODUCT((Produção!$B$2:$B$109=$A67)*(Produção!$F$2:$F$109=_xlpm.canal)*ROW(Produção!$I$2:$I$109))-1,IF(_xlpm.pos&lt;1,"-------",IF(INDEX(Produção!$I$2:$I$109,_xlpm.pos)="","-------",INDEX(Produção!$I$2:$I$109,_xlpm.pos))))</f>
        <v>#REF!</v>
      </c>
      <c r="AD67" s="34" t="e" cm="1">
        <f t="array" ref="AD67">SUMPRODUCT(($Q67:$AB67&lt;&gt;"-------")*1)</f>
        <v>#REF!</v>
      </c>
      <c r="AE67" s="34">
        <f>RANK($D67,$D$3:$D$90)+COUNTIF($D$3:$D67,$D67)-1</f>
        <v>65</v>
      </c>
    </row>
    <row r="68" spans="1:31">
      <c r="A68" s="38" t="e" cm="1">
        <f t="array" ref="A68">INDEX(Produção!B$2:B$109,(ROW()-3)*12+1)</f>
        <v>#REF!</v>
      </c>
      <c r="B68" s="39" t="e" cm="1">
        <f t="array" ref="B68">INDEX(Produção!C$2:C$109,(ROW()-3)*12+1)</f>
        <v>#REF!</v>
      </c>
      <c r="C68" s="39" t="e" cm="1">
        <f t="array" ref="C68">INDEX(Produção!D$2:D$109,(ROW()-3)*12+1)</f>
        <v>#REF!</v>
      </c>
      <c r="D68" s="40">
        <f t="shared" ref="D68:D90" si="1">SUM($E68:$P68)</f>
        <v>0</v>
      </c>
      <c r="E68" s="41">
        <f>SUMIFS(Produção!$G$2:$G$109,Produção!$B$2:$B$109,$A68,Produção!$F$2:$F$109,E$2)</f>
        <v>0</v>
      </c>
      <c r="F68" s="41">
        <f>SUMIFS(Produção!$G$2:$G$109,Produção!$B$2:$B$109,$A68,Produção!$F$2:$F$109,F$2)</f>
        <v>0</v>
      </c>
      <c r="G68" s="41">
        <f>SUMIFS(Produção!$G$2:$G$109,Produção!$B$2:$B$109,$A68,Produção!$F$2:$F$109,G$2)</f>
        <v>0</v>
      </c>
      <c r="H68" s="41">
        <f>SUMIFS(Produção!$G$2:$G$109,Produção!$B$2:$B$109,$A68,Produção!$F$2:$F$109,H$2)</f>
        <v>0</v>
      </c>
      <c r="I68" s="41">
        <f>SUMIFS(Produção!$G$2:$G$109,Produção!$B$2:$B$109,$A68,Produção!$F$2:$F$109,I$2)</f>
        <v>0</v>
      </c>
      <c r="J68" s="41">
        <f>SUMIFS(Produção!$G$2:$G$109,Produção!$B$2:$B$109,$A68,Produção!$F$2:$F$109,J$2)</f>
        <v>0</v>
      </c>
      <c r="K68" s="41">
        <f>SUMIFS(Produção!$G$2:$G$109,Produção!$B$2:$B$109,$A68,Produção!$F$2:$F$109,K$2)</f>
        <v>0</v>
      </c>
      <c r="L68" s="41">
        <f>SUMIFS(Produção!$G$2:$G$109,Produção!$B$2:$B$109,$A68,Produção!$F$2:$F$109,L$2)</f>
        <v>0</v>
      </c>
      <c r="M68" s="41">
        <f>SUMIFS(Produção!$G$2:$G$109,Produção!$B$2:$B$109,$A68,Produção!$F$2:$F$109,M$2)</f>
        <v>0</v>
      </c>
      <c r="N68" s="41">
        <f>SUMIFS(Produção!$G$2:$G$109,Produção!$B$2:$B$109,$A68,Produção!$F$2:$F$109,N$2)</f>
        <v>0</v>
      </c>
      <c r="O68" s="41">
        <f>SUMIFS(Produção!$G$2:$G$109,Produção!$B$2:$B$109,$A68,Produção!$F$2:$F$109,O$2)</f>
        <v>0</v>
      </c>
      <c r="P68" s="41">
        <f>SUMIFS(Produção!$G$2:$G$109,Produção!$B$2:$B$109,$A68,Produção!$F$2:$F$109,P$2)</f>
        <v>0</v>
      </c>
      <c r="Q68" s="42" t="e" cm="1">
        <f t="array" ref="Q68">_xlfn.LET(_xlpm.canal,INDEX($E$2:$P$2,COLUMN()-COLUMN($Q$2)+1),_xlpm.pos,SUMPRODUCT((Produção!$B$2:$B$109=$A68)*(Produção!$F$2:$F$109=_xlpm.canal)*ROW(Produção!$I$2:$I$109))-1,IF(_xlpm.pos&lt;1,"-------",IF(INDEX(Produção!$I$2:$I$109,_xlpm.pos)="","-------",INDEX(Produção!$I$2:$I$109,_xlpm.pos))))</f>
        <v>#REF!</v>
      </c>
      <c r="R68" s="42" t="e" cm="1">
        <f t="array" ref="R68">_xlfn.LET(_xlpm.canal,INDEX($E$2:$P$2,COLUMN()-COLUMN($Q$2)+1),_xlpm.pos,SUMPRODUCT((Produção!$B$2:$B$109=$A68)*(Produção!$F$2:$F$109=_xlpm.canal)*ROW(Produção!$I$2:$I$109))-1,IF(_xlpm.pos&lt;1,"-------",IF(INDEX(Produção!$I$2:$I$109,_xlpm.pos)="","-------",INDEX(Produção!$I$2:$I$109,_xlpm.pos))))</f>
        <v>#REF!</v>
      </c>
      <c r="S68" s="42" t="e" cm="1">
        <f t="array" ref="S68">_xlfn.LET(_xlpm.canal,INDEX($E$2:$P$2,COLUMN()-COLUMN($Q$2)+1),_xlpm.pos,SUMPRODUCT((Produção!$B$2:$B$109=$A68)*(Produção!$F$2:$F$109=_xlpm.canal)*ROW(Produção!$I$2:$I$109))-1,IF(_xlpm.pos&lt;1,"-------",IF(INDEX(Produção!$I$2:$I$109,_xlpm.pos)="","-------",INDEX(Produção!$I$2:$I$109,_xlpm.pos))))</f>
        <v>#REF!</v>
      </c>
      <c r="T68" s="42" t="e" cm="1">
        <f t="array" ref="T68">_xlfn.LET(_xlpm.canal,INDEX($E$2:$P$2,COLUMN()-COLUMN($Q$2)+1),_xlpm.pos,SUMPRODUCT((Produção!$B$2:$B$109=$A68)*(Produção!$F$2:$F$109=_xlpm.canal)*ROW(Produção!$I$2:$I$109))-1,IF(_xlpm.pos&lt;1,"-------",IF(INDEX(Produção!$I$2:$I$109,_xlpm.pos)="","-------",INDEX(Produção!$I$2:$I$109,_xlpm.pos))))</f>
        <v>#REF!</v>
      </c>
      <c r="U68" s="42" t="e" cm="1">
        <f t="array" ref="U68">_xlfn.LET(_xlpm.canal,INDEX($E$2:$P$2,COLUMN()-COLUMN($Q$2)+1),_xlpm.pos,SUMPRODUCT((Produção!$B$2:$B$109=$A68)*(Produção!$F$2:$F$109=_xlpm.canal)*ROW(Produção!$I$2:$I$109))-1,IF(_xlpm.pos&lt;1,"-------",IF(INDEX(Produção!$I$2:$I$109,_xlpm.pos)="","-------",INDEX(Produção!$I$2:$I$109,_xlpm.pos))))</f>
        <v>#REF!</v>
      </c>
      <c r="V68" s="42" t="e" cm="1">
        <f t="array" ref="V68">_xlfn.LET(_xlpm.canal,INDEX($E$2:$P$2,COLUMN()-COLUMN($Q$2)+1),_xlpm.pos,SUMPRODUCT((Produção!$B$2:$B$109=$A68)*(Produção!$F$2:$F$109=_xlpm.canal)*ROW(Produção!$I$2:$I$109))-1,IF(_xlpm.pos&lt;1,"-------",IF(INDEX(Produção!$I$2:$I$109,_xlpm.pos)="","-------",INDEX(Produção!$I$2:$I$109,_xlpm.pos))))</f>
        <v>#REF!</v>
      </c>
      <c r="W68" s="42" t="e" cm="1">
        <f t="array" ref="W68">_xlfn.LET(_xlpm.canal,INDEX($E$2:$P$2,COLUMN()-COLUMN($Q$2)+1),_xlpm.pos,SUMPRODUCT((Produção!$B$2:$B$109=$A68)*(Produção!$F$2:$F$109=_xlpm.canal)*ROW(Produção!$I$2:$I$109))-1,IF(_xlpm.pos&lt;1,"-------",IF(INDEX(Produção!$I$2:$I$109,_xlpm.pos)="","-------",INDEX(Produção!$I$2:$I$109,_xlpm.pos))))</f>
        <v>#REF!</v>
      </c>
      <c r="X68" s="42" t="e" cm="1">
        <f t="array" ref="X68">_xlfn.LET(_xlpm.canal,INDEX($E$2:$P$2,COLUMN()-COLUMN($Q$2)+1),_xlpm.pos,SUMPRODUCT((Produção!$B$2:$B$109=$A68)*(Produção!$F$2:$F$109=_xlpm.canal)*ROW(Produção!$I$2:$I$109))-1,IF(_xlpm.pos&lt;1,"-------",IF(INDEX(Produção!$I$2:$I$109,_xlpm.pos)="","-------",INDEX(Produção!$I$2:$I$109,_xlpm.pos))))</f>
        <v>#REF!</v>
      </c>
      <c r="Y68" s="42" t="e" cm="1">
        <f t="array" ref="Y68">_xlfn.LET(_xlpm.canal,INDEX($E$2:$P$2,COLUMN()-COLUMN($Q$2)+1),_xlpm.pos,SUMPRODUCT((Produção!$B$2:$B$109=$A68)*(Produção!$F$2:$F$109=_xlpm.canal)*ROW(Produção!$I$2:$I$109))-1,IF(_xlpm.pos&lt;1,"-------",IF(INDEX(Produção!$I$2:$I$109,_xlpm.pos)="","-------",INDEX(Produção!$I$2:$I$109,_xlpm.pos))))</f>
        <v>#REF!</v>
      </c>
      <c r="Z68" s="42" t="e" cm="1">
        <f t="array" ref="Z68">_xlfn.LET(_xlpm.canal,INDEX($E$2:$P$2,COLUMN()-COLUMN($Q$2)+1),_xlpm.pos,SUMPRODUCT((Produção!$B$2:$B$109=$A68)*(Produção!$F$2:$F$109=_xlpm.canal)*ROW(Produção!$I$2:$I$109))-1,IF(_xlpm.pos&lt;1,"-------",IF(INDEX(Produção!$I$2:$I$109,_xlpm.pos)="","-------",INDEX(Produção!$I$2:$I$109,_xlpm.pos))))</f>
        <v>#REF!</v>
      </c>
      <c r="AA68" s="42" t="e" cm="1">
        <f t="array" ref="AA68">_xlfn.LET(_xlpm.canal,INDEX($E$2:$P$2,COLUMN()-COLUMN($Q$2)+1),_xlpm.pos,SUMPRODUCT((Produção!$B$2:$B$109=$A68)*(Produção!$F$2:$F$109=_xlpm.canal)*ROW(Produção!$I$2:$I$109))-1,IF(_xlpm.pos&lt;1,"-------",IF(INDEX(Produção!$I$2:$I$109,_xlpm.pos)="","-------",INDEX(Produção!$I$2:$I$109,_xlpm.pos))))</f>
        <v>#REF!</v>
      </c>
      <c r="AB68" s="42" t="e" cm="1">
        <f t="array" ref="AB68">_xlfn.LET(_xlpm.canal,INDEX($E$2:$P$2,COLUMN()-COLUMN($Q$2)+1),_xlpm.pos,SUMPRODUCT((Produção!$B$2:$B$109=$A68)*(Produção!$F$2:$F$109=_xlpm.canal)*ROW(Produção!$I$2:$I$109))-1,IF(_xlpm.pos&lt;1,"-------",IF(INDEX(Produção!$I$2:$I$109,_xlpm.pos)="","-------",INDEX(Produção!$I$2:$I$109,_xlpm.pos))))</f>
        <v>#REF!</v>
      </c>
      <c r="AD68" s="34" t="e" cm="1">
        <f t="array" ref="AD68">SUMPRODUCT(($Q68:$AB68&lt;&gt;"-------")*1)</f>
        <v>#REF!</v>
      </c>
      <c r="AE68" s="34">
        <f>RANK($D68,$D$3:$D$90)+COUNTIF($D$3:$D68,$D68)-1</f>
        <v>66</v>
      </c>
    </row>
    <row r="69" spans="1:31">
      <c r="A69" s="38" t="e" cm="1">
        <f t="array" ref="A69">INDEX(Produção!B$2:B$109,(ROW()-3)*12+1)</f>
        <v>#REF!</v>
      </c>
      <c r="B69" s="39" t="e" cm="1">
        <f t="array" ref="B69">INDEX(Produção!C$2:C$109,(ROW()-3)*12+1)</f>
        <v>#REF!</v>
      </c>
      <c r="C69" s="39" t="e" cm="1">
        <f t="array" ref="C69">INDEX(Produção!D$2:D$109,(ROW()-3)*12+1)</f>
        <v>#REF!</v>
      </c>
      <c r="D69" s="40">
        <f t="shared" si="1"/>
        <v>0</v>
      </c>
      <c r="E69" s="41">
        <f>SUMIFS(Produção!$G$2:$G$109,Produção!$B$2:$B$109,$A69,Produção!$F$2:$F$109,E$2)</f>
        <v>0</v>
      </c>
      <c r="F69" s="41">
        <f>SUMIFS(Produção!$G$2:$G$109,Produção!$B$2:$B$109,$A69,Produção!$F$2:$F$109,F$2)</f>
        <v>0</v>
      </c>
      <c r="G69" s="41">
        <f>SUMIFS(Produção!$G$2:$G$109,Produção!$B$2:$B$109,$A69,Produção!$F$2:$F$109,G$2)</f>
        <v>0</v>
      </c>
      <c r="H69" s="41">
        <f>SUMIFS(Produção!$G$2:$G$109,Produção!$B$2:$B$109,$A69,Produção!$F$2:$F$109,H$2)</f>
        <v>0</v>
      </c>
      <c r="I69" s="41">
        <f>SUMIFS(Produção!$G$2:$G$109,Produção!$B$2:$B$109,$A69,Produção!$F$2:$F$109,I$2)</f>
        <v>0</v>
      </c>
      <c r="J69" s="41">
        <f>SUMIFS(Produção!$G$2:$G$109,Produção!$B$2:$B$109,$A69,Produção!$F$2:$F$109,J$2)</f>
        <v>0</v>
      </c>
      <c r="K69" s="41">
        <f>SUMIFS(Produção!$G$2:$G$109,Produção!$B$2:$B$109,$A69,Produção!$F$2:$F$109,K$2)</f>
        <v>0</v>
      </c>
      <c r="L69" s="41">
        <f>SUMIFS(Produção!$G$2:$G$109,Produção!$B$2:$B$109,$A69,Produção!$F$2:$F$109,L$2)</f>
        <v>0</v>
      </c>
      <c r="M69" s="41">
        <f>SUMIFS(Produção!$G$2:$G$109,Produção!$B$2:$B$109,$A69,Produção!$F$2:$F$109,M$2)</f>
        <v>0</v>
      </c>
      <c r="N69" s="41">
        <f>SUMIFS(Produção!$G$2:$G$109,Produção!$B$2:$B$109,$A69,Produção!$F$2:$F$109,N$2)</f>
        <v>0</v>
      </c>
      <c r="O69" s="41">
        <f>SUMIFS(Produção!$G$2:$G$109,Produção!$B$2:$B$109,$A69,Produção!$F$2:$F$109,O$2)</f>
        <v>0</v>
      </c>
      <c r="P69" s="41">
        <f>SUMIFS(Produção!$G$2:$G$109,Produção!$B$2:$B$109,$A69,Produção!$F$2:$F$109,P$2)</f>
        <v>0</v>
      </c>
      <c r="Q69" s="42" t="e" cm="1">
        <f t="array" ref="Q69">_xlfn.LET(_xlpm.canal,INDEX($E$2:$P$2,COLUMN()-COLUMN($Q$2)+1),_xlpm.pos,SUMPRODUCT((Produção!$B$2:$B$109=$A69)*(Produção!$F$2:$F$109=_xlpm.canal)*ROW(Produção!$I$2:$I$109))-1,IF(_xlpm.pos&lt;1,"-------",IF(INDEX(Produção!$I$2:$I$109,_xlpm.pos)="","-------",INDEX(Produção!$I$2:$I$109,_xlpm.pos))))</f>
        <v>#REF!</v>
      </c>
      <c r="R69" s="42" t="e" cm="1">
        <f t="array" ref="R69">_xlfn.LET(_xlpm.canal,INDEX($E$2:$P$2,COLUMN()-COLUMN($Q$2)+1),_xlpm.pos,SUMPRODUCT((Produção!$B$2:$B$109=$A69)*(Produção!$F$2:$F$109=_xlpm.canal)*ROW(Produção!$I$2:$I$109))-1,IF(_xlpm.pos&lt;1,"-------",IF(INDEX(Produção!$I$2:$I$109,_xlpm.pos)="","-------",INDEX(Produção!$I$2:$I$109,_xlpm.pos))))</f>
        <v>#REF!</v>
      </c>
      <c r="S69" s="42" t="e" cm="1">
        <f t="array" ref="S69">_xlfn.LET(_xlpm.canal,INDEX($E$2:$P$2,COLUMN()-COLUMN($Q$2)+1),_xlpm.pos,SUMPRODUCT((Produção!$B$2:$B$109=$A69)*(Produção!$F$2:$F$109=_xlpm.canal)*ROW(Produção!$I$2:$I$109))-1,IF(_xlpm.pos&lt;1,"-------",IF(INDEX(Produção!$I$2:$I$109,_xlpm.pos)="","-------",INDEX(Produção!$I$2:$I$109,_xlpm.pos))))</f>
        <v>#REF!</v>
      </c>
      <c r="T69" s="42" t="e" cm="1">
        <f t="array" ref="T69">_xlfn.LET(_xlpm.canal,INDEX($E$2:$P$2,COLUMN()-COLUMN($Q$2)+1),_xlpm.pos,SUMPRODUCT((Produção!$B$2:$B$109=$A69)*(Produção!$F$2:$F$109=_xlpm.canal)*ROW(Produção!$I$2:$I$109))-1,IF(_xlpm.pos&lt;1,"-------",IF(INDEX(Produção!$I$2:$I$109,_xlpm.pos)="","-------",INDEX(Produção!$I$2:$I$109,_xlpm.pos))))</f>
        <v>#REF!</v>
      </c>
      <c r="U69" s="42" t="e" cm="1">
        <f t="array" ref="U69">_xlfn.LET(_xlpm.canal,INDEX($E$2:$P$2,COLUMN()-COLUMN($Q$2)+1),_xlpm.pos,SUMPRODUCT((Produção!$B$2:$B$109=$A69)*(Produção!$F$2:$F$109=_xlpm.canal)*ROW(Produção!$I$2:$I$109))-1,IF(_xlpm.pos&lt;1,"-------",IF(INDEX(Produção!$I$2:$I$109,_xlpm.pos)="","-------",INDEX(Produção!$I$2:$I$109,_xlpm.pos))))</f>
        <v>#REF!</v>
      </c>
      <c r="V69" s="42" t="e" cm="1">
        <f t="array" ref="V69">_xlfn.LET(_xlpm.canal,INDEX($E$2:$P$2,COLUMN()-COLUMN($Q$2)+1),_xlpm.pos,SUMPRODUCT((Produção!$B$2:$B$109=$A69)*(Produção!$F$2:$F$109=_xlpm.canal)*ROW(Produção!$I$2:$I$109))-1,IF(_xlpm.pos&lt;1,"-------",IF(INDEX(Produção!$I$2:$I$109,_xlpm.pos)="","-------",INDEX(Produção!$I$2:$I$109,_xlpm.pos))))</f>
        <v>#REF!</v>
      </c>
      <c r="W69" s="42" t="e" cm="1">
        <f t="array" ref="W69">_xlfn.LET(_xlpm.canal,INDEX($E$2:$P$2,COLUMN()-COLUMN($Q$2)+1),_xlpm.pos,SUMPRODUCT((Produção!$B$2:$B$109=$A69)*(Produção!$F$2:$F$109=_xlpm.canal)*ROW(Produção!$I$2:$I$109))-1,IF(_xlpm.pos&lt;1,"-------",IF(INDEX(Produção!$I$2:$I$109,_xlpm.pos)="","-------",INDEX(Produção!$I$2:$I$109,_xlpm.pos))))</f>
        <v>#REF!</v>
      </c>
      <c r="X69" s="42" t="e" cm="1">
        <f t="array" ref="X69">_xlfn.LET(_xlpm.canal,INDEX($E$2:$P$2,COLUMN()-COLUMN($Q$2)+1),_xlpm.pos,SUMPRODUCT((Produção!$B$2:$B$109=$A69)*(Produção!$F$2:$F$109=_xlpm.canal)*ROW(Produção!$I$2:$I$109))-1,IF(_xlpm.pos&lt;1,"-------",IF(INDEX(Produção!$I$2:$I$109,_xlpm.pos)="","-------",INDEX(Produção!$I$2:$I$109,_xlpm.pos))))</f>
        <v>#REF!</v>
      </c>
      <c r="Y69" s="42" t="e" cm="1">
        <f t="array" ref="Y69">_xlfn.LET(_xlpm.canal,INDEX($E$2:$P$2,COLUMN()-COLUMN($Q$2)+1),_xlpm.pos,SUMPRODUCT((Produção!$B$2:$B$109=$A69)*(Produção!$F$2:$F$109=_xlpm.canal)*ROW(Produção!$I$2:$I$109))-1,IF(_xlpm.pos&lt;1,"-------",IF(INDEX(Produção!$I$2:$I$109,_xlpm.pos)="","-------",INDEX(Produção!$I$2:$I$109,_xlpm.pos))))</f>
        <v>#REF!</v>
      </c>
      <c r="Z69" s="42" t="e" cm="1">
        <f t="array" ref="Z69">_xlfn.LET(_xlpm.canal,INDEX($E$2:$P$2,COLUMN()-COLUMN($Q$2)+1),_xlpm.pos,SUMPRODUCT((Produção!$B$2:$B$109=$A69)*(Produção!$F$2:$F$109=_xlpm.canal)*ROW(Produção!$I$2:$I$109))-1,IF(_xlpm.pos&lt;1,"-------",IF(INDEX(Produção!$I$2:$I$109,_xlpm.pos)="","-------",INDEX(Produção!$I$2:$I$109,_xlpm.pos))))</f>
        <v>#REF!</v>
      </c>
      <c r="AA69" s="42" t="e" cm="1">
        <f t="array" ref="AA69">_xlfn.LET(_xlpm.canal,INDEX($E$2:$P$2,COLUMN()-COLUMN($Q$2)+1),_xlpm.pos,SUMPRODUCT((Produção!$B$2:$B$109=$A69)*(Produção!$F$2:$F$109=_xlpm.canal)*ROW(Produção!$I$2:$I$109))-1,IF(_xlpm.pos&lt;1,"-------",IF(INDEX(Produção!$I$2:$I$109,_xlpm.pos)="","-------",INDEX(Produção!$I$2:$I$109,_xlpm.pos))))</f>
        <v>#REF!</v>
      </c>
      <c r="AB69" s="42" t="e" cm="1">
        <f t="array" ref="AB69">_xlfn.LET(_xlpm.canal,INDEX($E$2:$P$2,COLUMN()-COLUMN($Q$2)+1),_xlpm.pos,SUMPRODUCT((Produção!$B$2:$B$109=$A69)*(Produção!$F$2:$F$109=_xlpm.canal)*ROW(Produção!$I$2:$I$109))-1,IF(_xlpm.pos&lt;1,"-------",IF(INDEX(Produção!$I$2:$I$109,_xlpm.pos)="","-------",INDEX(Produção!$I$2:$I$109,_xlpm.pos))))</f>
        <v>#REF!</v>
      </c>
      <c r="AD69" s="34" t="e" cm="1">
        <f t="array" ref="AD69">SUMPRODUCT(($Q69:$AB69&lt;&gt;"-------")*1)</f>
        <v>#REF!</v>
      </c>
      <c r="AE69" s="34">
        <f>RANK($D69,$D$3:$D$90)+COUNTIF($D$3:$D69,$D69)-1</f>
        <v>67</v>
      </c>
    </row>
    <row r="70" spans="1:31">
      <c r="A70" s="38" t="e" cm="1">
        <f t="array" ref="A70">INDEX(Produção!B$2:B$109,(ROW()-3)*12+1)</f>
        <v>#REF!</v>
      </c>
      <c r="B70" s="39" t="e" cm="1">
        <f t="array" ref="B70">INDEX(Produção!C$2:C$109,(ROW()-3)*12+1)</f>
        <v>#REF!</v>
      </c>
      <c r="C70" s="39" t="e" cm="1">
        <f t="array" ref="C70">INDEX(Produção!D$2:D$109,(ROW()-3)*12+1)</f>
        <v>#REF!</v>
      </c>
      <c r="D70" s="40">
        <f t="shared" si="1"/>
        <v>0</v>
      </c>
      <c r="E70" s="41">
        <f>SUMIFS(Produção!$G$2:$G$109,Produção!$B$2:$B$109,$A70,Produção!$F$2:$F$109,E$2)</f>
        <v>0</v>
      </c>
      <c r="F70" s="41">
        <f>SUMIFS(Produção!$G$2:$G$109,Produção!$B$2:$B$109,$A70,Produção!$F$2:$F$109,F$2)</f>
        <v>0</v>
      </c>
      <c r="G70" s="41">
        <f>SUMIFS(Produção!$G$2:$G$109,Produção!$B$2:$B$109,$A70,Produção!$F$2:$F$109,G$2)</f>
        <v>0</v>
      </c>
      <c r="H70" s="41">
        <f>SUMIFS(Produção!$G$2:$G$109,Produção!$B$2:$B$109,$A70,Produção!$F$2:$F$109,H$2)</f>
        <v>0</v>
      </c>
      <c r="I70" s="41">
        <f>SUMIFS(Produção!$G$2:$G$109,Produção!$B$2:$B$109,$A70,Produção!$F$2:$F$109,I$2)</f>
        <v>0</v>
      </c>
      <c r="J70" s="41">
        <f>SUMIFS(Produção!$G$2:$G$109,Produção!$B$2:$B$109,$A70,Produção!$F$2:$F$109,J$2)</f>
        <v>0</v>
      </c>
      <c r="K70" s="41">
        <f>SUMIFS(Produção!$G$2:$G$109,Produção!$B$2:$B$109,$A70,Produção!$F$2:$F$109,K$2)</f>
        <v>0</v>
      </c>
      <c r="L70" s="41">
        <f>SUMIFS(Produção!$G$2:$G$109,Produção!$B$2:$B$109,$A70,Produção!$F$2:$F$109,L$2)</f>
        <v>0</v>
      </c>
      <c r="M70" s="41">
        <f>SUMIFS(Produção!$G$2:$G$109,Produção!$B$2:$B$109,$A70,Produção!$F$2:$F$109,M$2)</f>
        <v>0</v>
      </c>
      <c r="N70" s="41">
        <f>SUMIFS(Produção!$G$2:$G$109,Produção!$B$2:$B$109,$A70,Produção!$F$2:$F$109,N$2)</f>
        <v>0</v>
      </c>
      <c r="O70" s="41">
        <f>SUMIFS(Produção!$G$2:$G$109,Produção!$B$2:$B$109,$A70,Produção!$F$2:$F$109,O$2)</f>
        <v>0</v>
      </c>
      <c r="P70" s="41">
        <f>SUMIFS(Produção!$G$2:$G$109,Produção!$B$2:$B$109,$A70,Produção!$F$2:$F$109,P$2)</f>
        <v>0</v>
      </c>
      <c r="Q70" s="42" t="e" cm="1">
        <f t="array" ref="Q70">_xlfn.LET(_xlpm.canal,INDEX($E$2:$P$2,COLUMN()-COLUMN($Q$2)+1),_xlpm.pos,SUMPRODUCT((Produção!$B$2:$B$109=$A70)*(Produção!$F$2:$F$109=_xlpm.canal)*ROW(Produção!$I$2:$I$109))-1,IF(_xlpm.pos&lt;1,"-------",IF(INDEX(Produção!$I$2:$I$109,_xlpm.pos)="","-------",INDEX(Produção!$I$2:$I$109,_xlpm.pos))))</f>
        <v>#REF!</v>
      </c>
      <c r="R70" s="42" t="e" cm="1">
        <f t="array" ref="R70">_xlfn.LET(_xlpm.canal,INDEX($E$2:$P$2,COLUMN()-COLUMN($Q$2)+1),_xlpm.pos,SUMPRODUCT((Produção!$B$2:$B$109=$A70)*(Produção!$F$2:$F$109=_xlpm.canal)*ROW(Produção!$I$2:$I$109))-1,IF(_xlpm.pos&lt;1,"-------",IF(INDEX(Produção!$I$2:$I$109,_xlpm.pos)="","-------",INDEX(Produção!$I$2:$I$109,_xlpm.pos))))</f>
        <v>#REF!</v>
      </c>
      <c r="S70" s="42" t="e" cm="1">
        <f t="array" ref="S70">_xlfn.LET(_xlpm.canal,INDEX($E$2:$P$2,COLUMN()-COLUMN($Q$2)+1),_xlpm.pos,SUMPRODUCT((Produção!$B$2:$B$109=$A70)*(Produção!$F$2:$F$109=_xlpm.canal)*ROW(Produção!$I$2:$I$109))-1,IF(_xlpm.pos&lt;1,"-------",IF(INDEX(Produção!$I$2:$I$109,_xlpm.pos)="","-------",INDEX(Produção!$I$2:$I$109,_xlpm.pos))))</f>
        <v>#REF!</v>
      </c>
      <c r="T70" s="42" t="e" cm="1">
        <f t="array" ref="T70">_xlfn.LET(_xlpm.canal,INDEX($E$2:$P$2,COLUMN()-COLUMN($Q$2)+1),_xlpm.pos,SUMPRODUCT((Produção!$B$2:$B$109=$A70)*(Produção!$F$2:$F$109=_xlpm.canal)*ROW(Produção!$I$2:$I$109))-1,IF(_xlpm.pos&lt;1,"-------",IF(INDEX(Produção!$I$2:$I$109,_xlpm.pos)="","-------",INDEX(Produção!$I$2:$I$109,_xlpm.pos))))</f>
        <v>#REF!</v>
      </c>
      <c r="U70" s="42" t="e" cm="1">
        <f t="array" ref="U70">_xlfn.LET(_xlpm.canal,INDEX($E$2:$P$2,COLUMN()-COLUMN($Q$2)+1),_xlpm.pos,SUMPRODUCT((Produção!$B$2:$B$109=$A70)*(Produção!$F$2:$F$109=_xlpm.canal)*ROW(Produção!$I$2:$I$109))-1,IF(_xlpm.pos&lt;1,"-------",IF(INDEX(Produção!$I$2:$I$109,_xlpm.pos)="","-------",INDEX(Produção!$I$2:$I$109,_xlpm.pos))))</f>
        <v>#REF!</v>
      </c>
      <c r="V70" s="42" t="e" cm="1">
        <f t="array" ref="V70">_xlfn.LET(_xlpm.canal,INDEX($E$2:$P$2,COLUMN()-COLUMN($Q$2)+1),_xlpm.pos,SUMPRODUCT((Produção!$B$2:$B$109=$A70)*(Produção!$F$2:$F$109=_xlpm.canal)*ROW(Produção!$I$2:$I$109))-1,IF(_xlpm.pos&lt;1,"-------",IF(INDEX(Produção!$I$2:$I$109,_xlpm.pos)="","-------",INDEX(Produção!$I$2:$I$109,_xlpm.pos))))</f>
        <v>#REF!</v>
      </c>
      <c r="W70" s="42" t="e" cm="1">
        <f t="array" ref="W70">_xlfn.LET(_xlpm.canal,INDEX($E$2:$P$2,COLUMN()-COLUMN($Q$2)+1),_xlpm.pos,SUMPRODUCT((Produção!$B$2:$B$109=$A70)*(Produção!$F$2:$F$109=_xlpm.canal)*ROW(Produção!$I$2:$I$109))-1,IF(_xlpm.pos&lt;1,"-------",IF(INDEX(Produção!$I$2:$I$109,_xlpm.pos)="","-------",INDEX(Produção!$I$2:$I$109,_xlpm.pos))))</f>
        <v>#REF!</v>
      </c>
      <c r="X70" s="42" t="e" cm="1">
        <f t="array" ref="X70">_xlfn.LET(_xlpm.canal,INDEX($E$2:$P$2,COLUMN()-COLUMN($Q$2)+1),_xlpm.pos,SUMPRODUCT((Produção!$B$2:$B$109=$A70)*(Produção!$F$2:$F$109=_xlpm.canal)*ROW(Produção!$I$2:$I$109))-1,IF(_xlpm.pos&lt;1,"-------",IF(INDEX(Produção!$I$2:$I$109,_xlpm.pos)="","-------",INDEX(Produção!$I$2:$I$109,_xlpm.pos))))</f>
        <v>#REF!</v>
      </c>
      <c r="Y70" s="42" t="e" cm="1">
        <f t="array" ref="Y70">_xlfn.LET(_xlpm.canal,INDEX($E$2:$P$2,COLUMN()-COLUMN($Q$2)+1),_xlpm.pos,SUMPRODUCT((Produção!$B$2:$B$109=$A70)*(Produção!$F$2:$F$109=_xlpm.canal)*ROW(Produção!$I$2:$I$109))-1,IF(_xlpm.pos&lt;1,"-------",IF(INDEX(Produção!$I$2:$I$109,_xlpm.pos)="","-------",INDEX(Produção!$I$2:$I$109,_xlpm.pos))))</f>
        <v>#REF!</v>
      </c>
      <c r="Z70" s="42" t="e" cm="1">
        <f t="array" ref="Z70">_xlfn.LET(_xlpm.canal,INDEX($E$2:$P$2,COLUMN()-COLUMN($Q$2)+1),_xlpm.pos,SUMPRODUCT((Produção!$B$2:$B$109=$A70)*(Produção!$F$2:$F$109=_xlpm.canal)*ROW(Produção!$I$2:$I$109))-1,IF(_xlpm.pos&lt;1,"-------",IF(INDEX(Produção!$I$2:$I$109,_xlpm.pos)="","-------",INDEX(Produção!$I$2:$I$109,_xlpm.pos))))</f>
        <v>#REF!</v>
      </c>
      <c r="AA70" s="42" t="e" cm="1">
        <f t="array" ref="AA70">_xlfn.LET(_xlpm.canal,INDEX($E$2:$P$2,COLUMN()-COLUMN($Q$2)+1),_xlpm.pos,SUMPRODUCT((Produção!$B$2:$B$109=$A70)*(Produção!$F$2:$F$109=_xlpm.canal)*ROW(Produção!$I$2:$I$109))-1,IF(_xlpm.pos&lt;1,"-------",IF(INDEX(Produção!$I$2:$I$109,_xlpm.pos)="","-------",INDEX(Produção!$I$2:$I$109,_xlpm.pos))))</f>
        <v>#REF!</v>
      </c>
      <c r="AB70" s="42" t="e" cm="1">
        <f t="array" ref="AB70">_xlfn.LET(_xlpm.canal,INDEX($E$2:$P$2,COLUMN()-COLUMN($Q$2)+1),_xlpm.pos,SUMPRODUCT((Produção!$B$2:$B$109=$A70)*(Produção!$F$2:$F$109=_xlpm.canal)*ROW(Produção!$I$2:$I$109))-1,IF(_xlpm.pos&lt;1,"-------",IF(INDEX(Produção!$I$2:$I$109,_xlpm.pos)="","-------",INDEX(Produção!$I$2:$I$109,_xlpm.pos))))</f>
        <v>#REF!</v>
      </c>
      <c r="AD70" s="34" t="e" cm="1">
        <f t="array" ref="AD70">SUMPRODUCT(($Q70:$AB70&lt;&gt;"-------")*1)</f>
        <v>#REF!</v>
      </c>
      <c r="AE70" s="34">
        <f>RANK($D70,$D$3:$D$90)+COUNTIF($D$3:$D70,$D70)-1</f>
        <v>68</v>
      </c>
    </row>
    <row r="71" spans="1:31">
      <c r="A71" s="38" t="e" cm="1">
        <f t="array" ref="A71">INDEX(Produção!B$2:B$109,(ROW()-3)*12+1)</f>
        <v>#REF!</v>
      </c>
      <c r="B71" s="39" t="e" cm="1">
        <f t="array" ref="B71">INDEX(Produção!C$2:C$109,(ROW()-3)*12+1)</f>
        <v>#REF!</v>
      </c>
      <c r="C71" s="39" t="e" cm="1">
        <f t="array" ref="C71">INDEX(Produção!D$2:D$109,(ROW()-3)*12+1)</f>
        <v>#REF!</v>
      </c>
      <c r="D71" s="40">
        <f t="shared" si="1"/>
        <v>0</v>
      </c>
      <c r="E71" s="41">
        <f>SUMIFS(Produção!$G$2:$G$109,Produção!$B$2:$B$109,$A71,Produção!$F$2:$F$109,E$2)</f>
        <v>0</v>
      </c>
      <c r="F71" s="41">
        <f>SUMIFS(Produção!$G$2:$G$109,Produção!$B$2:$B$109,$A71,Produção!$F$2:$F$109,F$2)</f>
        <v>0</v>
      </c>
      <c r="G71" s="41">
        <f>SUMIFS(Produção!$G$2:$G$109,Produção!$B$2:$B$109,$A71,Produção!$F$2:$F$109,G$2)</f>
        <v>0</v>
      </c>
      <c r="H71" s="41">
        <f>SUMIFS(Produção!$G$2:$G$109,Produção!$B$2:$B$109,$A71,Produção!$F$2:$F$109,H$2)</f>
        <v>0</v>
      </c>
      <c r="I71" s="41">
        <f>SUMIFS(Produção!$G$2:$G$109,Produção!$B$2:$B$109,$A71,Produção!$F$2:$F$109,I$2)</f>
        <v>0</v>
      </c>
      <c r="J71" s="41">
        <f>SUMIFS(Produção!$G$2:$G$109,Produção!$B$2:$B$109,$A71,Produção!$F$2:$F$109,J$2)</f>
        <v>0</v>
      </c>
      <c r="K71" s="41">
        <f>SUMIFS(Produção!$G$2:$G$109,Produção!$B$2:$B$109,$A71,Produção!$F$2:$F$109,K$2)</f>
        <v>0</v>
      </c>
      <c r="L71" s="41">
        <f>SUMIFS(Produção!$G$2:$G$109,Produção!$B$2:$B$109,$A71,Produção!$F$2:$F$109,L$2)</f>
        <v>0</v>
      </c>
      <c r="M71" s="41">
        <f>SUMIFS(Produção!$G$2:$G$109,Produção!$B$2:$B$109,$A71,Produção!$F$2:$F$109,M$2)</f>
        <v>0</v>
      </c>
      <c r="N71" s="41">
        <f>SUMIFS(Produção!$G$2:$G$109,Produção!$B$2:$B$109,$A71,Produção!$F$2:$F$109,N$2)</f>
        <v>0</v>
      </c>
      <c r="O71" s="41">
        <f>SUMIFS(Produção!$G$2:$G$109,Produção!$B$2:$B$109,$A71,Produção!$F$2:$F$109,O$2)</f>
        <v>0</v>
      </c>
      <c r="P71" s="41">
        <f>SUMIFS(Produção!$G$2:$G$109,Produção!$B$2:$B$109,$A71,Produção!$F$2:$F$109,P$2)</f>
        <v>0</v>
      </c>
      <c r="Q71" s="42" t="e" cm="1">
        <f t="array" ref="Q71">_xlfn.LET(_xlpm.canal,INDEX($E$2:$P$2,COLUMN()-COLUMN($Q$2)+1),_xlpm.pos,SUMPRODUCT((Produção!$B$2:$B$109=$A71)*(Produção!$F$2:$F$109=_xlpm.canal)*ROW(Produção!$I$2:$I$109))-1,IF(_xlpm.pos&lt;1,"-------",IF(INDEX(Produção!$I$2:$I$109,_xlpm.pos)="","-------",INDEX(Produção!$I$2:$I$109,_xlpm.pos))))</f>
        <v>#REF!</v>
      </c>
      <c r="R71" s="42" t="e" cm="1">
        <f t="array" ref="R71">_xlfn.LET(_xlpm.canal,INDEX($E$2:$P$2,COLUMN()-COLUMN($Q$2)+1),_xlpm.pos,SUMPRODUCT((Produção!$B$2:$B$109=$A71)*(Produção!$F$2:$F$109=_xlpm.canal)*ROW(Produção!$I$2:$I$109))-1,IF(_xlpm.pos&lt;1,"-------",IF(INDEX(Produção!$I$2:$I$109,_xlpm.pos)="","-------",INDEX(Produção!$I$2:$I$109,_xlpm.pos))))</f>
        <v>#REF!</v>
      </c>
      <c r="S71" s="42" t="e" cm="1">
        <f t="array" ref="S71">_xlfn.LET(_xlpm.canal,INDEX($E$2:$P$2,COLUMN()-COLUMN($Q$2)+1),_xlpm.pos,SUMPRODUCT((Produção!$B$2:$B$109=$A71)*(Produção!$F$2:$F$109=_xlpm.canal)*ROW(Produção!$I$2:$I$109))-1,IF(_xlpm.pos&lt;1,"-------",IF(INDEX(Produção!$I$2:$I$109,_xlpm.pos)="","-------",INDEX(Produção!$I$2:$I$109,_xlpm.pos))))</f>
        <v>#REF!</v>
      </c>
      <c r="T71" s="42" t="e" cm="1">
        <f t="array" ref="T71">_xlfn.LET(_xlpm.canal,INDEX($E$2:$P$2,COLUMN()-COLUMN($Q$2)+1),_xlpm.pos,SUMPRODUCT((Produção!$B$2:$B$109=$A71)*(Produção!$F$2:$F$109=_xlpm.canal)*ROW(Produção!$I$2:$I$109))-1,IF(_xlpm.pos&lt;1,"-------",IF(INDEX(Produção!$I$2:$I$109,_xlpm.pos)="","-------",INDEX(Produção!$I$2:$I$109,_xlpm.pos))))</f>
        <v>#REF!</v>
      </c>
      <c r="U71" s="42" t="e" cm="1">
        <f t="array" ref="U71">_xlfn.LET(_xlpm.canal,INDEX($E$2:$P$2,COLUMN()-COLUMN($Q$2)+1),_xlpm.pos,SUMPRODUCT((Produção!$B$2:$B$109=$A71)*(Produção!$F$2:$F$109=_xlpm.canal)*ROW(Produção!$I$2:$I$109))-1,IF(_xlpm.pos&lt;1,"-------",IF(INDEX(Produção!$I$2:$I$109,_xlpm.pos)="","-------",INDEX(Produção!$I$2:$I$109,_xlpm.pos))))</f>
        <v>#REF!</v>
      </c>
      <c r="V71" s="42" t="e" cm="1">
        <f t="array" ref="V71">_xlfn.LET(_xlpm.canal,INDEX($E$2:$P$2,COLUMN()-COLUMN($Q$2)+1),_xlpm.pos,SUMPRODUCT((Produção!$B$2:$B$109=$A71)*(Produção!$F$2:$F$109=_xlpm.canal)*ROW(Produção!$I$2:$I$109))-1,IF(_xlpm.pos&lt;1,"-------",IF(INDEX(Produção!$I$2:$I$109,_xlpm.pos)="","-------",INDEX(Produção!$I$2:$I$109,_xlpm.pos))))</f>
        <v>#REF!</v>
      </c>
      <c r="W71" s="42" t="e" cm="1">
        <f t="array" ref="W71">_xlfn.LET(_xlpm.canal,INDEX($E$2:$P$2,COLUMN()-COLUMN($Q$2)+1),_xlpm.pos,SUMPRODUCT((Produção!$B$2:$B$109=$A71)*(Produção!$F$2:$F$109=_xlpm.canal)*ROW(Produção!$I$2:$I$109))-1,IF(_xlpm.pos&lt;1,"-------",IF(INDEX(Produção!$I$2:$I$109,_xlpm.pos)="","-------",INDEX(Produção!$I$2:$I$109,_xlpm.pos))))</f>
        <v>#REF!</v>
      </c>
      <c r="X71" s="42" t="e" cm="1">
        <f t="array" ref="X71">_xlfn.LET(_xlpm.canal,INDEX($E$2:$P$2,COLUMN()-COLUMN($Q$2)+1),_xlpm.pos,SUMPRODUCT((Produção!$B$2:$B$109=$A71)*(Produção!$F$2:$F$109=_xlpm.canal)*ROW(Produção!$I$2:$I$109))-1,IF(_xlpm.pos&lt;1,"-------",IF(INDEX(Produção!$I$2:$I$109,_xlpm.pos)="","-------",INDEX(Produção!$I$2:$I$109,_xlpm.pos))))</f>
        <v>#REF!</v>
      </c>
      <c r="Y71" s="42" t="e" cm="1">
        <f t="array" ref="Y71">_xlfn.LET(_xlpm.canal,INDEX($E$2:$P$2,COLUMN()-COLUMN($Q$2)+1),_xlpm.pos,SUMPRODUCT((Produção!$B$2:$B$109=$A71)*(Produção!$F$2:$F$109=_xlpm.canal)*ROW(Produção!$I$2:$I$109))-1,IF(_xlpm.pos&lt;1,"-------",IF(INDEX(Produção!$I$2:$I$109,_xlpm.pos)="","-------",INDEX(Produção!$I$2:$I$109,_xlpm.pos))))</f>
        <v>#REF!</v>
      </c>
      <c r="Z71" s="42" t="e" cm="1">
        <f t="array" ref="Z71">_xlfn.LET(_xlpm.canal,INDEX($E$2:$P$2,COLUMN()-COLUMN($Q$2)+1),_xlpm.pos,SUMPRODUCT((Produção!$B$2:$B$109=$A71)*(Produção!$F$2:$F$109=_xlpm.canal)*ROW(Produção!$I$2:$I$109))-1,IF(_xlpm.pos&lt;1,"-------",IF(INDEX(Produção!$I$2:$I$109,_xlpm.pos)="","-------",INDEX(Produção!$I$2:$I$109,_xlpm.pos))))</f>
        <v>#REF!</v>
      </c>
      <c r="AA71" s="42" t="e" cm="1">
        <f t="array" ref="AA71">_xlfn.LET(_xlpm.canal,INDEX($E$2:$P$2,COLUMN()-COLUMN($Q$2)+1),_xlpm.pos,SUMPRODUCT((Produção!$B$2:$B$109=$A71)*(Produção!$F$2:$F$109=_xlpm.canal)*ROW(Produção!$I$2:$I$109))-1,IF(_xlpm.pos&lt;1,"-------",IF(INDEX(Produção!$I$2:$I$109,_xlpm.pos)="","-------",INDEX(Produção!$I$2:$I$109,_xlpm.pos))))</f>
        <v>#REF!</v>
      </c>
      <c r="AB71" s="42" t="e" cm="1">
        <f t="array" ref="AB71">_xlfn.LET(_xlpm.canal,INDEX($E$2:$P$2,COLUMN()-COLUMN($Q$2)+1),_xlpm.pos,SUMPRODUCT((Produção!$B$2:$B$109=$A71)*(Produção!$F$2:$F$109=_xlpm.canal)*ROW(Produção!$I$2:$I$109))-1,IF(_xlpm.pos&lt;1,"-------",IF(INDEX(Produção!$I$2:$I$109,_xlpm.pos)="","-------",INDEX(Produção!$I$2:$I$109,_xlpm.pos))))</f>
        <v>#REF!</v>
      </c>
      <c r="AD71" s="34" t="e" cm="1">
        <f t="array" ref="AD71">SUMPRODUCT(($Q71:$AB71&lt;&gt;"-------")*1)</f>
        <v>#REF!</v>
      </c>
      <c r="AE71" s="34">
        <f>RANK($D71,$D$3:$D$90)+COUNTIF($D$3:$D71,$D71)-1</f>
        <v>69</v>
      </c>
    </row>
    <row r="72" spans="1:31">
      <c r="A72" s="38" t="e" cm="1">
        <f t="array" ref="A72">INDEX(Produção!B$2:B$109,(ROW()-3)*12+1)</f>
        <v>#REF!</v>
      </c>
      <c r="B72" s="39" t="e" cm="1">
        <f t="array" ref="B72">INDEX(Produção!C$2:C$109,(ROW()-3)*12+1)</f>
        <v>#REF!</v>
      </c>
      <c r="C72" s="39" t="e" cm="1">
        <f t="array" ref="C72">INDEX(Produção!D$2:D$109,(ROW()-3)*12+1)</f>
        <v>#REF!</v>
      </c>
      <c r="D72" s="40">
        <f t="shared" si="1"/>
        <v>0</v>
      </c>
      <c r="E72" s="41">
        <f>SUMIFS(Produção!$G$2:$G$109,Produção!$B$2:$B$109,$A72,Produção!$F$2:$F$109,E$2)</f>
        <v>0</v>
      </c>
      <c r="F72" s="41">
        <f>SUMIFS(Produção!$G$2:$G$109,Produção!$B$2:$B$109,$A72,Produção!$F$2:$F$109,F$2)</f>
        <v>0</v>
      </c>
      <c r="G72" s="41">
        <f>SUMIFS(Produção!$G$2:$G$109,Produção!$B$2:$B$109,$A72,Produção!$F$2:$F$109,G$2)</f>
        <v>0</v>
      </c>
      <c r="H72" s="41">
        <f>SUMIFS(Produção!$G$2:$G$109,Produção!$B$2:$B$109,$A72,Produção!$F$2:$F$109,H$2)</f>
        <v>0</v>
      </c>
      <c r="I72" s="41">
        <f>SUMIFS(Produção!$G$2:$G$109,Produção!$B$2:$B$109,$A72,Produção!$F$2:$F$109,I$2)</f>
        <v>0</v>
      </c>
      <c r="J72" s="41">
        <f>SUMIFS(Produção!$G$2:$G$109,Produção!$B$2:$B$109,$A72,Produção!$F$2:$F$109,J$2)</f>
        <v>0</v>
      </c>
      <c r="K72" s="41">
        <f>SUMIFS(Produção!$G$2:$G$109,Produção!$B$2:$B$109,$A72,Produção!$F$2:$F$109,K$2)</f>
        <v>0</v>
      </c>
      <c r="L72" s="41">
        <f>SUMIFS(Produção!$G$2:$G$109,Produção!$B$2:$B$109,$A72,Produção!$F$2:$F$109,L$2)</f>
        <v>0</v>
      </c>
      <c r="M72" s="41">
        <f>SUMIFS(Produção!$G$2:$G$109,Produção!$B$2:$B$109,$A72,Produção!$F$2:$F$109,M$2)</f>
        <v>0</v>
      </c>
      <c r="N72" s="41">
        <f>SUMIFS(Produção!$G$2:$G$109,Produção!$B$2:$B$109,$A72,Produção!$F$2:$F$109,N$2)</f>
        <v>0</v>
      </c>
      <c r="O72" s="41">
        <f>SUMIFS(Produção!$G$2:$G$109,Produção!$B$2:$B$109,$A72,Produção!$F$2:$F$109,O$2)</f>
        <v>0</v>
      </c>
      <c r="P72" s="41">
        <f>SUMIFS(Produção!$G$2:$G$109,Produção!$B$2:$B$109,$A72,Produção!$F$2:$F$109,P$2)</f>
        <v>0</v>
      </c>
      <c r="Q72" s="42" t="e" cm="1">
        <f t="array" ref="Q72">_xlfn.LET(_xlpm.canal,INDEX($E$2:$P$2,COLUMN()-COLUMN($Q$2)+1),_xlpm.pos,SUMPRODUCT((Produção!$B$2:$B$109=$A72)*(Produção!$F$2:$F$109=_xlpm.canal)*ROW(Produção!$I$2:$I$109))-1,IF(_xlpm.pos&lt;1,"-------",IF(INDEX(Produção!$I$2:$I$109,_xlpm.pos)="","-------",INDEX(Produção!$I$2:$I$109,_xlpm.pos))))</f>
        <v>#REF!</v>
      </c>
      <c r="R72" s="42" t="e" cm="1">
        <f t="array" ref="R72">_xlfn.LET(_xlpm.canal,INDEX($E$2:$P$2,COLUMN()-COLUMN($Q$2)+1),_xlpm.pos,SUMPRODUCT((Produção!$B$2:$B$109=$A72)*(Produção!$F$2:$F$109=_xlpm.canal)*ROW(Produção!$I$2:$I$109))-1,IF(_xlpm.pos&lt;1,"-------",IF(INDEX(Produção!$I$2:$I$109,_xlpm.pos)="","-------",INDEX(Produção!$I$2:$I$109,_xlpm.pos))))</f>
        <v>#REF!</v>
      </c>
      <c r="S72" s="42" t="e" cm="1">
        <f t="array" ref="S72">_xlfn.LET(_xlpm.canal,INDEX($E$2:$P$2,COLUMN()-COLUMN($Q$2)+1),_xlpm.pos,SUMPRODUCT((Produção!$B$2:$B$109=$A72)*(Produção!$F$2:$F$109=_xlpm.canal)*ROW(Produção!$I$2:$I$109))-1,IF(_xlpm.pos&lt;1,"-------",IF(INDEX(Produção!$I$2:$I$109,_xlpm.pos)="","-------",INDEX(Produção!$I$2:$I$109,_xlpm.pos))))</f>
        <v>#REF!</v>
      </c>
      <c r="T72" s="42" t="e" cm="1">
        <f t="array" ref="T72">_xlfn.LET(_xlpm.canal,INDEX($E$2:$P$2,COLUMN()-COLUMN($Q$2)+1),_xlpm.pos,SUMPRODUCT((Produção!$B$2:$B$109=$A72)*(Produção!$F$2:$F$109=_xlpm.canal)*ROW(Produção!$I$2:$I$109))-1,IF(_xlpm.pos&lt;1,"-------",IF(INDEX(Produção!$I$2:$I$109,_xlpm.pos)="","-------",INDEX(Produção!$I$2:$I$109,_xlpm.pos))))</f>
        <v>#REF!</v>
      </c>
      <c r="U72" s="42" t="e" cm="1">
        <f t="array" ref="U72">_xlfn.LET(_xlpm.canal,INDEX($E$2:$P$2,COLUMN()-COLUMN($Q$2)+1),_xlpm.pos,SUMPRODUCT((Produção!$B$2:$B$109=$A72)*(Produção!$F$2:$F$109=_xlpm.canal)*ROW(Produção!$I$2:$I$109))-1,IF(_xlpm.pos&lt;1,"-------",IF(INDEX(Produção!$I$2:$I$109,_xlpm.pos)="","-------",INDEX(Produção!$I$2:$I$109,_xlpm.pos))))</f>
        <v>#REF!</v>
      </c>
      <c r="V72" s="42" t="e" cm="1">
        <f t="array" ref="V72">_xlfn.LET(_xlpm.canal,INDEX($E$2:$P$2,COLUMN()-COLUMN($Q$2)+1),_xlpm.pos,SUMPRODUCT((Produção!$B$2:$B$109=$A72)*(Produção!$F$2:$F$109=_xlpm.canal)*ROW(Produção!$I$2:$I$109))-1,IF(_xlpm.pos&lt;1,"-------",IF(INDEX(Produção!$I$2:$I$109,_xlpm.pos)="","-------",INDEX(Produção!$I$2:$I$109,_xlpm.pos))))</f>
        <v>#REF!</v>
      </c>
      <c r="W72" s="42" t="e" cm="1">
        <f t="array" ref="W72">_xlfn.LET(_xlpm.canal,INDEX($E$2:$P$2,COLUMN()-COLUMN($Q$2)+1),_xlpm.pos,SUMPRODUCT((Produção!$B$2:$B$109=$A72)*(Produção!$F$2:$F$109=_xlpm.canal)*ROW(Produção!$I$2:$I$109))-1,IF(_xlpm.pos&lt;1,"-------",IF(INDEX(Produção!$I$2:$I$109,_xlpm.pos)="","-------",INDEX(Produção!$I$2:$I$109,_xlpm.pos))))</f>
        <v>#REF!</v>
      </c>
      <c r="X72" s="42" t="e" cm="1">
        <f t="array" ref="X72">_xlfn.LET(_xlpm.canal,INDEX($E$2:$P$2,COLUMN()-COLUMN($Q$2)+1),_xlpm.pos,SUMPRODUCT((Produção!$B$2:$B$109=$A72)*(Produção!$F$2:$F$109=_xlpm.canal)*ROW(Produção!$I$2:$I$109))-1,IF(_xlpm.pos&lt;1,"-------",IF(INDEX(Produção!$I$2:$I$109,_xlpm.pos)="","-------",INDEX(Produção!$I$2:$I$109,_xlpm.pos))))</f>
        <v>#REF!</v>
      </c>
      <c r="Y72" s="42" t="e" cm="1">
        <f t="array" ref="Y72">_xlfn.LET(_xlpm.canal,INDEX($E$2:$P$2,COLUMN()-COLUMN($Q$2)+1),_xlpm.pos,SUMPRODUCT((Produção!$B$2:$B$109=$A72)*(Produção!$F$2:$F$109=_xlpm.canal)*ROW(Produção!$I$2:$I$109))-1,IF(_xlpm.pos&lt;1,"-------",IF(INDEX(Produção!$I$2:$I$109,_xlpm.pos)="","-------",INDEX(Produção!$I$2:$I$109,_xlpm.pos))))</f>
        <v>#REF!</v>
      </c>
      <c r="Z72" s="42" t="e" cm="1">
        <f t="array" ref="Z72">_xlfn.LET(_xlpm.canal,INDEX($E$2:$P$2,COLUMN()-COLUMN($Q$2)+1),_xlpm.pos,SUMPRODUCT((Produção!$B$2:$B$109=$A72)*(Produção!$F$2:$F$109=_xlpm.canal)*ROW(Produção!$I$2:$I$109))-1,IF(_xlpm.pos&lt;1,"-------",IF(INDEX(Produção!$I$2:$I$109,_xlpm.pos)="","-------",INDEX(Produção!$I$2:$I$109,_xlpm.pos))))</f>
        <v>#REF!</v>
      </c>
      <c r="AA72" s="42" t="e" cm="1">
        <f t="array" ref="AA72">_xlfn.LET(_xlpm.canal,INDEX($E$2:$P$2,COLUMN()-COLUMN($Q$2)+1),_xlpm.pos,SUMPRODUCT((Produção!$B$2:$B$109=$A72)*(Produção!$F$2:$F$109=_xlpm.canal)*ROW(Produção!$I$2:$I$109))-1,IF(_xlpm.pos&lt;1,"-------",IF(INDEX(Produção!$I$2:$I$109,_xlpm.pos)="","-------",INDEX(Produção!$I$2:$I$109,_xlpm.pos))))</f>
        <v>#REF!</v>
      </c>
      <c r="AB72" s="42" t="e" cm="1">
        <f t="array" ref="AB72">_xlfn.LET(_xlpm.canal,INDEX($E$2:$P$2,COLUMN()-COLUMN($Q$2)+1),_xlpm.pos,SUMPRODUCT((Produção!$B$2:$B$109=$A72)*(Produção!$F$2:$F$109=_xlpm.canal)*ROW(Produção!$I$2:$I$109))-1,IF(_xlpm.pos&lt;1,"-------",IF(INDEX(Produção!$I$2:$I$109,_xlpm.pos)="","-------",INDEX(Produção!$I$2:$I$109,_xlpm.pos))))</f>
        <v>#REF!</v>
      </c>
      <c r="AD72" s="34" t="e" cm="1">
        <f t="array" ref="AD72">SUMPRODUCT(($Q72:$AB72&lt;&gt;"-------")*1)</f>
        <v>#REF!</v>
      </c>
      <c r="AE72" s="34">
        <f>RANK($D72,$D$3:$D$90)+COUNTIF($D$3:$D72,$D72)-1</f>
        <v>70</v>
      </c>
    </row>
    <row r="73" spans="1:31">
      <c r="A73" s="38" t="e" cm="1">
        <f t="array" ref="A73">INDEX(Produção!B$2:B$109,(ROW()-3)*12+1)</f>
        <v>#REF!</v>
      </c>
      <c r="B73" s="39" t="e" cm="1">
        <f t="array" ref="B73">INDEX(Produção!C$2:C$109,(ROW()-3)*12+1)</f>
        <v>#REF!</v>
      </c>
      <c r="C73" s="39" t="e" cm="1">
        <f t="array" ref="C73">INDEX(Produção!D$2:D$109,(ROW()-3)*12+1)</f>
        <v>#REF!</v>
      </c>
      <c r="D73" s="40">
        <f t="shared" si="1"/>
        <v>0</v>
      </c>
      <c r="E73" s="41">
        <f>SUMIFS(Produção!$G$2:$G$109,Produção!$B$2:$B$109,$A73,Produção!$F$2:$F$109,E$2)</f>
        <v>0</v>
      </c>
      <c r="F73" s="41">
        <f>SUMIFS(Produção!$G$2:$G$109,Produção!$B$2:$B$109,$A73,Produção!$F$2:$F$109,F$2)</f>
        <v>0</v>
      </c>
      <c r="G73" s="41">
        <f>SUMIFS(Produção!$G$2:$G$109,Produção!$B$2:$B$109,$A73,Produção!$F$2:$F$109,G$2)</f>
        <v>0</v>
      </c>
      <c r="H73" s="41">
        <f>SUMIFS(Produção!$G$2:$G$109,Produção!$B$2:$B$109,$A73,Produção!$F$2:$F$109,H$2)</f>
        <v>0</v>
      </c>
      <c r="I73" s="41">
        <f>SUMIFS(Produção!$G$2:$G$109,Produção!$B$2:$B$109,$A73,Produção!$F$2:$F$109,I$2)</f>
        <v>0</v>
      </c>
      <c r="J73" s="41">
        <f>SUMIFS(Produção!$G$2:$G$109,Produção!$B$2:$B$109,$A73,Produção!$F$2:$F$109,J$2)</f>
        <v>0</v>
      </c>
      <c r="K73" s="41">
        <f>SUMIFS(Produção!$G$2:$G$109,Produção!$B$2:$B$109,$A73,Produção!$F$2:$F$109,K$2)</f>
        <v>0</v>
      </c>
      <c r="L73" s="41">
        <f>SUMIFS(Produção!$G$2:$G$109,Produção!$B$2:$B$109,$A73,Produção!$F$2:$F$109,L$2)</f>
        <v>0</v>
      </c>
      <c r="M73" s="41">
        <f>SUMIFS(Produção!$G$2:$G$109,Produção!$B$2:$B$109,$A73,Produção!$F$2:$F$109,M$2)</f>
        <v>0</v>
      </c>
      <c r="N73" s="41">
        <f>SUMIFS(Produção!$G$2:$G$109,Produção!$B$2:$B$109,$A73,Produção!$F$2:$F$109,N$2)</f>
        <v>0</v>
      </c>
      <c r="O73" s="41">
        <f>SUMIFS(Produção!$G$2:$G$109,Produção!$B$2:$B$109,$A73,Produção!$F$2:$F$109,O$2)</f>
        <v>0</v>
      </c>
      <c r="P73" s="41">
        <f>SUMIFS(Produção!$G$2:$G$109,Produção!$B$2:$B$109,$A73,Produção!$F$2:$F$109,P$2)</f>
        <v>0</v>
      </c>
      <c r="Q73" s="42" t="e" cm="1">
        <f t="array" ref="Q73">_xlfn.LET(_xlpm.canal,INDEX($E$2:$P$2,COLUMN()-COLUMN($Q$2)+1),_xlpm.pos,SUMPRODUCT((Produção!$B$2:$B$109=$A73)*(Produção!$F$2:$F$109=_xlpm.canal)*ROW(Produção!$I$2:$I$109))-1,IF(_xlpm.pos&lt;1,"-------",IF(INDEX(Produção!$I$2:$I$109,_xlpm.pos)="","-------",INDEX(Produção!$I$2:$I$109,_xlpm.pos))))</f>
        <v>#REF!</v>
      </c>
      <c r="R73" s="42" t="e" cm="1">
        <f t="array" ref="R73">_xlfn.LET(_xlpm.canal,INDEX($E$2:$P$2,COLUMN()-COLUMN($Q$2)+1),_xlpm.pos,SUMPRODUCT((Produção!$B$2:$B$109=$A73)*(Produção!$F$2:$F$109=_xlpm.canal)*ROW(Produção!$I$2:$I$109))-1,IF(_xlpm.pos&lt;1,"-------",IF(INDEX(Produção!$I$2:$I$109,_xlpm.pos)="","-------",INDEX(Produção!$I$2:$I$109,_xlpm.pos))))</f>
        <v>#REF!</v>
      </c>
      <c r="S73" s="42" t="e" cm="1">
        <f t="array" ref="S73">_xlfn.LET(_xlpm.canal,INDEX($E$2:$P$2,COLUMN()-COLUMN($Q$2)+1),_xlpm.pos,SUMPRODUCT((Produção!$B$2:$B$109=$A73)*(Produção!$F$2:$F$109=_xlpm.canal)*ROW(Produção!$I$2:$I$109))-1,IF(_xlpm.pos&lt;1,"-------",IF(INDEX(Produção!$I$2:$I$109,_xlpm.pos)="","-------",INDEX(Produção!$I$2:$I$109,_xlpm.pos))))</f>
        <v>#REF!</v>
      </c>
      <c r="T73" s="42" t="e" cm="1">
        <f t="array" ref="T73">_xlfn.LET(_xlpm.canal,INDEX($E$2:$P$2,COLUMN()-COLUMN($Q$2)+1),_xlpm.pos,SUMPRODUCT((Produção!$B$2:$B$109=$A73)*(Produção!$F$2:$F$109=_xlpm.canal)*ROW(Produção!$I$2:$I$109))-1,IF(_xlpm.pos&lt;1,"-------",IF(INDEX(Produção!$I$2:$I$109,_xlpm.pos)="","-------",INDEX(Produção!$I$2:$I$109,_xlpm.pos))))</f>
        <v>#REF!</v>
      </c>
      <c r="U73" s="42" t="e" cm="1">
        <f t="array" ref="U73">_xlfn.LET(_xlpm.canal,INDEX($E$2:$P$2,COLUMN()-COLUMN($Q$2)+1),_xlpm.pos,SUMPRODUCT((Produção!$B$2:$B$109=$A73)*(Produção!$F$2:$F$109=_xlpm.canal)*ROW(Produção!$I$2:$I$109))-1,IF(_xlpm.pos&lt;1,"-------",IF(INDEX(Produção!$I$2:$I$109,_xlpm.pos)="","-------",INDEX(Produção!$I$2:$I$109,_xlpm.pos))))</f>
        <v>#REF!</v>
      </c>
      <c r="V73" s="42" t="e" cm="1">
        <f t="array" ref="V73">_xlfn.LET(_xlpm.canal,INDEX($E$2:$P$2,COLUMN()-COLUMN($Q$2)+1),_xlpm.pos,SUMPRODUCT((Produção!$B$2:$B$109=$A73)*(Produção!$F$2:$F$109=_xlpm.canal)*ROW(Produção!$I$2:$I$109))-1,IF(_xlpm.pos&lt;1,"-------",IF(INDEX(Produção!$I$2:$I$109,_xlpm.pos)="","-------",INDEX(Produção!$I$2:$I$109,_xlpm.pos))))</f>
        <v>#REF!</v>
      </c>
      <c r="W73" s="42" t="e" cm="1">
        <f t="array" ref="W73">_xlfn.LET(_xlpm.canal,INDEX($E$2:$P$2,COLUMN()-COLUMN($Q$2)+1),_xlpm.pos,SUMPRODUCT((Produção!$B$2:$B$109=$A73)*(Produção!$F$2:$F$109=_xlpm.canal)*ROW(Produção!$I$2:$I$109))-1,IF(_xlpm.pos&lt;1,"-------",IF(INDEX(Produção!$I$2:$I$109,_xlpm.pos)="","-------",INDEX(Produção!$I$2:$I$109,_xlpm.pos))))</f>
        <v>#REF!</v>
      </c>
      <c r="X73" s="42" t="e" cm="1">
        <f t="array" ref="X73">_xlfn.LET(_xlpm.canal,INDEX($E$2:$P$2,COLUMN()-COLUMN($Q$2)+1),_xlpm.pos,SUMPRODUCT((Produção!$B$2:$B$109=$A73)*(Produção!$F$2:$F$109=_xlpm.canal)*ROW(Produção!$I$2:$I$109))-1,IF(_xlpm.pos&lt;1,"-------",IF(INDEX(Produção!$I$2:$I$109,_xlpm.pos)="","-------",INDEX(Produção!$I$2:$I$109,_xlpm.pos))))</f>
        <v>#REF!</v>
      </c>
      <c r="Y73" s="42" t="e" cm="1">
        <f t="array" ref="Y73">_xlfn.LET(_xlpm.canal,INDEX($E$2:$P$2,COLUMN()-COLUMN($Q$2)+1),_xlpm.pos,SUMPRODUCT((Produção!$B$2:$B$109=$A73)*(Produção!$F$2:$F$109=_xlpm.canal)*ROW(Produção!$I$2:$I$109))-1,IF(_xlpm.pos&lt;1,"-------",IF(INDEX(Produção!$I$2:$I$109,_xlpm.pos)="","-------",INDEX(Produção!$I$2:$I$109,_xlpm.pos))))</f>
        <v>#REF!</v>
      </c>
      <c r="Z73" s="42" t="e" cm="1">
        <f t="array" ref="Z73">_xlfn.LET(_xlpm.canal,INDEX($E$2:$P$2,COLUMN()-COLUMN($Q$2)+1),_xlpm.pos,SUMPRODUCT((Produção!$B$2:$B$109=$A73)*(Produção!$F$2:$F$109=_xlpm.canal)*ROW(Produção!$I$2:$I$109))-1,IF(_xlpm.pos&lt;1,"-------",IF(INDEX(Produção!$I$2:$I$109,_xlpm.pos)="","-------",INDEX(Produção!$I$2:$I$109,_xlpm.pos))))</f>
        <v>#REF!</v>
      </c>
      <c r="AA73" s="42" t="e" cm="1">
        <f t="array" ref="AA73">_xlfn.LET(_xlpm.canal,INDEX($E$2:$P$2,COLUMN()-COLUMN($Q$2)+1),_xlpm.pos,SUMPRODUCT((Produção!$B$2:$B$109=$A73)*(Produção!$F$2:$F$109=_xlpm.canal)*ROW(Produção!$I$2:$I$109))-1,IF(_xlpm.pos&lt;1,"-------",IF(INDEX(Produção!$I$2:$I$109,_xlpm.pos)="","-------",INDEX(Produção!$I$2:$I$109,_xlpm.pos))))</f>
        <v>#REF!</v>
      </c>
      <c r="AB73" s="42" t="e" cm="1">
        <f t="array" ref="AB73">_xlfn.LET(_xlpm.canal,INDEX($E$2:$P$2,COLUMN()-COLUMN($Q$2)+1),_xlpm.pos,SUMPRODUCT((Produção!$B$2:$B$109=$A73)*(Produção!$F$2:$F$109=_xlpm.canal)*ROW(Produção!$I$2:$I$109))-1,IF(_xlpm.pos&lt;1,"-------",IF(INDEX(Produção!$I$2:$I$109,_xlpm.pos)="","-------",INDEX(Produção!$I$2:$I$109,_xlpm.pos))))</f>
        <v>#REF!</v>
      </c>
      <c r="AD73" s="34" t="e" cm="1">
        <f t="array" ref="AD73">SUMPRODUCT(($Q73:$AB73&lt;&gt;"-------")*1)</f>
        <v>#REF!</v>
      </c>
      <c r="AE73" s="34">
        <f>RANK($D73,$D$3:$D$90)+COUNTIF($D$3:$D73,$D73)-1</f>
        <v>71</v>
      </c>
    </row>
    <row r="74" spans="1:31">
      <c r="A74" s="38" t="e" cm="1">
        <f t="array" ref="A74">INDEX(Produção!B$2:B$109,(ROW()-3)*12+1)</f>
        <v>#REF!</v>
      </c>
      <c r="B74" s="39" t="e" cm="1">
        <f t="array" ref="B74">INDEX(Produção!C$2:C$109,(ROW()-3)*12+1)</f>
        <v>#REF!</v>
      </c>
      <c r="C74" s="39" t="e" cm="1">
        <f t="array" ref="C74">INDEX(Produção!D$2:D$109,(ROW()-3)*12+1)</f>
        <v>#REF!</v>
      </c>
      <c r="D74" s="40">
        <f t="shared" si="1"/>
        <v>0</v>
      </c>
      <c r="E74" s="41">
        <f>SUMIFS(Produção!$G$2:$G$109,Produção!$B$2:$B$109,$A74,Produção!$F$2:$F$109,E$2)</f>
        <v>0</v>
      </c>
      <c r="F74" s="41">
        <f>SUMIFS(Produção!$G$2:$G$109,Produção!$B$2:$B$109,$A74,Produção!$F$2:$F$109,F$2)</f>
        <v>0</v>
      </c>
      <c r="G74" s="41">
        <f>SUMIFS(Produção!$G$2:$G$109,Produção!$B$2:$B$109,$A74,Produção!$F$2:$F$109,G$2)</f>
        <v>0</v>
      </c>
      <c r="H74" s="41">
        <f>SUMIFS(Produção!$G$2:$G$109,Produção!$B$2:$B$109,$A74,Produção!$F$2:$F$109,H$2)</f>
        <v>0</v>
      </c>
      <c r="I74" s="41">
        <f>SUMIFS(Produção!$G$2:$G$109,Produção!$B$2:$B$109,$A74,Produção!$F$2:$F$109,I$2)</f>
        <v>0</v>
      </c>
      <c r="J74" s="41">
        <f>SUMIFS(Produção!$G$2:$G$109,Produção!$B$2:$B$109,$A74,Produção!$F$2:$F$109,J$2)</f>
        <v>0</v>
      </c>
      <c r="K74" s="41">
        <f>SUMIFS(Produção!$G$2:$G$109,Produção!$B$2:$B$109,$A74,Produção!$F$2:$F$109,K$2)</f>
        <v>0</v>
      </c>
      <c r="L74" s="41">
        <f>SUMIFS(Produção!$G$2:$G$109,Produção!$B$2:$B$109,$A74,Produção!$F$2:$F$109,L$2)</f>
        <v>0</v>
      </c>
      <c r="M74" s="41">
        <f>SUMIFS(Produção!$G$2:$G$109,Produção!$B$2:$B$109,$A74,Produção!$F$2:$F$109,M$2)</f>
        <v>0</v>
      </c>
      <c r="N74" s="41">
        <f>SUMIFS(Produção!$G$2:$G$109,Produção!$B$2:$B$109,$A74,Produção!$F$2:$F$109,N$2)</f>
        <v>0</v>
      </c>
      <c r="O74" s="41">
        <f>SUMIFS(Produção!$G$2:$G$109,Produção!$B$2:$B$109,$A74,Produção!$F$2:$F$109,O$2)</f>
        <v>0</v>
      </c>
      <c r="P74" s="41">
        <f>SUMIFS(Produção!$G$2:$G$109,Produção!$B$2:$B$109,$A74,Produção!$F$2:$F$109,P$2)</f>
        <v>0</v>
      </c>
      <c r="Q74" s="42" t="e" cm="1">
        <f t="array" ref="Q74">_xlfn.LET(_xlpm.canal,INDEX($E$2:$P$2,COLUMN()-COLUMN($Q$2)+1),_xlpm.pos,SUMPRODUCT((Produção!$B$2:$B$109=$A74)*(Produção!$F$2:$F$109=_xlpm.canal)*ROW(Produção!$I$2:$I$109))-1,IF(_xlpm.pos&lt;1,"-------",IF(INDEX(Produção!$I$2:$I$109,_xlpm.pos)="","-------",INDEX(Produção!$I$2:$I$109,_xlpm.pos))))</f>
        <v>#REF!</v>
      </c>
      <c r="R74" s="42" t="e" cm="1">
        <f t="array" ref="R74">_xlfn.LET(_xlpm.canal,INDEX($E$2:$P$2,COLUMN()-COLUMN($Q$2)+1),_xlpm.pos,SUMPRODUCT((Produção!$B$2:$B$109=$A74)*(Produção!$F$2:$F$109=_xlpm.canal)*ROW(Produção!$I$2:$I$109))-1,IF(_xlpm.pos&lt;1,"-------",IF(INDEX(Produção!$I$2:$I$109,_xlpm.pos)="","-------",INDEX(Produção!$I$2:$I$109,_xlpm.pos))))</f>
        <v>#REF!</v>
      </c>
      <c r="S74" s="42" t="e" cm="1">
        <f t="array" ref="S74">_xlfn.LET(_xlpm.canal,INDEX($E$2:$P$2,COLUMN()-COLUMN($Q$2)+1),_xlpm.pos,SUMPRODUCT((Produção!$B$2:$B$109=$A74)*(Produção!$F$2:$F$109=_xlpm.canal)*ROW(Produção!$I$2:$I$109))-1,IF(_xlpm.pos&lt;1,"-------",IF(INDEX(Produção!$I$2:$I$109,_xlpm.pos)="","-------",INDEX(Produção!$I$2:$I$109,_xlpm.pos))))</f>
        <v>#REF!</v>
      </c>
      <c r="T74" s="42" t="e" cm="1">
        <f t="array" ref="T74">_xlfn.LET(_xlpm.canal,INDEX($E$2:$P$2,COLUMN()-COLUMN($Q$2)+1),_xlpm.pos,SUMPRODUCT((Produção!$B$2:$B$109=$A74)*(Produção!$F$2:$F$109=_xlpm.canal)*ROW(Produção!$I$2:$I$109))-1,IF(_xlpm.pos&lt;1,"-------",IF(INDEX(Produção!$I$2:$I$109,_xlpm.pos)="","-------",INDEX(Produção!$I$2:$I$109,_xlpm.pos))))</f>
        <v>#REF!</v>
      </c>
      <c r="U74" s="42" t="e" cm="1">
        <f t="array" ref="U74">_xlfn.LET(_xlpm.canal,INDEX($E$2:$P$2,COLUMN()-COLUMN($Q$2)+1),_xlpm.pos,SUMPRODUCT((Produção!$B$2:$B$109=$A74)*(Produção!$F$2:$F$109=_xlpm.canal)*ROW(Produção!$I$2:$I$109))-1,IF(_xlpm.pos&lt;1,"-------",IF(INDEX(Produção!$I$2:$I$109,_xlpm.pos)="","-------",INDEX(Produção!$I$2:$I$109,_xlpm.pos))))</f>
        <v>#REF!</v>
      </c>
      <c r="V74" s="42" t="e" cm="1">
        <f t="array" ref="V74">_xlfn.LET(_xlpm.canal,INDEX($E$2:$P$2,COLUMN()-COLUMN($Q$2)+1),_xlpm.pos,SUMPRODUCT((Produção!$B$2:$B$109=$A74)*(Produção!$F$2:$F$109=_xlpm.canal)*ROW(Produção!$I$2:$I$109))-1,IF(_xlpm.pos&lt;1,"-------",IF(INDEX(Produção!$I$2:$I$109,_xlpm.pos)="","-------",INDEX(Produção!$I$2:$I$109,_xlpm.pos))))</f>
        <v>#REF!</v>
      </c>
      <c r="W74" s="42" t="e" cm="1">
        <f t="array" ref="W74">_xlfn.LET(_xlpm.canal,INDEX($E$2:$P$2,COLUMN()-COLUMN($Q$2)+1),_xlpm.pos,SUMPRODUCT((Produção!$B$2:$B$109=$A74)*(Produção!$F$2:$F$109=_xlpm.canal)*ROW(Produção!$I$2:$I$109))-1,IF(_xlpm.pos&lt;1,"-------",IF(INDEX(Produção!$I$2:$I$109,_xlpm.pos)="","-------",INDEX(Produção!$I$2:$I$109,_xlpm.pos))))</f>
        <v>#REF!</v>
      </c>
      <c r="X74" s="42" t="e" cm="1">
        <f t="array" ref="X74">_xlfn.LET(_xlpm.canal,INDEX($E$2:$P$2,COLUMN()-COLUMN($Q$2)+1),_xlpm.pos,SUMPRODUCT((Produção!$B$2:$B$109=$A74)*(Produção!$F$2:$F$109=_xlpm.canal)*ROW(Produção!$I$2:$I$109))-1,IF(_xlpm.pos&lt;1,"-------",IF(INDEX(Produção!$I$2:$I$109,_xlpm.pos)="","-------",INDEX(Produção!$I$2:$I$109,_xlpm.pos))))</f>
        <v>#REF!</v>
      </c>
      <c r="Y74" s="42" t="e" cm="1">
        <f t="array" ref="Y74">_xlfn.LET(_xlpm.canal,INDEX($E$2:$P$2,COLUMN()-COLUMN($Q$2)+1),_xlpm.pos,SUMPRODUCT((Produção!$B$2:$B$109=$A74)*(Produção!$F$2:$F$109=_xlpm.canal)*ROW(Produção!$I$2:$I$109))-1,IF(_xlpm.pos&lt;1,"-------",IF(INDEX(Produção!$I$2:$I$109,_xlpm.pos)="","-------",INDEX(Produção!$I$2:$I$109,_xlpm.pos))))</f>
        <v>#REF!</v>
      </c>
      <c r="Z74" s="42" t="e" cm="1">
        <f t="array" ref="Z74">_xlfn.LET(_xlpm.canal,INDEX($E$2:$P$2,COLUMN()-COLUMN($Q$2)+1),_xlpm.pos,SUMPRODUCT((Produção!$B$2:$B$109=$A74)*(Produção!$F$2:$F$109=_xlpm.canal)*ROW(Produção!$I$2:$I$109))-1,IF(_xlpm.pos&lt;1,"-------",IF(INDEX(Produção!$I$2:$I$109,_xlpm.pos)="","-------",INDEX(Produção!$I$2:$I$109,_xlpm.pos))))</f>
        <v>#REF!</v>
      </c>
      <c r="AA74" s="42" t="e" cm="1">
        <f t="array" ref="AA74">_xlfn.LET(_xlpm.canal,INDEX($E$2:$P$2,COLUMN()-COLUMN($Q$2)+1),_xlpm.pos,SUMPRODUCT((Produção!$B$2:$B$109=$A74)*(Produção!$F$2:$F$109=_xlpm.canal)*ROW(Produção!$I$2:$I$109))-1,IF(_xlpm.pos&lt;1,"-------",IF(INDEX(Produção!$I$2:$I$109,_xlpm.pos)="","-------",INDEX(Produção!$I$2:$I$109,_xlpm.pos))))</f>
        <v>#REF!</v>
      </c>
      <c r="AB74" s="42" t="e" cm="1">
        <f t="array" ref="AB74">_xlfn.LET(_xlpm.canal,INDEX($E$2:$P$2,COLUMN()-COLUMN($Q$2)+1),_xlpm.pos,SUMPRODUCT((Produção!$B$2:$B$109=$A74)*(Produção!$F$2:$F$109=_xlpm.canal)*ROW(Produção!$I$2:$I$109))-1,IF(_xlpm.pos&lt;1,"-------",IF(INDEX(Produção!$I$2:$I$109,_xlpm.pos)="","-------",INDEX(Produção!$I$2:$I$109,_xlpm.pos))))</f>
        <v>#REF!</v>
      </c>
      <c r="AD74" s="34" t="e" cm="1">
        <f t="array" ref="AD74">SUMPRODUCT(($Q74:$AB74&lt;&gt;"-------")*1)</f>
        <v>#REF!</v>
      </c>
      <c r="AE74" s="34">
        <f>RANK($D74,$D$3:$D$90)+COUNTIF($D$3:$D74,$D74)-1</f>
        <v>72</v>
      </c>
    </row>
    <row r="75" spans="1:31">
      <c r="A75" s="38" t="e" cm="1">
        <f t="array" ref="A75">INDEX(Produção!B$2:B$109,(ROW()-3)*12+1)</f>
        <v>#REF!</v>
      </c>
      <c r="B75" s="39" t="e" cm="1">
        <f t="array" ref="B75">INDEX(Produção!C$2:C$109,(ROW()-3)*12+1)</f>
        <v>#REF!</v>
      </c>
      <c r="C75" s="39" t="e" cm="1">
        <f t="array" ref="C75">INDEX(Produção!D$2:D$109,(ROW()-3)*12+1)</f>
        <v>#REF!</v>
      </c>
      <c r="D75" s="40">
        <f t="shared" si="1"/>
        <v>0</v>
      </c>
      <c r="E75" s="41">
        <f>SUMIFS(Produção!$G$2:$G$109,Produção!$B$2:$B$109,$A75,Produção!$F$2:$F$109,E$2)</f>
        <v>0</v>
      </c>
      <c r="F75" s="41">
        <f>SUMIFS(Produção!$G$2:$G$109,Produção!$B$2:$B$109,$A75,Produção!$F$2:$F$109,F$2)</f>
        <v>0</v>
      </c>
      <c r="G75" s="41">
        <f>SUMIFS(Produção!$G$2:$G$109,Produção!$B$2:$B$109,$A75,Produção!$F$2:$F$109,G$2)</f>
        <v>0</v>
      </c>
      <c r="H75" s="41">
        <f>SUMIFS(Produção!$G$2:$G$109,Produção!$B$2:$B$109,$A75,Produção!$F$2:$F$109,H$2)</f>
        <v>0</v>
      </c>
      <c r="I75" s="41">
        <f>SUMIFS(Produção!$G$2:$G$109,Produção!$B$2:$B$109,$A75,Produção!$F$2:$F$109,I$2)</f>
        <v>0</v>
      </c>
      <c r="J75" s="41">
        <f>SUMIFS(Produção!$G$2:$G$109,Produção!$B$2:$B$109,$A75,Produção!$F$2:$F$109,J$2)</f>
        <v>0</v>
      </c>
      <c r="K75" s="41">
        <f>SUMIFS(Produção!$G$2:$G$109,Produção!$B$2:$B$109,$A75,Produção!$F$2:$F$109,K$2)</f>
        <v>0</v>
      </c>
      <c r="L75" s="41">
        <f>SUMIFS(Produção!$G$2:$G$109,Produção!$B$2:$B$109,$A75,Produção!$F$2:$F$109,L$2)</f>
        <v>0</v>
      </c>
      <c r="M75" s="41">
        <f>SUMIFS(Produção!$G$2:$G$109,Produção!$B$2:$B$109,$A75,Produção!$F$2:$F$109,M$2)</f>
        <v>0</v>
      </c>
      <c r="N75" s="41">
        <f>SUMIFS(Produção!$G$2:$G$109,Produção!$B$2:$B$109,$A75,Produção!$F$2:$F$109,N$2)</f>
        <v>0</v>
      </c>
      <c r="O75" s="41">
        <f>SUMIFS(Produção!$G$2:$G$109,Produção!$B$2:$B$109,$A75,Produção!$F$2:$F$109,O$2)</f>
        <v>0</v>
      </c>
      <c r="P75" s="41">
        <f>SUMIFS(Produção!$G$2:$G$109,Produção!$B$2:$B$109,$A75,Produção!$F$2:$F$109,P$2)</f>
        <v>0</v>
      </c>
      <c r="Q75" s="42" t="e" cm="1">
        <f t="array" ref="Q75">_xlfn.LET(_xlpm.canal,INDEX($E$2:$P$2,COLUMN()-COLUMN($Q$2)+1),_xlpm.pos,SUMPRODUCT((Produção!$B$2:$B$109=$A75)*(Produção!$F$2:$F$109=_xlpm.canal)*ROW(Produção!$I$2:$I$109))-1,IF(_xlpm.pos&lt;1,"-------",IF(INDEX(Produção!$I$2:$I$109,_xlpm.pos)="","-------",INDEX(Produção!$I$2:$I$109,_xlpm.pos))))</f>
        <v>#REF!</v>
      </c>
      <c r="R75" s="42" t="e" cm="1">
        <f t="array" ref="R75">_xlfn.LET(_xlpm.canal,INDEX($E$2:$P$2,COLUMN()-COLUMN($Q$2)+1),_xlpm.pos,SUMPRODUCT((Produção!$B$2:$B$109=$A75)*(Produção!$F$2:$F$109=_xlpm.canal)*ROW(Produção!$I$2:$I$109))-1,IF(_xlpm.pos&lt;1,"-------",IF(INDEX(Produção!$I$2:$I$109,_xlpm.pos)="","-------",INDEX(Produção!$I$2:$I$109,_xlpm.pos))))</f>
        <v>#REF!</v>
      </c>
      <c r="S75" s="42" t="e" cm="1">
        <f t="array" ref="S75">_xlfn.LET(_xlpm.canal,INDEX($E$2:$P$2,COLUMN()-COLUMN($Q$2)+1),_xlpm.pos,SUMPRODUCT((Produção!$B$2:$B$109=$A75)*(Produção!$F$2:$F$109=_xlpm.canal)*ROW(Produção!$I$2:$I$109))-1,IF(_xlpm.pos&lt;1,"-------",IF(INDEX(Produção!$I$2:$I$109,_xlpm.pos)="","-------",INDEX(Produção!$I$2:$I$109,_xlpm.pos))))</f>
        <v>#REF!</v>
      </c>
      <c r="T75" s="42" t="e" cm="1">
        <f t="array" ref="T75">_xlfn.LET(_xlpm.canal,INDEX($E$2:$P$2,COLUMN()-COLUMN($Q$2)+1),_xlpm.pos,SUMPRODUCT((Produção!$B$2:$B$109=$A75)*(Produção!$F$2:$F$109=_xlpm.canal)*ROW(Produção!$I$2:$I$109))-1,IF(_xlpm.pos&lt;1,"-------",IF(INDEX(Produção!$I$2:$I$109,_xlpm.pos)="","-------",INDEX(Produção!$I$2:$I$109,_xlpm.pos))))</f>
        <v>#REF!</v>
      </c>
      <c r="U75" s="42" t="e" cm="1">
        <f t="array" ref="U75">_xlfn.LET(_xlpm.canal,INDEX($E$2:$P$2,COLUMN()-COLUMN($Q$2)+1),_xlpm.pos,SUMPRODUCT((Produção!$B$2:$B$109=$A75)*(Produção!$F$2:$F$109=_xlpm.canal)*ROW(Produção!$I$2:$I$109))-1,IF(_xlpm.pos&lt;1,"-------",IF(INDEX(Produção!$I$2:$I$109,_xlpm.pos)="","-------",INDEX(Produção!$I$2:$I$109,_xlpm.pos))))</f>
        <v>#REF!</v>
      </c>
      <c r="V75" s="42" t="e" cm="1">
        <f t="array" ref="V75">_xlfn.LET(_xlpm.canal,INDEX($E$2:$P$2,COLUMN()-COLUMN($Q$2)+1),_xlpm.pos,SUMPRODUCT((Produção!$B$2:$B$109=$A75)*(Produção!$F$2:$F$109=_xlpm.canal)*ROW(Produção!$I$2:$I$109))-1,IF(_xlpm.pos&lt;1,"-------",IF(INDEX(Produção!$I$2:$I$109,_xlpm.pos)="","-------",INDEX(Produção!$I$2:$I$109,_xlpm.pos))))</f>
        <v>#REF!</v>
      </c>
      <c r="W75" s="42" t="e" cm="1">
        <f t="array" ref="W75">_xlfn.LET(_xlpm.canal,INDEX($E$2:$P$2,COLUMN()-COLUMN($Q$2)+1),_xlpm.pos,SUMPRODUCT((Produção!$B$2:$B$109=$A75)*(Produção!$F$2:$F$109=_xlpm.canal)*ROW(Produção!$I$2:$I$109))-1,IF(_xlpm.pos&lt;1,"-------",IF(INDEX(Produção!$I$2:$I$109,_xlpm.pos)="","-------",INDEX(Produção!$I$2:$I$109,_xlpm.pos))))</f>
        <v>#REF!</v>
      </c>
      <c r="X75" s="42" t="e" cm="1">
        <f t="array" ref="X75">_xlfn.LET(_xlpm.canal,INDEX($E$2:$P$2,COLUMN()-COLUMN($Q$2)+1),_xlpm.pos,SUMPRODUCT((Produção!$B$2:$B$109=$A75)*(Produção!$F$2:$F$109=_xlpm.canal)*ROW(Produção!$I$2:$I$109))-1,IF(_xlpm.pos&lt;1,"-------",IF(INDEX(Produção!$I$2:$I$109,_xlpm.pos)="","-------",INDEX(Produção!$I$2:$I$109,_xlpm.pos))))</f>
        <v>#REF!</v>
      </c>
      <c r="Y75" s="42" t="e" cm="1">
        <f t="array" ref="Y75">_xlfn.LET(_xlpm.canal,INDEX($E$2:$P$2,COLUMN()-COLUMN($Q$2)+1),_xlpm.pos,SUMPRODUCT((Produção!$B$2:$B$109=$A75)*(Produção!$F$2:$F$109=_xlpm.canal)*ROW(Produção!$I$2:$I$109))-1,IF(_xlpm.pos&lt;1,"-------",IF(INDEX(Produção!$I$2:$I$109,_xlpm.pos)="","-------",INDEX(Produção!$I$2:$I$109,_xlpm.pos))))</f>
        <v>#REF!</v>
      </c>
      <c r="Z75" s="42" t="e" cm="1">
        <f t="array" ref="Z75">_xlfn.LET(_xlpm.canal,INDEX($E$2:$P$2,COLUMN()-COLUMN($Q$2)+1),_xlpm.pos,SUMPRODUCT((Produção!$B$2:$B$109=$A75)*(Produção!$F$2:$F$109=_xlpm.canal)*ROW(Produção!$I$2:$I$109))-1,IF(_xlpm.pos&lt;1,"-------",IF(INDEX(Produção!$I$2:$I$109,_xlpm.pos)="","-------",INDEX(Produção!$I$2:$I$109,_xlpm.pos))))</f>
        <v>#REF!</v>
      </c>
      <c r="AA75" s="42" t="e" cm="1">
        <f t="array" ref="AA75">_xlfn.LET(_xlpm.canal,INDEX($E$2:$P$2,COLUMN()-COLUMN($Q$2)+1),_xlpm.pos,SUMPRODUCT((Produção!$B$2:$B$109=$A75)*(Produção!$F$2:$F$109=_xlpm.canal)*ROW(Produção!$I$2:$I$109))-1,IF(_xlpm.pos&lt;1,"-------",IF(INDEX(Produção!$I$2:$I$109,_xlpm.pos)="","-------",INDEX(Produção!$I$2:$I$109,_xlpm.pos))))</f>
        <v>#REF!</v>
      </c>
      <c r="AB75" s="42" t="e" cm="1">
        <f t="array" ref="AB75">_xlfn.LET(_xlpm.canal,INDEX($E$2:$P$2,COLUMN()-COLUMN($Q$2)+1),_xlpm.pos,SUMPRODUCT((Produção!$B$2:$B$109=$A75)*(Produção!$F$2:$F$109=_xlpm.canal)*ROW(Produção!$I$2:$I$109))-1,IF(_xlpm.pos&lt;1,"-------",IF(INDEX(Produção!$I$2:$I$109,_xlpm.pos)="","-------",INDEX(Produção!$I$2:$I$109,_xlpm.pos))))</f>
        <v>#REF!</v>
      </c>
      <c r="AD75" s="34" t="e" cm="1">
        <f t="array" ref="AD75">SUMPRODUCT(($Q75:$AB75&lt;&gt;"-------")*1)</f>
        <v>#REF!</v>
      </c>
      <c r="AE75" s="34">
        <f>RANK($D75,$D$3:$D$90)+COUNTIF($D$3:$D75,$D75)-1</f>
        <v>73</v>
      </c>
    </row>
    <row r="76" spans="1:31">
      <c r="A76" s="38" t="e" cm="1">
        <f t="array" ref="A76">INDEX(Produção!B$2:B$109,(ROW()-3)*12+1)</f>
        <v>#REF!</v>
      </c>
      <c r="B76" s="39" t="e" cm="1">
        <f t="array" ref="B76">INDEX(Produção!C$2:C$109,(ROW()-3)*12+1)</f>
        <v>#REF!</v>
      </c>
      <c r="C76" s="39" t="e" cm="1">
        <f t="array" ref="C76">INDEX(Produção!D$2:D$109,(ROW()-3)*12+1)</f>
        <v>#REF!</v>
      </c>
      <c r="D76" s="40">
        <f t="shared" si="1"/>
        <v>0</v>
      </c>
      <c r="E76" s="41">
        <f>SUMIFS(Produção!$G$2:$G$109,Produção!$B$2:$B$109,$A76,Produção!$F$2:$F$109,E$2)</f>
        <v>0</v>
      </c>
      <c r="F76" s="41">
        <f>SUMIFS(Produção!$G$2:$G$109,Produção!$B$2:$B$109,$A76,Produção!$F$2:$F$109,F$2)</f>
        <v>0</v>
      </c>
      <c r="G76" s="41">
        <f>SUMIFS(Produção!$G$2:$G$109,Produção!$B$2:$B$109,$A76,Produção!$F$2:$F$109,G$2)</f>
        <v>0</v>
      </c>
      <c r="H76" s="41">
        <f>SUMIFS(Produção!$G$2:$G$109,Produção!$B$2:$B$109,$A76,Produção!$F$2:$F$109,H$2)</f>
        <v>0</v>
      </c>
      <c r="I76" s="41">
        <f>SUMIFS(Produção!$G$2:$G$109,Produção!$B$2:$B$109,$A76,Produção!$F$2:$F$109,I$2)</f>
        <v>0</v>
      </c>
      <c r="J76" s="41">
        <f>SUMIFS(Produção!$G$2:$G$109,Produção!$B$2:$B$109,$A76,Produção!$F$2:$F$109,J$2)</f>
        <v>0</v>
      </c>
      <c r="K76" s="41">
        <f>SUMIFS(Produção!$G$2:$G$109,Produção!$B$2:$B$109,$A76,Produção!$F$2:$F$109,K$2)</f>
        <v>0</v>
      </c>
      <c r="L76" s="41">
        <f>SUMIFS(Produção!$G$2:$G$109,Produção!$B$2:$B$109,$A76,Produção!$F$2:$F$109,L$2)</f>
        <v>0</v>
      </c>
      <c r="M76" s="41">
        <f>SUMIFS(Produção!$G$2:$G$109,Produção!$B$2:$B$109,$A76,Produção!$F$2:$F$109,M$2)</f>
        <v>0</v>
      </c>
      <c r="N76" s="41">
        <f>SUMIFS(Produção!$G$2:$G$109,Produção!$B$2:$B$109,$A76,Produção!$F$2:$F$109,N$2)</f>
        <v>0</v>
      </c>
      <c r="O76" s="41">
        <f>SUMIFS(Produção!$G$2:$G$109,Produção!$B$2:$B$109,$A76,Produção!$F$2:$F$109,O$2)</f>
        <v>0</v>
      </c>
      <c r="P76" s="41">
        <f>SUMIFS(Produção!$G$2:$G$109,Produção!$B$2:$B$109,$A76,Produção!$F$2:$F$109,P$2)</f>
        <v>0</v>
      </c>
      <c r="Q76" s="42" t="e" cm="1">
        <f t="array" ref="Q76">_xlfn.LET(_xlpm.canal,INDEX($E$2:$P$2,COLUMN()-COLUMN($Q$2)+1),_xlpm.pos,SUMPRODUCT((Produção!$B$2:$B$109=$A76)*(Produção!$F$2:$F$109=_xlpm.canal)*ROW(Produção!$I$2:$I$109))-1,IF(_xlpm.pos&lt;1,"-------",IF(INDEX(Produção!$I$2:$I$109,_xlpm.pos)="","-------",INDEX(Produção!$I$2:$I$109,_xlpm.pos))))</f>
        <v>#REF!</v>
      </c>
      <c r="R76" s="42" t="e" cm="1">
        <f t="array" ref="R76">_xlfn.LET(_xlpm.canal,INDEX($E$2:$P$2,COLUMN()-COLUMN($Q$2)+1),_xlpm.pos,SUMPRODUCT((Produção!$B$2:$B$109=$A76)*(Produção!$F$2:$F$109=_xlpm.canal)*ROW(Produção!$I$2:$I$109))-1,IF(_xlpm.pos&lt;1,"-------",IF(INDEX(Produção!$I$2:$I$109,_xlpm.pos)="","-------",INDEX(Produção!$I$2:$I$109,_xlpm.pos))))</f>
        <v>#REF!</v>
      </c>
      <c r="S76" s="42" t="e" cm="1">
        <f t="array" ref="S76">_xlfn.LET(_xlpm.canal,INDEX($E$2:$P$2,COLUMN()-COLUMN($Q$2)+1),_xlpm.pos,SUMPRODUCT((Produção!$B$2:$B$109=$A76)*(Produção!$F$2:$F$109=_xlpm.canal)*ROW(Produção!$I$2:$I$109))-1,IF(_xlpm.pos&lt;1,"-------",IF(INDEX(Produção!$I$2:$I$109,_xlpm.pos)="","-------",INDEX(Produção!$I$2:$I$109,_xlpm.pos))))</f>
        <v>#REF!</v>
      </c>
      <c r="T76" s="42" t="e" cm="1">
        <f t="array" ref="T76">_xlfn.LET(_xlpm.canal,INDEX($E$2:$P$2,COLUMN()-COLUMN($Q$2)+1),_xlpm.pos,SUMPRODUCT((Produção!$B$2:$B$109=$A76)*(Produção!$F$2:$F$109=_xlpm.canal)*ROW(Produção!$I$2:$I$109))-1,IF(_xlpm.pos&lt;1,"-------",IF(INDEX(Produção!$I$2:$I$109,_xlpm.pos)="","-------",INDEX(Produção!$I$2:$I$109,_xlpm.pos))))</f>
        <v>#REF!</v>
      </c>
      <c r="U76" s="42" t="e" cm="1">
        <f t="array" ref="U76">_xlfn.LET(_xlpm.canal,INDEX($E$2:$P$2,COLUMN()-COLUMN($Q$2)+1),_xlpm.pos,SUMPRODUCT((Produção!$B$2:$B$109=$A76)*(Produção!$F$2:$F$109=_xlpm.canal)*ROW(Produção!$I$2:$I$109))-1,IF(_xlpm.pos&lt;1,"-------",IF(INDEX(Produção!$I$2:$I$109,_xlpm.pos)="","-------",INDEX(Produção!$I$2:$I$109,_xlpm.pos))))</f>
        <v>#REF!</v>
      </c>
      <c r="V76" s="42" t="e" cm="1">
        <f t="array" ref="V76">_xlfn.LET(_xlpm.canal,INDEX($E$2:$P$2,COLUMN()-COLUMN($Q$2)+1),_xlpm.pos,SUMPRODUCT((Produção!$B$2:$B$109=$A76)*(Produção!$F$2:$F$109=_xlpm.canal)*ROW(Produção!$I$2:$I$109))-1,IF(_xlpm.pos&lt;1,"-------",IF(INDEX(Produção!$I$2:$I$109,_xlpm.pos)="","-------",INDEX(Produção!$I$2:$I$109,_xlpm.pos))))</f>
        <v>#REF!</v>
      </c>
      <c r="W76" s="42" t="e" cm="1">
        <f t="array" ref="W76">_xlfn.LET(_xlpm.canal,INDEX($E$2:$P$2,COLUMN()-COLUMN($Q$2)+1),_xlpm.pos,SUMPRODUCT((Produção!$B$2:$B$109=$A76)*(Produção!$F$2:$F$109=_xlpm.canal)*ROW(Produção!$I$2:$I$109))-1,IF(_xlpm.pos&lt;1,"-------",IF(INDEX(Produção!$I$2:$I$109,_xlpm.pos)="","-------",INDEX(Produção!$I$2:$I$109,_xlpm.pos))))</f>
        <v>#REF!</v>
      </c>
      <c r="X76" s="42" t="e" cm="1">
        <f t="array" ref="X76">_xlfn.LET(_xlpm.canal,INDEX($E$2:$P$2,COLUMN()-COLUMN($Q$2)+1),_xlpm.pos,SUMPRODUCT((Produção!$B$2:$B$109=$A76)*(Produção!$F$2:$F$109=_xlpm.canal)*ROW(Produção!$I$2:$I$109))-1,IF(_xlpm.pos&lt;1,"-------",IF(INDEX(Produção!$I$2:$I$109,_xlpm.pos)="","-------",INDEX(Produção!$I$2:$I$109,_xlpm.pos))))</f>
        <v>#REF!</v>
      </c>
      <c r="Y76" s="42" t="e" cm="1">
        <f t="array" ref="Y76">_xlfn.LET(_xlpm.canal,INDEX($E$2:$P$2,COLUMN()-COLUMN($Q$2)+1),_xlpm.pos,SUMPRODUCT((Produção!$B$2:$B$109=$A76)*(Produção!$F$2:$F$109=_xlpm.canal)*ROW(Produção!$I$2:$I$109))-1,IF(_xlpm.pos&lt;1,"-------",IF(INDEX(Produção!$I$2:$I$109,_xlpm.pos)="","-------",INDEX(Produção!$I$2:$I$109,_xlpm.pos))))</f>
        <v>#REF!</v>
      </c>
      <c r="Z76" s="42" t="e" cm="1">
        <f t="array" ref="Z76">_xlfn.LET(_xlpm.canal,INDEX($E$2:$P$2,COLUMN()-COLUMN($Q$2)+1),_xlpm.pos,SUMPRODUCT((Produção!$B$2:$B$109=$A76)*(Produção!$F$2:$F$109=_xlpm.canal)*ROW(Produção!$I$2:$I$109))-1,IF(_xlpm.pos&lt;1,"-------",IF(INDEX(Produção!$I$2:$I$109,_xlpm.pos)="","-------",INDEX(Produção!$I$2:$I$109,_xlpm.pos))))</f>
        <v>#REF!</v>
      </c>
      <c r="AA76" s="42" t="e" cm="1">
        <f t="array" ref="AA76">_xlfn.LET(_xlpm.canal,INDEX($E$2:$P$2,COLUMN()-COLUMN($Q$2)+1),_xlpm.pos,SUMPRODUCT((Produção!$B$2:$B$109=$A76)*(Produção!$F$2:$F$109=_xlpm.canal)*ROW(Produção!$I$2:$I$109))-1,IF(_xlpm.pos&lt;1,"-------",IF(INDEX(Produção!$I$2:$I$109,_xlpm.pos)="","-------",INDEX(Produção!$I$2:$I$109,_xlpm.pos))))</f>
        <v>#REF!</v>
      </c>
      <c r="AB76" s="42" t="e" cm="1">
        <f t="array" ref="AB76">_xlfn.LET(_xlpm.canal,INDEX($E$2:$P$2,COLUMN()-COLUMN($Q$2)+1),_xlpm.pos,SUMPRODUCT((Produção!$B$2:$B$109=$A76)*(Produção!$F$2:$F$109=_xlpm.canal)*ROW(Produção!$I$2:$I$109))-1,IF(_xlpm.pos&lt;1,"-------",IF(INDEX(Produção!$I$2:$I$109,_xlpm.pos)="","-------",INDEX(Produção!$I$2:$I$109,_xlpm.pos))))</f>
        <v>#REF!</v>
      </c>
      <c r="AD76" s="34" t="e" cm="1">
        <f t="array" ref="AD76">SUMPRODUCT(($Q76:$AB76&lt;&gt;"-------")*1)</f>
        <v>#REF!</v>
      </c>
      <c r="AE76" s="34">
        <f>RANK($D76,$D$3:$D$90)+COUNTIF($D$3:$D76,$D76)-1</f>
        <v>74</v>
      </c>
    </row>
    <row r="77" spans="1:31">
      <c r="A77" s="38" t="e" cm="1">
        <f t="array" ref="A77">INDEX(Produção!B$2:B$109,(ROW()-3)*12+1)</f>
        <v>#REF!</v>
      </c>
      <c r="B77" s="39" t="e" cm="1">
        <f t="array" ref="B77">INDEX(Produção!C$2:C$109,(ROW()-3)*12+1)</f>
        <v>#REF!</v>
      </c>
      <c r="C77" s="39" t="e" cm="1">
        <f t="array" ref="C77">INDEX(Produção!D$2:D$109,(ROW()-3)*12+1)</f>
        <v>#REF!</v>
      </c>
      <c r="D77" s="40">
        <f t="shared" si="1"/>
        <v>0</v>
      </c>
      <c r="E77" s="41">
        <f>SUMIFS(Produção!$G$2:$G$109,Produção!$B$2:$B$109,$A77,Produção!$F$2:$F$109,E$2)</f>
        <v>0</v>
      </c>
      <c r="F77" s="41">
        <f>SUMIFS(Produção!$G$2:$G$109,Produção!$B$2:$B$109,$A77,Produção!$F$2:$F$109,F$2)</f>
        <v>0</v>
      </c>
      <c r="G77" s="41">
        <f>SUMIFS(Produção!$G$2:$G$109,Produção!$B$2:$B$109,$A77,Produção!$F$2:$F$109,G$2)</f>
        <v>0</v>
      </c>
      <c r="H77" s="41">
        <f>SUMIFS(Produção!$G$2:$G$109,Produção!$B$2:$B$109,$A77,Produção!$F$2:$F$109,H$2)</f>
        <v>0</v>
      </c>
      <c r="I77" s="41">
        <f>SUMIFS(Produção!$G$2:$G$109,Produção!$B$2:$B$109,$A77,Produção!$F$2:$F$109,I$2)</f>
        <v>0</v>
      </c>
      <c r="J77" s="41">
        <f>SUMIFS(Produção!$G$2:$G$109,Produção!$B$2:$B$109,$A77,Produção!$F$2:$F$109,J$2)</f>
        <v>0</v>
      </c>
      <c r="K77" s="41">
        <f>SUMIFS(Produção!$G$2:$G$109,Produção!$B$2:$B$109,$A77,Produção!$F$2:$F$109,K$2)</f>
        <v>0</v>
      </c>
      <c r="L77" s="41">
        <f>SUMIFS(Produção!$G$2:$G$109,Produção!$B$2:$B$109,$A77,Produção!$F$2:$F$109,L$2)</f>
        <v>0</v>
      </c>
      <c r="M77" s="41">
        <f>SUMIFS(Produção!$G$2:$G$109,Produção!$B$2:$B$109,$A77,Produção!$F$2:$F$109,M$2)</f>
        <v>0</v>
      </c>
      <c r="N77" s="41">
        <f>SUMIFS(Produção!$G$2:$G$109,Produção!$B$2:$B$109,$A77,Produção!$F$2:$F$109,N$2)</f>
        <v>0</v>
      </c>
      <c r="O77" s="41">
        <f>SUMIFS(Produção!$G$2:$G$109,Produção!$B$2:$B$109,$A77,Produção!$F$2:$F$109,O$2)</f>
        <v>0</v>
      </c>
      <c r="P77" s="41">
        <f>SUMIFS(Produção!$G$2:$G$109,Produção!$B$2:$B$109,$A77,Produção!$F$2:$F$109,P$2)</f>
        <v>0</v>
      </c>
      <c r="Q77" s="42" t="e" cm="1">
        <f t="array" ref="Q77">_xlfn.LET(_xlpm.canal,INDEX($E$2:$P$2,COLUMN()-COLUMN($Q$2)+1),_xlpm.pos,SUMPRODUCT((Produção!$B$2:$B$109=$A77)*(Produção!$F$2:$F$109=_xlpm.canal)*ROW(Produção!$I$2:$I$109))-1,IF(_xlpm.pos&lt;1,"-------",IF(INDEX(Produção!$I$2:$I$109,_xlpm.pos)="","-------",INDEX(Produção!$I$2:$I$109,_xlpm.pos))))</f>
        <v>#REF!</v>
      </c>
      <c r="R77" s="42" t="e" cm="1">
        <f t="array" ref="R77">_xlfn.LET(_xlpm.canal,INDEX($E$2:$P$2,COLUMN()-COLUMN($Q$2)+1),_xlpm.pos,SUMPRODUCT((Produção!$B$2:$B$109=$A77)*(Produção!$F$2:$F$109=_xlpm.canal)*ROW(Produção!$I$2:$I$109))-1,IF(_xlpm.pos&lt;1,"-------",IF(INDEX(Produção!$I$2:$I$109,_xlpm.pos)="","-------",INDEX(Produção!$I$2:$I$109,_xlpm.pos))))</f>
        <v>#REF!</v>
      </c>
      <c r="S77" s="42" t="e" cm="1">
        <f t="array" ref="S77">_xlfn.LET(_xlpm.canal,INDEX($E$2:$P$2,COLUMN()-COLUMN($Q$2)+1),_xlpm.pos,SUMPRODUCT((Produção!$B$2:$B$109=$A77)*(Produção!$F$2:$F$109=_xlpm.canal)*ROW(Produção!$I$2:$I$109))-1,IF(_xlpm.pos&lt;1,"-------",IF(INDEX(Produção!$I$2:$I$109,_xlpm.pos)="","-------",INDEX(Produção!$I$2:$I$109,_xlpm.pos))))</f>
        <v>#REF!</v>
      </c>
      <c r="T77" s="42" t="e" cm="1">
        <f t="array" ref="T77">_xlfn.LET(_xlpm.canal,INDEX($E$2:$P$2,COLUMN()-COLUMN($Q$2)+1),_xlpm.pos,SUMPRODUCT((Produção!$B$2:$B$109=$A77)*(Produção!$F$2:$F$109=_xlpm.canal)*ROW(Produção!$I$2:$I$109))-1,IF(_xlpm.pos&lt;1,"-------",IF(INDEX(Produção!$I$2:$I$109,_xlpm.pos)="","-------",INDEX(Produção!$I$2:$I$109,_xlpm.pos))))</f>
        <v>#REF!</v>
      </c>
      <c r="U77" s="42" t="e" cm="1">
        <f t="array" ref="U77">_xlfn.LET(_xlpm.canal,INDEX($E$2:$P$2,COLUMN()-COLUMN($Q$2)+1),_xlpm.pos,SUMPRODUCT((Produção!$B$2:$B$109=$A77)*(Produção!$F$2:$F$109=_xlpm.canal)*ROW(Produção!$I$2:$I$109))-1,IF(_xlpm.pos&lt;1,"-------",IF(INDEX(Produção!$I$2:$I$109,_xlpm.pos)="","-------",INDEX(Produção!$I$2:$I$109,_xlpm.pos))))</f>
        <v>#REF!</v>
      </c>
      <c r="V77" s="42" t="e" cm="1">
        <f t="array" ref="V77">_xlfn.LET(_xlpm.canal,INDEX($E$2:$P$2,COLUMN()-COLUMN($Q$2)+1),_xlpm.pos,SUMPRODUCT((Produção!$B$2:$B$109=$A77)*(Produção!$F$2:$F$109=_xlpm.canal)*ROW(Produção!$I$2:$I$109))-1,IF(_xlpm.pos&lt;1,"-------",IF(INDEX(Produção!$I$2:$I$109,_xlpm.pos)="","-------",INDEX(Produção!$I$2:$I$109,_xlpm.pos))))</f>
        <v>#REF!</v>
      </c>
      <c r="W77" s="42" t="e" cm="1">
        <f t="array" ref="W77">_xlfn.LET(_xlpm.canal,INDEX($E$2:$P$2,COLUMN()-COLUMN($Q$2)+1),_xlpm.pos,SUMPRODUCT((Produção!$B$2:$B$109=$A77)*(Produção!$F$2:$F$109=_xlpm.canal)*ROW(Produção!$I$2:$I$109))-1,IF(_xlpm.pos&lt;1,"-------",IF(INDEX(Produção!$I$2:$I$109,_xlpm.pos)="","-------",INDEX(Produção!$I$2:$I$109,_xlpm.pos))))</f>
        <v>#REF!</v>
      </c>
      <c r="X77" s="42" t="e" cm="1">
        <f t="array" ref="X77">_xlfn.LET(_xlpm.canal,INDEX($E$2:$P$2,COLUMN()-COLUMN($Q$2)+1),_xlpm.pos,SUMPRODUCT((Produção!$B$2:$B$109=$A77)*(Produção!$F$2:$F$109=_xlpm.canal)*ROW(Produção!$I$2:$I$109))-1,IF(_xlpm.pos&lt;1,"-------",IF(INDEX(Produção!$I$2:$I$109,_xlpm.pos)="","-------",INDEX(Produção!$I$2:$I$109,_xlpm.pos))))</f>
        <v>#REF!</v>
      </c>
      <c r="Y77" s="42" t="e" cm="1">
        <f t="array" ref="Y77">_xlfn.LET(_xlpm.canal,INDEX($E$2:$P$2,COLUMN()-COLUMN($Q$2)+1),_xlpm.pos,SUMPRODUCT((Produção!$B$2:$B$109=$A77)*(Produção!$F$2:$F$109=_xlpm.canal)*ROW(Produção!$I$2:$I$109))-1,IF(_xlpm.pos&lt;1,"-------",IF(INDEX(Produção!$I$2:$I$109,_xlpm.pos)="","-------",INDEX(Produção!$I$2:$I$109,_xlpm.pos))))</f>
        <v>#REF!</v>
      </c>
      <c r="Z77" s="42" t="e" cm="1">
        <f t="array" ref="Z77">_xlfn.LET(_xlpm.canal,INDEX($E$2:$P$2,COLUMN()-COLUMN($Q$2)+1),_xlpm.pos,SUMPRODUCT((Produção!$B$2:$B$109=$A77)*(Produção!$F$2:$F$109=_xlpm.canal)*ROW(Produção!$I$2:$I$109))-1,IF(_xlpm.pos&lt;1,"-------",IF(INDEX(Produção!$I$2:$I$109,_xlpm.pos)="","-------",INDEX(Produção!$I$2:$I$109,_xlpm.pos))))</f>
        <v>#REF!</v>
      </c>
      <c r="AA77" s="42" t="e" cm="1">
        <f t="array" ref="AA77">_xlfn.LET(_xlpm.canal,INDEX($E$2:$P$2,COLUMN()-COLUMN($Q$2)+1),_xlpm.pos,SUMPRODUCT((Produção!$B$2:$B$109=$A77)*(Produção!$F$2:$F$109=_xlpm.canal)*ROW(Produção!$I$2:$I$109))-1,IF(_xlpm.pos&lt;1,"-------",IF(INDEX(Produção!$I$2:$I$109,_xlpm.pos)="","-------",INDEX(Produção!$I$2:$I$109,_xlpm.pos))))</f>
        <v>#REF!</v>
      </c>
      <c r="AB77" s="42" t="e" cm="1">
        <f t="array" ref="AB77">_xlfn.LET(_xlpm.canal,INDEX($E$2:$P$2,COLUMN()-COLUMN($Q$2)+1),_xlpm.pos,SUMPRODUCT((Produção!$B$2:$B$109=$A77)*(Produção!$F$2:$F$109=_xlpm.canal)*ROW(Produção!$I$2:$I$109))-1,IF(_xlpm.pos&lt;1,"-------",IF(INDEX(Produção!$I$2:$I$109,_xlpm.pos)="","-------",INDEX(Produção!$I$2:$I$109,_xlpm.pos))))</f>
        <v>#REF!</v>
      </c>
      <c r="AD77" s="34" t="e" cm="1">
        <f t="array" ref="AD77">SUMPRODUCT(($Q77:$AB77&lt;&gt;"-------")*1)</f>
        <v>#REF!</v>
      </c>
      <c r="AE77" s="34">
        <f>RANK($D77,$D$3:$D$90)+COUNTIF($D$3:$D77,$D77)-1</f>
        <v>75</v>
      </c>
    </row>
    <row r="78" spans="1:31">
      <c r="A78" s="38" t="e" cm="1">
        <f t="array" ref="A78">INDEX(Produção!B$2:B$109,(ROW()-3)*12+1)</f>
        <v>#REF!</v>
      </c>
      <c r="B78" s="39" t="e" cm="1">
        <f t="array" ref="B78">INDEX(Produção!C$2:C$109,(ROW()-3)*12+1)</f>
        <v>#REF!</v>
      </c>
      <c r="C78" s="39" t="e" cm="1">
        <f t="array" ref="C78">INDEX(Produção!D$2:D$109,(ROW()-3)*12+1)</f>
        <v>#REF!</v>
      </c>
      <c r="D78" s="40">
        <f t="shared" si="1"/>
        <v>0</v>
      </c>
      <c r="E78" s="41">
        <f>SUMIFS(Produção!$G$2:$G$109,Produção!$B$2:$B$109,$A78,Produção!$F$2:$F$109,E$2)</f>
        <v>0</v>
      </c>
      <c r="F78" s="41">
        <f>SUMIFS(Produção!$G$2:$G$109,Produção!$B$2:$B$109,$A78,Produção!$F$2:$F$109,F$2)</f>
        <v>0</v>
      </c>
      <c r="G78" s="41">
        <f>SUMIFS(Produção!$G$2:$G$109,Produção!$B$2:$B$109,$A78,Produção!$F$2:$F$109,G$2)</f>
        <v>0</v>
      </c>
      <c r="H78" s="41">
        <f>SUMIFS(Produção!$G$2:$G$109,Produção!$B$2:$B$109,$A78,Produção!$F$2:$F$109,H$2)</f>
        <v>0</v>
      </c>
      <c r="I78" s="41">
        <f>SUMIFS(Produção!$G$2:$G$109,Produção!$B$2:$B$109,$A78,Produção!$F$2:$F$109,I$2)</f>
        <v>0</v>
      </c>
      <c r="J78" s="41">
        <f>SUMIFS(Produção!$G$2:$G$109,Produção!$B$2:$B$109,$A78,Produção!$F$2:$F$109,J$2)</f>
        <v>0</v>
      </c>
      <c r="K78" s="41">
        <f>SUMIFS(Produção!$G$2:$G$109,Produção!$B$2:$B$109,$A78,Produção!$F$2:$F$109,K$2)</f>
        <v>0</v>
      </c>
      <c r="L78" s="41">
        <f>SUMIFS(Produção!$G$2:$G$109,Produção!$B$2:$B$109,$A78,Produção!$F$2:$F$109,L$2)</f>
        <v>0</v>
      </c>
      <c r="M78" s="41">
        <f>SUMIFS(Produção!$G$2:$G$109,Produção!$B$2:$B$109,$A78,Produção!$F$2:$F$109,M$2)</f>
        <v>0</v>
      </c>
      <c r="N78" s="41">
        <f>SUMIFS(Produção!$G$2:$G$109,Produção!$B$2:$B$109,$A78,Produção!$F$2:$F$109,N$2)</f>
        <v>0</v>
      </c>
      <c r="O78" s="41">
        <f>SUMIFS(Produção!$G$2:$G$109,Produção!$B$2:$B$109,$A78,Produção!$F$2:$F$109,O$2)</f>
        <v>0</v>
      </c>
      <c r="P78" s="41">
        <f>SUMIFS(Produção!$G$2:$G$109,Produção!$B$2:$B$109,$A78,Produção!$F$2:$F$109,P$2)</f>
        <v>0</v>
      </c>
      <c r="Q78" s="42" t="e" cm="1">
        <f t="array" ref="Q78">_xlfn.LET(_xlpm.canal,INDEX($E$2:$P$2,COLUMN()-COLUMN($Q$2)+1),_xlpm.pos,SUMPRODUCT((Produção!$B$2:$B$109=$A78)*(Produção!$F$2:$F$109=_xlpm.canal)*ROW(Produção!$I$2:$I$109))-1,IF(_xlpm.pos&lt;1,"-------",IF(INDEX(Produção!$I$2:$I$109,_xlpm.pos)="","-------",INDEX(Produção!$I$2:$I$109,_xlpm.pos))))</f>
        <v>#REF!</v>
      </c>
      <c r="R78" s="42" t="e" cm="1">
        <f t="array" ref="R78">_xlfn.LET(_xlpm.canal,INDEX($E$2:$P$2,COLUMN()-COLUMN($Q$2)+1),_xlpm.pos,SUMPRODUCT((Produção!$B$2:$B$109=$A78)*(Produção!$F$2:$F$109=_xlpm.canal)*ROW(Produção!$I$2:$I$109))-1,IF(_xlpm.pos&lt;1,"-------",IF(INDEX(Produção!$I$2:$I$109,_xlpm.pos)="","-------",INDEX(Produção!$I$2:$I$109,_xlpm.pos))))</f>
        <v>#REF!</v>
      </c>
      <c r="S78" s="42" t="e" cm="1">
        <f t="array" ref="S78">_xlfn.LET(_xlpm.canal,INDEX($E$2:$P$2,COLUMN()-COLUMN($Q$2)+1),_xlpm.pos,SUMPRODUCT((Produção!$B$2:$B$109=$A78)*(Produção!$F$2:$F$109=_xlpm.canal)*ROW(Produção!$I$2:$I$109))-1,IF(_xlpm.pos&lt;1,"-------",IF(INDEX(Produção!$I$2:$I$109,_xlpm.pos)="","-------",INDEX(Produção!$I$2:$I$109,_xlpm.pos))))</f>
        <v>#REF!</v>
      </c>
      <c r="T78" s="42" t="e" cm="1">
        <f t="array" ref="T78">_xlfn.LET(_xlpm.canal,INDEX($E$2:$P$2,COLUMN()-COLUMN($Q$2)+1),_xlpm.pos,SUMPRODUCT((Produção!$B$2:$B$109=$A78)*(Produção!$F$2:$F$109=_xlpm.canal)*ROW(Produção!$I$2:$I$109))-1,IF(_xlpm.pos&lt;1,"-------",IF(INDEX(Produção!$I$2:$I$109,_xlpm.pos)="","-------",INDEX(Produção!$I$2:$I$109,_xlpm.pos))))</f>
        <v>#REF!</v>
      </c>
      <c r="U78" s="42" t="e" cm="1">
        <f t="array" ref="U78">_xlfn.LET(_xlpm.canal,INDEX($E$2:$P$2,COLUMN()-COLUMN($Q$2)+1),_xlpm.pos,SUMPRODUCT((Produção!$B$2:$B$109=$A78)*(Produção!$F$2:$F$109=_xlpm.canal)*ROW(Produção!$I$2:$I$109))-1,IF(_xlpm.pos&lt;1,"-------",IF(INDEX(Produção!$I$2:$I$109,_xlpm.pos)="","-------",INDEX(Produção!$I$2:$I$109,_xlpm.pos))))</f>
        <v>#REF!</v>
      </c>
      <c r="V78" s="42" t="e" cm="1">
        <f t="array" ref="V78">_xlfn.LET(_xlpm.canal,INDEX($E$2:$P$2,COLUMN()-COLUMN($Q$2)+1),_xlpm.pos,SUMPRODUCT((Produção!$B$2:$B$109=$A78)*(Produção!$F$2:$F$109=_xlpm.canal)*ROW(Produção!$I$2:$I$109))-1,IF(_xlpm.pos&lt;1,"-------",IF(INDEX(Produção!$I$2:$I$109,_xlpm.pos)="","-------",INDEX(Produção!$I$2:$I$109,_xlpm.pos))))</f>
        <v>#REF!</v>
      </c>
      <c r="W78" s="42" t="e" cm="1">
        <f t="array" ref="W78">_xlfn.LET(_xlpm.canal,INDEX($E$2:$P$2,COLUMN()-COLUMN($Q$2)+1),_xlpm.pos,SUMPRODUCT((Produção!$B$2:$B$109=$A78)*(Produção!$F$2:$F$109=_xlpm.canal)*ROW(Produção!$I$2:$I$109))-1,IF(_xlpm.pos&lt;1,"-------",IF(INDEX(Produção!$I$2:$I$109,_xlpm.pos)="","-------",INDEX(Produção!$I$2:$I$109,_xlpm.pos))))</f>
        <v>#REF!</v>
      </c>
      <c r="X78" s="42" t="e" cm="1">
        <f t="array" ref="X78">_xlfn.LET(_xlpm.canal,INDEX($E$2:$P$2,COLUMN()-COLUMN($Q$2)+1),_xlpm.pos,SUMPRODUCT((Produção!$B$2:$B$109=$A78)*(Produção!$F$2:$F$109=_xlpm.canal)*ROW(Produção!$I$2:$I$109))-1,IF(_xlpm.pos&lt;1,"-------",IF(INDEX(Produção!$I$2:$I$109,_xlpm.pos)="","-------",INDEX(Produção!$I$2:$I$109,_xlpm.pos))))</f>
        <v>#REF!</v>
      </c>
      <c r="Y78" s="42" t="e" cm="1">
        <f t="array" ref="Y78">_xlfn.LET(_xlpm.canal,INDEX($E$2:$P$2,COLUMN()-COLUMN($Q$2)+1),_xlpm.pos,SUMPRODUCT((Produção!$B$2:$B$109=$A78)*(Produção!$F$2:$F$109=_xlpm.canal)*ROW(Produção!$I$2:$I$109))-1,IF(_xlpm.pos&lt;1,"-------",IF(INDEX(Produção!$I$2:$I$109,_xlpm.pos)="","-------",INDEX(Produção!$I$2:$I$109,_xlpm.pos))))</f>
        <v>#REF!</v>
      </c>
      <c r="Z78" s="42" t="e" cm="1">
        <f t="array" ref="Z78">_xlfn.LET(_xlpm.canal,INDEX($E$2:$P$2,COLUMN()-COLUMN($Q$2)+1),_xlpm.pos,SUMPRODUCT((Produção!$B$2:$B$109=$A78)*(Produção!$F$2:$F$109=_xlpm.canal)*ROW(Produção!$I$2:$I$109))-1,IF(_xlpm.pos&lt;1,"-------",IF(INDEX(Produção!$I$2:$I$109,_xlpm.pos)="","-------",INDEX(Produção!$I$2:$I$109,_xlpm.pos))))</f>
        <v>#REF!</v>
      </c>
      <c r="AA78" s="42" t="e" cm="1">
        <f t="array" ref="AA78">_xlfn.LET(_xlpm.canal,INDEX($E$2:$P$2,COLUMN()-COLUMN($Q$2)+1),_xlpm.pos,SUMPRODUCT((Produção!$B$2:$B$109=$A78)*(Produção!$F$2:$F$109=_xlpm.canal)*ROW(Produção!$I$2:$I$109))-1,IF(_xlpm.pos&lt;1,"-------",IF(INDEX(Produção!$I$2:$I$109,_xlpm.pos)="","-------",INDEX(Produção!$I$2:$I$109,_xlpm.pos))))</f>
        <v>#REF!</v>
      </c>
      <c r="AB78" s="42" t="e" cm="1">
        <f t="array" ref="AB78">_xlfn.LET(_xlpm.canal,INDEX($E$2:$P$2,COLUMN()-COLUMN($Q$2)+1),_xlpm.pos,SUMPRODUCT((Produção!$B$2:$B$109=$A78)*(Produção!$F$2:$F$109=_xlpm.canal)*ROW(Produção!$I$2:$I$109))-1,IF(_xlpm.pos&lt;1,"-------",IF(INDEX(Produção!$I$2:$I$109,_xlpm.pos)="","-------",INDEX(Produção!$I$2:$I$109,_xlpm.pos))))</f>
        <v>#REF!</v>
      </c>
      <c r="AD78" s="34" t="e" cm="1">
        <f t="array" ref="AD78">SUMPRODUCT(($Q78:$AB78&lt;&gt;"-------")*1)</f>
        <v>#REF!</v>
      </c>
      <c r="AE78" s="34">
        <f>RANK($D78,$D$3:$D$90)+COUNTIF($D$3:$D78,$D78)-1</f>
        <v>76</v>
      </c>
    </row>
    <row r="79" spans="1:31">
      <c r="A79" s="38" t="e" cm="1">
        <f t="array" ref="A79">INDEX(Produção!B$2:B$109,(ROW()-3)*12+1)</f>
        <v>#REF!</v>
      </c>
      <c r="B79" s="39" t="e" cm="1">
        <f t="array" ref="B79">INDEX(Produção!C$2:C$109,(ROW()-3)*12+1)</f>
        <v>#REF!</v>
      </c>
      <c r="C79" s="39" t="e" cm="1">
        <f t="array" ref="C79">INDEX(Produção!D$2:D$109,(ROW()-3)*12+1)</f>
        <v>#REF!</v>
      </c>
      <c r="D79" s="40">
        <f t="shared" si="1"/>
        <v>0</v>
      </c>
      <c r="E79" s="41">
        <f>SUMIFS(Produção!$G$2:$G$109,Produção!$B$2:$B$109,$A79,Produção!$F$2:$F$109,E$2)</f>
        <v>0</v>
      </c>
      <c r="F79" s="41">
        <f>SUMIFS(Produção!$G$2:$G$109,Produção!$B$2:$B$109,$A79,Produção!$F$2:$F$109,F$2)</f>
        <v>0</v>
      </c>
      <c r="G79" s="41">
        <f>SUMIFS(Produção!$G$2:$G$109,Produção!$B$2:$B$109,$A79,Produção!$F$2:$F$109,G$2)</f>
        <v>0</v>
      </c>
      <c r="H79" s="41">
        <f>SUMIFS(Produção!$G$2:$G$109,Produção!$B$2:$B$109,$A79,Produção!$F$2:$F$109,H$2)</f>
        <v>0</v>
      </c>
      <c r="I79" s="41">
        <f>SUMIFS(Produção!$G$2:$G$109,Produção!$B$2:$B$109,$A79,Produção!$F$2:$F$109,I$2)</f>
        <v>0</v>
      </c>
      <c r="J79" s="41">
        <f>SUMIFS(Produção!$G$2:$G$109,Produção!$B$2:$B$109,$A79,Produção!$F$2:$F$109,J$2)</f>
        <v>0</v>
      </c>
      <c r="K79" s="41">
        <f>SUMIFS(Produção!$G$2:$G$109,Produção!$B$2:$B$109,$A79,Produção!$F$2:$F$109,K$2)</f>
        <v>0</v>
      </c>
      <c r="L79" s="41">
        <f>SUMIFS(Produção!$G$2:$G$109,Produção!$B$2:$B$109,$A79,Produção!$F$2:$F$109,L$2)</f>
        <v>0</v>
      </c>
      <c r="M79" s="41">
        <f>SUMIFS(Produção!$G$2:$G$109,Produção!$B$2:$B$109,$A79,Produção!$F$2:$F$109,M$2)</f>
        <v>0</v>
      </c>
      <c r="N79" s="41">
        <f>SUMIFS(Produção!$G$2:$G$109,Produção!$B$2:$B$109,$A79,Produção!$F$2:$F$109,N$2)</f>
        <v>0</v>
      </c>
      <c r="O79" s="41">
        <f>SUMIFS(Produção!$G$2:$G$109,Produção!$B$2:$B$109,$A79,Produção!$F$2:$F$109,O$2)</f>
        <v>0</v>
      </c>
      <c r="P79" s="41">
        <f>SUMIFS(Produção!$G$2:$G$109,Produção!$B$2:$B$109,$A79,Produção!$F$2:$F$109,P$2)</f>
        <v>0</v>
      </c>
      <c r="Q79" s="42" t="e" cm="1">
        <f t="array" ref="Q79">_xlfn.LET(_xlpm.canal,INDEX($E$2:$P$2,COLUMN()-COLUMN($Q$2)+1),_xlpm.pos,SUMPRODUCT((Produção!$B$2:$B$109=$A79)*(Produção!$F$2:$F$109=_xlpm.canal)*ROW(Produção!$I$2:$I$109))-1,IF(_xlpm.pos&lt;1,"-------",IF(INDEX(Produção!$I$2:$I$109,_xlpm.pos)="","-------",INDEX(Produção!$I$2:$I$109,_xlpm.pos))))</f>
        <v>#REF!</v>
      </c>
      <c r="R79" s="42" t="e" cm="1">
        <f t="array" ref="R79">_xlfn.LET(_xlpm.canal,INDEX($E$2:$P$2,COLUMN()-COLUMN($Q$2)+1),_xlpm.pos,SUMPRODUCT((Produção!$B$2:$B$109=$A79)*(Produção!$F$2:$F$109=_xlpm.canal)*ROW(Produção!$I$2:$I$109))-1,IF(_xlpm.pos&lt;1,"-------",IF(INDEX(Produção!$I$2:$I$109,_xlpm.pos)="","-------",INDEX(Produção!$I$2:$I$109,_xlpm.pos))))</f>
        <v>#REF!</v>
      </c>
      <c r="S79" s="42" t="e" cm="1">
        <f t="array" ref="S79">_xlfn.LET(_xlpm.canal,INDEX($E$2:$P$2,COLUMN()-COLUMN($Q$2)+1),_xlpm.pos,SUMPRODUCT((Produção!$B$2:$B$109=$A79)*(Produção!$F$2:$F$109=_xlpm.canal)*ROW(Produção!$I$2:$I$109))-1,IF(_xlpm.pos&lt;1,"-------",IF(INDEX(Produção!$I$2:$I$109,_xlpm.pos)="","-------",INDEX(Produção!$I$2:$I$109,_xlpm.pos))))</f>
        <v>#REF!</v>
      </c>
      <c r="T79" s="42" t="e" cm="1">
        <f t="array" ref="T79">_xlfn.LET(_xlpm.canal,INDEX($E$2:$P$2,COLUMN()-COLUMN($Q$2)+1),_xlpm.pos,SUMPRODUCT((Produção!$B$2:$B$109=$A79)*(Produção!$F$2:$F$109=_xlpm.canal)*ROW(Produção!$I$2:$I$109))-1,IF(_xlpm.pos&lt;1,"-------",IF(INDEX(Produção!$I$2:$I$109,_xlpm.pos)="","-------",INDEX(Produção!$I$2:$I$109,_xlpm.pos))))</f>
        <v>#REF!</v>
      </c>
      <c r="U79" s="42" t="e" cm="1">
        <f t="array" ref="U79">_xlfn.LET(_xlpm.canal,INDEX($E$2:$P$2,COLUMN()-COLUMN($Q$2)+1),_xlpm.pos,SUMPRODUCT((Produção!$B$2:$B$109=$A79)*(Produção!$F$2:$F$109=_xlpm.canal)*ROW(Produção!$I$2:$I$109))-1,IF(_xlpm.pos&lt;1,"-------",IF(INDEX(Produção!$I$2:$I$109,_xlpm.pos)="","-------",INDEX(Produção!$I$2:$I$109,_xlpm.pos))))</f>
        <v>#REF!</v>
      </c>
      <c r="V79" s="42" t="e" cm="1">
        <f t="array" ref="V79">_xlfn.LET(_xlpm.canal,INDEX($E$2:$P$2,COLUMN()-COLUMN($Q$2)+1),_xlpm.pos,SUMPRODUCT((Produção!$B$2:$B$109=$A79)*(Produção!$F$2:$F$109=_xlpm.canal)*ROW(Produção!$I$2:$I$109))-1,IF(_xlpm.pos&lt;1,"-------",IF(INDEX(Produção!$I$2:$I$109,_xlpm.pos)="","-------",INDEX(Produção!$I$2:$I$109,_xlpm.pos))))</f>
        <v>#REF!</v>
      </c>
      <c r="W79" s="42" t="e" cm="1">
        <f t="array" ref="W79">_xlfn.LET(_xlpm.canal,INDEX($E$2:$P$2,COLUMN()-COLUMN($Q$2)+1),_xlpm.pos,SUMPRODUCT((Produção!$B$2:$B$109=$A79)*(Produção!$F$2:$F$109=_xlpm.canal)*ROW(Produção!$I$2:$I$109))-1,IF(_xlpm.pos&lt;1,"-------",IF(INDEX(Produção!$I$2:$I$109,_xlpm.pos)="","-------",INDEX(Produção!$I$2:$I$109,_xlpm.pos))))</f>
        <v>#REF!</v>
      </c>
      <c r="X79" s="42" t="e" cm="1">
        <f t="array" ref="X79">_xlfn.LET(_xlpm.canal,INDEX($E$2:$P$2,COLUMN()-COLUMN($Q$2)+1),_xlpm.pos,SUMPRODUCT((Produção!$B$2:$B$109=$A79)*(Produção!$F$2:$F$109=_xlpm.canal)*ROW(Produção!$I$2:$I$109))-1,IF(_xlpm.pos&lt;1,"-------",IF(INDEX(Produção!$I$2:$I$109,_xlpm.pos)="","-------",INDEX(Produção!$I$2:$I$109,_xlpm.pos))))</f>
        <v>#REF!</v>
      </c>
      <c r="Y79" s="42" t="e" cm="1">
        <f t="array" ref="Y79">_xlfn.LET(_xlpm.canal,INDEX($E$2:$P$2,COLUMN()-COLUMN($Q$2)+1),_xlpm.pos,SUMPRODUCT((Produção!$B$2:$B$109=$A79)*(Produção!$F$2:$F$109=_xlpm.canal)*ROW(Produção!$I$2:$I$109))-1,IF(_xlpm.pos&lt;1,"-------",IF(INDEX(Produção!$I$2:$I$109,_xlpm.pos)="","-------",INDEX(Produção!$I$2:$I$109,_xlpm.pos))))</f>
        <v>#REF!</v>
      </c>
      <c r="Z79" s="42" t="e" cm="1">
        <f t="array" ref="Z79">_xlfn.LET(_xlpm.canal,INDEX($E$2:$P$2,COLUMN()-COLUMN($Q$2)+1),_xlpm.pos,SUMPRODUCT((Produção!$B$2:$B$109=$A79)*(Produção!$F$2:$F$109=_xlpm.canal)*ROW(Produção!$I$2:$I$109))-1,IF(_xlpm.pos&lt;1,"-------",IF(INDEX(Produção!$I$2:$I$109,_xlpm.pos)="","-------",INDEX(Produção!$I$2:$I$109,_xlpm.pos))))</f>
        <v>#REF!</v>
      </c>
      <c r="AA79" s="42" t="e" cm="1">
        <f t="array" ref="AA79">_xlfn.LET(_xlpm.canal,INDEX($E$2:$P$2,COLUMN()-COLUMN($Q$2)+1),_xlpm.pos,SUMPRODUCT((Produção!$B$2:$B$109=$A79)*(Produção!$F$2:$F$109=_xlpm.canal)*ROW(Produção!$I$2:$I$109))-1,IF(_xlpm.pos&lt;1,"-------",IF(INDEX(Produção!$I$2:$I$109,_xlpm.pos)="","-------",INDEX(Produção!$I$2:$I$109,_xlpm.pos))))</f>
        <v>#REF!</v>
      </c>
      <c r="AB79" s="42" t="e" cm="1">
        <f t="array" ref="AB79">_xlfn.LET(_xlpm.canal,INDEX($E$2:$P$2,COLUMN()-COLUMN($Q$2)+1),_xlpm.pos,SUMPRODUCT((Produção!$B$2:$B$109=$A79)*(Produção!$F$2:$F$109=_xlpm.canal)*ROW(Produção!$I$2:$I$109))-1,IF(_xlpm.pos&lt;1,"-------",IF(INDEX(Produção!$I$2:$I$109,_xlpm.pos)="","-------",INDEX(Produção!$I$2:$I$109,_xlpm.pos))))</f>
        <v>#REF!</v>
      </c>
      <c r="AD79" s="34" t="e" cm="1">
        <f t="array" ref="AD79">SUMPRODUCT(($Q79:$AB79&lt;&gt;"-------")*1)</f>
        <v>#REF!</v>
      </c>
      <c r="AE79" s="34">
        <f>RANK($D79,$D$3:$D$90)+COUNTIF($D$3:$D79,$D79)-1</f>
        <v>77</v>
      </c>
    </row>
    <row r="80" spans="1:31">
      <c r="A80" s="38" t="e" cm="1">
        <f t="array" ref="A80">INDEX(Produção!B$2:B$109,(ROW()-3)*12+1)</f>
        <v>#REF!</v>
      </c>
      <c r="B80" s="39" t="e" cm="1">
        <f t="array" ref="B80">INDEX(Produção!C$2:C$109,(ROW()-3)*12+1)</f>
        <v>#REF!</v>
      </c>
      <c r="C80" s="39" t="e" cm="1">
        <f t="array" ref="C80">INDEX(Produção!D$2:D$109,(ROW()-3)*12+1)</f>
        <v>#REF!</v>
      </c>
      <c r="D80" s="40">
        <f t="shared" si="1"/>
        <v>0</v>
      </c>
      <c r="E80" s="41">
        <f>SUMIFS(Produção!$G$2:$G$109,Produção!$B$2:$B$109,$A80,Produção!$F$2:$F$109,E$2)</f>
        <v>0</v>
      </c>
      <c r="F80" s="41">
        <f>SUMIFS(Produção!$G$2:$G$109,Produção!$B$2:$B$109,$A80,Produção!$F$2:$F$109,F$2)</f>
        <v>0</v>
      </c>
      <c r="G80" s="41">
        <f>SUMIFS(Produção!$G$2:$G$109,Produção!$B$2:$B$109,$A80,Produção!$F$2:$F$109,G$2)</f>
        <v>0</v>
      </c>
      <c r="H80" s="41">
        <f>SUMIFS(Produção!$G$2:$G$109,Produção!$B$2:$B$109,$A80,Produção!$F$2:$F$109,H$2)</f>
        <v>0</v>
      </c>
      <c r="I80" s="41">
        <f>SUMIFS(Produção!$G$2:$G$109,Produção!$B$2:$B$109,$A80,Produção!$F$2:$F$109,I$2)</f>
        <v>0</v>
      </c>
      <c r="J80" s="41">
        <f>SUMIFS(Produção!$G$2:$G$109,Produção!$B$2:$B$109,$A80,Produção!$F$2:$F$109,J$2)</f>
        <v>0</v>
      </c>
      <c r="K80" s="41">
        <f>SUMIFS(Produção!$G$2:$G$109,Produção!$B$2:$B$109,$A80,Produção!$F$2:$F$109,K$2)</f>
        <v>0</v>
      </c>
      <c r="L80" s="41">
        <f>SUMIFS(Produção!$G$2:$G$109,Produção!$B$2:$B$109,$A80,Produção!$F$2:$F$109,L$2)</f>
        <v>0</v>
      </c>
      <c r="M80" s="41">
        <f>SUMIFS(Produção!$G$2:$G$109,Produção!$B$2:$B$109,$A80,Produção!$F$2:$F$109,M$2)</f>
        <v>0</v>
      </c>
      <c r="N80" s="41">
        <f>SUMIFS(Produção!$G$2:$G$109,Produção!$B$2:$B$109,$A80,Produção!$F$2:$F$109,N$2)</f>
        <v>0</v>
      </c>
      <c r="O80" s="41">
        <f>SUMIFS(Produção!$G$2:$G$109,Produção!$B$2:$B$109,$A80,Produção!$F$2:$F$109,O$2)</f>
        <v>0</v>
      </c>
      <c r="P80" s="41">
        <f>SUMIFS(Produção!$G$2:$G$109,Produção!$B$2:$B$109,$A80,Produção!$F$2:$F$109,P$2)</f>
        <v>0</v>
      </c>
      <c r="Q80" s="42" t="e" cm="1">
        <f t="array" ref="Q80">_xlfn.LET(_xlpm.canal,INDEX($E$2:$P$2,COLUMN()-COLUMN($Q$2)+1),_xlpm.pos,SUMPRODUCT((Produção!$B$2:$B$109=$A80)*(Produção!$F$2:$F$109=_xlpm.canal)*ROW(Produção!$I$2:$I$109))-1,IF(_xlpm.pos&lt;1,"-------",IF(INDEX(Produção!$I$2:$I$109,_xlpm.pos)="","-------",INDEX(Produção!$I$2:$I$109,_xlpm.pos))))</f>
        <v>#REF!</v>
      </c>
      <c r="R80" s="42" t="e" cm="1">
        <f t="array" ref="R80">_xlfn.LET(_xlpm.canal,INDEX($E$2:$P$2,COLUMN()-COLUMN($Q$2)+1),_xlpm.pos,SUMPRODUCT((Produção!$B$2:$B$109=$A80)*(Produção!$F$2:$F$109=_xlpm.canal)*ROW(Produção!$I$2:$I$109))-1,IF(_xlpm.pos&lt;1,"-------",IF(INDEX(Produção!$I$2:$I$109,_xlpm.pos)="","-------",INDEX(Produção!$I$2:$I$109,_xlpm.pos))))</f>
        <v>#REF!</v>
      </c>
      <c r="S80" s="42" t="e" cm="1">
        <f t="array" ref="S80">_xlfn.LET(_xlpm.canal,INDEX($E$2:$P$2,COLUMN()-COLUMN($Q$2)+1),_xlpm.pos,SUMPRODUCT((Produção!$B$2:$B$109=$A80)*(Produção!$F$2:$F$109=_xlpm.canal)*ROW(Produção!$I$2:$I$109))-1,IF(_xlpm.pos&lt;1,"-------",IF(INDEX(Produção!$I$2:$I$109,_xlpm.pos)="","-------",INDEX(Produção!$I$2:$I$109,_xlpm.pos))))</f>
        <v>#REF!</v>
      </c>
      <c r="T80" s="42" t="e" cm="1">
        <f t="array" ref="T80">_xlfn.LET(_xlpm.canal,INDEX($E$2:$P$2,COLUMN()-COLUMN($Q$2)+1),_xlpm.pos,SUMPRODUCT((Produção!$B$2:$B$109=$A80)*(Produção!$F$2:$F$109=_xlpm.canal)*ROW(Produção!$I$2:$I$109))-1,IF(_xlpm.pos&lt;1,"-------",IF(INDEX(Produção!$I$2:$I$109,_xlpm.pos)="","-------",INDEX(Produção!$I$2:$I$109,_xlpm.pos))))</f>
        <v>#REF!</v>
      </c>
      <c r="U80" s="42" t="e" cm="1">
        <f t="array" ref="U80">_xlfn.LET(_xlpm.canal,INDEX($E$2:$P$2,COLUMN()-COLUMN($Q$2)+1),_xlpm.pos,SUMPRODUCT((Produção!$B$2:$B$109=$A80)*(Produção!$F$2:$F$109=_xlpm.canal)*ROW(Produção!$I$2:$I$109))-1,IF(_xlpm.pos&lt;1,"-------",IF(INDEX(Produção!$I$2:$I$109,_xlpm.pos)="","-------",INDEX(Produção!$I$2:$I$109,_xlpm.pos))))</f>
        <v>#REF!</v>
      </c>
      <c r="V80" s="42" t="e" cm="1">
        <f t="array" ref="V80">_xlfn.LET(_xlpm.canal,INDEX($E$2:$P$2,COLUMN()-COLUMN($Q$2)+1),_xlpm.pos,SUMPRODUCT((Produção!$B$2:$B$109=$A80)*(Produção!$F$2:$F$109=_xlpm.canal)*ROW(Produção!$I$2:$I$109))-1,IF(_xlpm.pos&lt;1,"-------",IF(INDEX(Produção!$I$2:$I$109,_xlpm.pos)="","-------",INDEX(Produção!$I$2:$I$109,_xlpm.pos))))</f>
        <v>#REF!</v>
      </c>
      <c r="W80" s="42" t="e" cm="1">
        <f t="array" ref="W80">_xlfn.LET(_xlpm.canal,INDEX($E$2:$P$2,COLUMN()-COLUMN($Q$2)+1),_xlpm.pos,SUMPRODUCT((Produção!$B$2:$B$109=$A80)*(Produção!$F$2:$F$109=_xlpm.canal)*ROW(Produção!$I$2:$I$109))-1,IF(_xlpm.pos&lt;1,"-------",IF(INDEX(Produção!$I$2:$I$109,_xlpm.pos)="","-------",INDEX(Produção!$I$2:$I$109,_xlpm.pos))))</f>
        <v>#REF!</v>
      </c>
      <c r="X80" s="42" t="e" cm="1">
        <f t="array" ref="X80">_xlfn.LET(_xlpm.canal,INDEX($E$2:$P$2,COLUMN()-COLUMN($Q$2)+1),_xlpm.pos,SUMPRODUCT((Produção!$B$2:$B$109=$A80)*(Produção!$F$2:$F$109=_xlpm.canal)*ROW(Produção!$I$2:$I$109))-1,IF(_xlpm.pos&lt;1,"-------",IF(INDEX(Produção!$I$2:$I$109,_xlpm.pos)="","-------",INDEX(Produção!$I$2:$I$109,_xlpm.pos))))</f>
        <v>#REF!</v>
      </c>
      <c r="Y80" s="42" t="e" cm="1">
        <f t="array" ref="Y80">_xlfn.LET(_xlpm.canal,INDEX($E$2:$P$2,COLUMN()-COLUMN($Q$2)+1),_xlpm.pos,SUMPRODUCT((Produção!$B$2:$B$109=$A80)*(Produção!$F$2:$F$109=_xlpm.canal)*ROW(Produção!$I$2:$I$109))-1,IF(_xlpm.pos&lt;1,"-------",IF(INDEX(Produção!$I$2:$I$109,_xlpm.pos)="","-------",INDEX(Produção!$I$2:$I$109,_xlpm.pos))))</f>
        <v>#REF!</v>
      </c>
      <c r="Z80" s="42" t="e" cm="1">
        <f t="array" ref="Z80">_xlfn.LET(_xlpm.canal,INDEX($E$2:$P$2,COLUMN()-COLUMN($Q$2)+1),_xlpm.pos,SUMPRODUCT((Produção!$B$2:$B$109=$A80)*(Produção!$F$2:$F$109=_xlpm.canal)*ROW(Produção!$I$2:$I$109))-1,IF(_xlpm.pos&lt;1,"-------",IF(INDEX(Produção!$I$2:$I$109,_xlpm.pos)="","-------",INDEX(Produção!$I$2:$I$109,_xlpm.pos))))</f>
        <v>#REF!</v>
      </c>
      <c r="AA80" s="42" t="e" cm="1">
        <f t="array" ref="AA80">_xlfn.LET(_xlpm.canal,INDEX($E$2:$P$2,COLUMN()-COLUMN($Q$2)+1),_xlpm.pos,SUMPRODUCT((Produção!$B$2:$B$109=$A80)*(Produção!$F$2:$F$109=_xlpm.canal)*ROW(Produção!$I$2:$I$109))-1,IF(_xlpm.pos&lt;1,"-------",IF(INDEX(Produção!$I$2:$I$109,_xlpm.pos)="","-------",INDEX(Produção!$I$2:$I$109,_xlpm.pos))))</f>
        <v>#REF!</v>
      </c>
      <c r="AB80" s="42" t="e" cm="1">
        <f t="array" ref="AB80">_xlfn.LET(_xlpm.canal,INDEX($E$2:$P$2,COLUMN()-COLUMN($Q$2)+1),_xlpm.pos,SUMPRODUCT((Produção!$B$2:$B$109=$A80)*(Produção!$F$2:$F$109=_xlpm.canal)*ROW(Produção!$I$2:$I$109))-1,IF(_xlpm.pos&lt;1,"-------",IF(INDEX(Produção!$I$2:$I$109,_xlpm.pos)="","-------",INDEX(Produção!$I$2:$I$109,_xlpm.pos))))</f>
        <v>#REF!</v>
      </c>
      <c r="AD80" s="34" t="e" cm="1">
        <f t="array" ref="AD80">SUMPRODUCT(($Q80:$AB80&lt;&gt;"-------")*1)</f>
        <v>#REF!</v>
      </c>
      <c r="AE80" s="34">
        <f>RANK($D80,$D$3:$D$90)+COUNTIF($D$3:$D80,$D80)-1</f>
        <v>78</v>
      </c>
    </row>
    <row r="81" spans="1:31">
      <c r="A81" s="38" t="e" cm="1">
        <f t="array" ref="A81">INDEX(Produção!B$2:B$109,(ROW()-3)*12+1)</f>
        <v>#REF!</v>
      </c>
      <c r="B81" s="39" t="e" cm="1">
        <f t="array" ref="B81">INDEX(Produção!C$2:C$109,(ROW()-3)*12+1)</f>
        <v>#REF!</v>
      </c>
      <c r="C81" s="39" t="e" cm="1">
        <f t="array" ref="C81">INDEX(Produção!D$2:D$109,(ROW()-3)*12+1)</f>
        <v>#REF!</v>
      </c>
      <c r="D81" s="40">
        <f t="shared" si="1"/>
        <v>0</v>
      </c>
      <c r="E81" s="41">
        <f>SUMIFS(Produção!$G$2:$G$109,Produção!$B$2:$B$109,$A81,Produção!$F$2:$F$109,E$2)</f>
        <v>0</v>
      </c>
      <c r="F81" s="41">
        <f>SUMIFS(Produção!$G$2:$G$109,Produção!$B$2:$B$109,$A81,Produção!$F$2:$F$109,F$2)</f>
        <v>0</v>
      </c>
      <c r="G81" s="41">
        <f>SUMIFS(Produção!$G$2:$G$109,Produção!$B$2:$B$109,$A81,Produção!$F$2:$F$109,G$2)</f>
        <v>0</v>
      </c>
      <c r="H81" s="41">
        <f>SUMIFS(Produção!$G$2:$G$109,Produção!$B$2:$B$109,$A81,Produção!$F$2:$F$109,H$2)</f>
        <v>0</v>
      </c>
      <c r="I81" s="41">
        <f>SUMIFS(Produção!$G$2:$G$109,Produção!$B$2:$B$109,$A81,Produção!$F$2:$F$109,I$2)</f>
        <v>0</v>
      </c>
      <c r="J81" s="41">
        <f>SUMIFS(Produção!$G$2:$G$109,Produção!$B$2:$B$109,$A81,Produção!$F$2:$F$109,J$2)</f>
        <v>0</v>
      </c>
      <c r="K81" s="41">
        <f>SUMIFS(Produção!$G$2:$G$109,Produção!$B$2:$B$109,$A81,Produção!$F$2:$F$109,K$2)</f>
        <v>0</v>
      </c>
      <c r="L81" s="41">
        <f>SUMIFS(Produção!$G$2:$G$109,Produção!$B$2:$B$109,$A81,Produção!$F$2:$F$109,L$2)</f>
        <v>0</v>
      </c>
      <c r="M81" s="41">
        <f>SUMIFS(Produção!$G$2:$G$109,Produção!$B$2:$B$109,$A81,Produção!$F$2:$F$109,M$2)</f>
        <v>0</v>
      </c>
      <c r="N81" s="41">
        <f>SUMIFS(Produção!$G$2:$G$109,Produção!$B$2:$B$109,$A81,Produção!$F$2:$F$109,N$2)</f>
        <v>0</v>
      </c>
      <c r="O81" s="41">
        <f>SUMIFS(Produção!$G$2:$G$109,Produção!$B$2:$B$109,$A81,Produção!$F$2:$F$109,O$2)</f>
        <v>0</v>
      </c>
      <c r="P81" s="41">
        <f>SUMIFS(Produção!$G$2:$G$109,Produção!$B$2:$B$109,$A81,Produção!$F$2:$F$109,P$2)</f>
        <v>0</v>
      </c>
      <c r="Q81" s="42" t="e" cm="1">
        <f t="array" ref="Q81">_xlfn.LET(_xlpm.canal,INDEX($E$2:$P$2,COLUMN()-COLUMN($Q$2)+1),_xlpm.pos,SUMPRODUCT((Produção!$B$2:$B$109=$A81)*(Produção!$F$2:$F$109=_xlpm.canal)*ROW(Produção!$I$2:$I$109))-1,IF(_xlpm.pos&lt;1,"-------",IF(INDEX(Produção!$I$2:$I$109,_xlpm.pos)="","-------",INDEX(Produção!$I$2:$I$109,_xlpm.pos))))</f>
        <v>#REF!</v>
      </c>
      <c r="R81" s="42" t="e" cm="1">
        <f t="array" ref="R81">_xlfn.LET(_xlpm.canal,INDEX($E$2:$P$2,COLUMN()-COLUMN($Q$2)+1),_xlpm.pos,SUMPRODUCT((Produção!$B$2:$B$109=$A81)*(Produção!$F$2:$F$109=_xlpm.canal)*ROW(Produção!$I$2:$I$109))-1,IF(_xlpm.pos&lt;1,"-------",IF(INDEX(Produção!$I$2:$I$109,_xlpm.pos)="","-------",INDEX(Produção!$I$2:$I$109,_xlpm.pos))))</f>
        <v>#REF!</v>
      </c>
      <c r="S81" s="42" t="e" cm="1">
        <f t="array" ref="S81">_xlfn.LET(_xlpm.canal,INDEX($E$2:$P$2,COLUMN()-COLUMN($Q$2)+1),_xlpm.pos,SUMPRODUCT((Produção!$B$2:$B$109=$A81)*(Produção!$F$2:$F$109=_xlpm.canal)*ROW(Produção!$I$2:$I$109))-1,IF(_xlpm.pos&lt;1,"-------",IF(INDEX(Produção!$I$2:$I$109,_xlpm.pos)="","-------",INDEX(Produção!$I$2:$I$109,_xlpm.pos))))</f>
        <v>#REF!</v>
      </c>
      <c r="T81" s="42" t="e" cm="1">
        <f t="array" ref="T81">_xlfn.LET(_xlpm.canal,INDEX($E$2:$P$2,COLUMN()-COLUMN($Q$2)+1),_xlpm.pos,SUMPRODUCT((Produção!$B$2:$B$109=$A81)*(Produção!$F$2:$F$109=_xlpm.canal)*ROW(Produção!$I$2:$I$109))-1,IF(_xlpm.pos&lt;1,"-------",IF(INDEX(Produção!$I$2:$I$109,_xlpm.pos)="","-------",INDEX(Produção!$I$2:$I$109,_xlpm.pos))))</f>
        <v>#REF!</v>
      </c>
      <c r="U81" s="42" t="e" cm="1">
        <f t="array" ref="U81">_xlfn.LET(_xlpm.canal,INDEX($E$2:$P$2,COLUMN()-COLUMN($Q$2)+1),_xlpm.pos,SUMPRODUCT((Produção!$B$2:$B$109=$A81)*(Produção!$F$2:$F$109=_xlpm.canal)*ROW(Produção!$I$2:$I$109))-1,IF(_xlpm.pos&lt;1,"-------",IF(INDEX(Produção!$I$2:$I$109,_xlpm.pos)="","-------",INDEX(Produção!$I$2:$I$109,_xlpm.pos))))</f>
        <v>#REF!</v>
      </c>
      <c r="V81" s="42" t="e" cm="1">
        <f t="array" ref="V81">_xlfn.LET(_xlpm.canal,INDEX($E$2:$P$2,COLUMN()-COLUMN($Q$2)+1),_xlpm.pos,SUMPRODUCT((Produção!$B$2:$B$109=$A81)*(Produção!$F$2:$F$109=_xlpm.canal)*ROW(Produção!$I$2:$I$109))-1,IF(_xlpm.pos&lt;1,"-------",IF(INDEX(Produção!$I$2:$I$109,_xlpm.pos)="","-------",INDEX(Produção!$I$2:$I$109,_xlpm.pos))))</f>
        <v>#REF!</v>
      </c>
      <c r="W81" s="42" t="e" cm="1">
        <f t="array" ref="W81">_xlfn.LET(_xlpm.canal,INDEX($E$2:$P$2,COLUMN()-COLUMN($Q$2)+1),_xlpm.pos,SUMPRODUCT((Produção!$B$2:$B$109=$A81)*(Produção!$F$2:$F$109=_xlpm.canal)*ROW(Produção!$I$2:$I$109))-1,IF(_xlpm.pos&lt;1,"-------",IF(INDEX(Produção!$I$2:$I$109,_xlpm.pos)="","-------",INDEX(Produção!$I$2:$I$109,_xlpm.pos))))</f>
        <v>#REF!</v>
      </c>
      <c r="X81" s="42" t="e" cm="1">
        <f t="array" ref="X81">_xlfn.LET(_xlpm.canal,INDEX($E$2:$P$2,COLUMN()-COLUMN($Q$2)+1),_xlpm.pos,SUMPRODUCT((Produção!$B$2:$B$109=$A81)*(Produção!$F$2:$F$109=_xlpm.canal)*ROW(Produção!$I$2:$I$109))-1,IF(_xlpm.pos&lt;1,"-------",IF(INDEX(Produção!$I$2:$I$109,_xlpm.pos)="","-------",INDEX(Produção!$I$2:$I$109,_xlpm.pos))))</f>
        <v>#REF!</v>
      </c>
      <c r="Y81" s="42" t="e" cm="1">
        <f t="array" ref="Y81">_xlfn.LET(_xlpm.canal,INDEX($E$2:$P$2,COLUMN()-COLUMN($Q$2)+1),_xlpm.pos,SUMPRODUCT((Produção!$B$2:$B$109=$A81)*(Produção!$F$2:$F$109=_xlpm.canal)*ROW(Produção!$I$2:$I$109))-1,IF(_xlpm.pos&lt;1,"-------",IF(INDEX(Produção!$I$2:$I$109,_xlpm.pos)="","-------",INDEX(Produção!$I$2:$I$109,_xlpm.pos))))</f>
        <v>#REF!</v>
      </c>
      <c r="Z81" s="42" t="e" cm="1">
        <f t="array" ref="Z81">_xlfn.LET(_xlpm.canal,INDEX($E$2:$P$2,COLUMN()-COLUMN($Q$2)+1),_xlpm.pos,SUMPRODUCT((Produção!$B$2:$B$109=$A81)*(Produção!$F$2:$F$109=_xlpm.canal)*ROW(Produção!$I$2:$I$109))-1,IF(_xlpm.pos&lt;1,"-------",IF(INDEX(Produção!$I$2:$I$109,_xlpm.pos)="","-------",INDEX(Produção!$I$2:$I$109,_xlpm.pos))))</f>
        <v>#REF!</v>
      </c>
      <c r="AA81" s="42" t="e" cm="1">
        <f t="array" ref="AA81">_xlfn.LET(_xlpm.canal,INDEX($E$2:$P$2,COLUMN()-COLUMN($Q$2)+1),_xlpm.pos,SUMPRODUCT((Produção!$B$2:$B$109=$A81)*(Produção!$F$2:$F$109=_xlpm.canal)*ROW(Produção!$I$2:$I$109))-1,IF(_xlpm.pos&lt;1,"-------",IF(INDEX(Produção!$I$2:$I$109,_xlpm.pos)="","-------",INDEX(Produção!$I$2:$I$109,_xlpm.pos))))</f>
        <v>#REF!</v>
      </c>
      <c r="AB81" s="42" t="e" cm="1">
        <f t="array" ref="AB81">_xlfn.LET(_xlpm.canal,INDEX($E$2:$P$2,COLUMN()-COLUMN($Q$2)+1),_xlpm.pos,SUMPRODUCT((Produção!$B$2:$B$109=$A81)*(Produção!$F$2:$F$109=_xlpm.canal)*ROW(Produção!$I$2:$I$109))-1,IF(_xlpm.pos&lt;1,"-------",IF(INDEX(Produção!$I$2:$I$109,_xlpm.pos)="","-------",INDEX(Produção!$I$2:$I$109,_xlpm.pos))))</f>
        <v>#REF!</v>
      </c>
      <c r="AD81" s="34" t="e" cm="1">
        <f t="array" ref="AD81">SUMPRODUCT(($Q81:$AB81&lt;&gt;"-------")*1)</f>
        <v>#REF!</v>
      </c>
      <c r="AE81" s="34">
        <f>RANK($D81,$D$3:$D$90)+COUNTIF($D$3:$D81,$D81)-1</f>
        <v>79</v>
      </c>
    </row>
    <row r="82" spans="1:31">
      <c r="A82" s="38" t="e" cm="1">
        <f t="array" ref="A82">INDEX(Produção!B$2:B$109,(ROW()-3)*12+1)</f>
        <v>#REF!</v>
      </c>
      <c r="B82" s="39" t="e" cm="1">
        <f t="array" ref="B82">INDEX(Produção!C$2:C$109,(ROW()-3)*12+1)</f>
        <v>#REF!</v>
      </c>
      <c r="C82" s="39" t="e" cm="1">
        <f t="array" ref="C82">INDEX(Produção!D$2:D$109,(ROW()-3)*12+1)</f>
        <v>#REF!</v>
      </c>
      <c r="D82" s="40">
        <f t="shared" si="1"/>
        <v>0</v>
      </c>
      <c r="E82" s="41">
        <f>SUMIFS(Produção!$G$2:$G$109,Produção!$B$2:$B$109,$A82,Produção!$F$2:$F$109,E$2)</f>
        <v>0</v>
      </c>
      <c r="F82" s="41">
        <f>SUMIFS(Produção!$G$2:$G$109,Produção!$B$2:$B$109,$A82,Produção!$F$2:$F$109,F$2)</f>
        <v>0</v>
      </c>
      <c r="G82" s="41">
        <f>SUMIFS(Produção!$G$2:$G$109,Produção!$B$2:$B$109,$A82,Produção!$F$2:$F$109,G$2)</f>
        <v>0</v>
      </c>
      <c r="H82" s="41">
        <f>SUMIFS(Produção!$G$2:$G$109,Produção!$B$2:$B$109,$A82,Produção!$F$2:$F$109,H$2)</f>
        <v>0</v>
      </c>
      <c r="I82" s="41">
        <f>SUMIFS(Produção!$G$2:$G$109,Produção!$B$2:$B$109,$A82,Produção!$F$2:$F$109,I$2)</f>
        <v>0</v>
      </c>
      <c r="J82" s="41">
        <f>SUMIFS(Produção!$G$2:$G$109,Produção!$B$2:$B$109,$A82,Produção!$F$2:$F$109,J$2)</f>
        <v>0</v>
      </c>
      <c r="K82" s="41">
        <f>SUMIFS(Produção!$G$2:$G$109,Produção!$B$2:$B$109,$A82,Produção!$F$2:$F$109,K$2)</f>
        <v>0</v>
      </c>
      <c r="L82" s="41">
        <f>SUMIFS(Produção!$G$2:$G$109,Produção!$B$2:$B$109,$A82,Produção!$F$2:$F$109,L$2)</f>
        <v>0</v>
      </c>
      <c r="M82" s="41">
        <f>SUMIFS(Produção!$G$2:$G$109,Produção!$B$2:$B$109,$A82,Produção!$F$2:$F$109,M$2)</f>
        <v>0</v>
      </c>
      <c r="N82" s="41">
        <f>SUMIFS(Produção!$G$2:$G$109,Produção!$B$2:$B$109,$A82,Produção!$F$2:$F$109,N$2)</f>
        <v>0</v>
      </c>
      <c r="O82" s="41">
        <f>SUMIFS(Produção!$G$2:$G$109,Produção!$B$2:$B$109,$A82,Produção!$F$2:$F$109,O$2)</f>
        <v>0</v>
      </c>
      <c r="P82" s="41">
        <f>SUMIFS(Produção!$G$2:$G$109,Produção!$B$2:$B$109,$A82,Produção!$F$2:$F$109,P$2)</f>
        <v>0</v>
      </c>
      <c r="Q82" s="42" t="e" cm="1">
        <f t="array" ref="Q82">_xlfn.LET(_xlpm.canal,INDEX($E$2:$P$2,COLUMN()-COLUMN($Q$2)+1),_xlpm.pos,SUMPRODUCT((Produção!$B$2:$B$109=$A82)*(Produção!$F$2:$F$109=_xlpm.canal)*ROW(Produção!$I$2:$I$109))-1,IF(_xlpm.pos&lt;1,"-------",IF(INDEX(Produção!$I$2:$I$109,_xlpm.pos)="","-------",INDEX(Produção!$I$2:$I$109,_xlpm.pos))))</f>
        <v>#REF!</v>
      </c>
      <c r="R82" s="42" t="e" cm="1">
        <f t="array" ref="R82">_xlfn.LET(_xlpm.canal,INDEX($E$2:$P$2,COLUMN()-COLUMN($Q$2)+1),_xlpm.pos,SUMPRODUCT((Produção!$B$2:$B$109=$A82)*(Produção!$F$2:$F$109=_xlpm.canal)*ROW(Produção!$I$2:$I$109))-1,IF(_xlpm.pos&lt;1,"-------",IF(INDEX(Produção!$I$2:$I$109,_xlpm.pos)="","-------",INDEX(Produção!$I$2:$I$109,_xlpm.pos))))</f>
        <v>#REF!</v>
      </c>
      <c r="S82" s="42" t="e" cm="1">
        <f t="array" ref="S82">_xlfn.LET(_xlpm.canal,INDEX($E$2:$P$2,COLUMN()-COLUMN($Q$2)+1),_xlpm.pos,SUMPRODUCT((Produção!$B$2:$B$109=$A82)*(Produção!$F$2:$F$109=_xlpm.canal)*ROW(Produção!$I$2:$I$109))-1,IF(_xlpm.pos&lt;1,"-------",IF(INDEX(Produção!$I$2:$I$109,_xlpm.pos)="","-------",INDEX(Produção!$I$2:$I$109,_xlpm.pos))))</f>
        <v>#REF!</v>
      </c>
      <c r="T82" s="42" t="e" cm="1">
        <f t="array" ref="T82">_xlfn.LET(_xlpm.canal,INDEX($E$2:$P$2,COLUMN()-COLUMN($Q$2)+1),_xlpm.pos,SUMPRODUCT((Produção!$B$2:$B$109=$A82)*(Produção!$F$2:$F$109=_xlpm.canal)*ROW(Produção!$I$2:$I$109))-1,IF(_xlpm.pos&lt;1,"-------",IF(INDEX(Produção!$I$2:$I$109,_xlpm.pos)="","-------",INDEX(Produção!$I$2:$I$109,_xlpm.pos))))</f>
        <v>#REF!</v>
      </c>
      <c r="U82" s="42" t="e" cm="1">
        <f t="array" ref="U82">_xlfn.LET(_xlpm.canal,INDEX($E$2:$P$2,COLUMN()-COLUMN($Q$2)+1),_xlpm.pos,SUMPRODUCT((Produção!$B$2:$B$109=$A82)*(Produção!$F$2:$F$109=_xlpm.canal)*ROW(Produção!$I$2:$I$109))-1,IF(_xlpm.pos&lt;1,"-------",IF(INDEX(Produção!$I$2:$I$109,_xlpm.pos)="","-------",INDEX(Produção!$I$2:$I$109,_xlpm.pos))))</f>
        <v>#REF!</v>
      </c>
      <c r="V82" s="42" t="e" cm="1">
        <f t="array" ref="V82">_xlfn.LET(_xlpm.canal,INDEX($E$2:$P$2,COLUMN()-COLUMN($Q$2)+1),_xlpm.pos,SUMPRODUCT((Produção!$B$2:$B$109=$A82)*(Produção!$F$2:$F$109=_xlpm.canal)*ROW(Produção!$I$2:$I$109))-1,IF(_xlpm.pos&lt;1,"-------",IF(INDEX(Produção!$I$2:$I$109,_xlpm.pos)="","-------",INDEX(Produção!$I$2:$I$109,_xlpm.pos))))</f>
        <v>#REF!</v>
      </c>
      <c r="W82" s="42" t="e" cm="1">
        <f t="array" ref="W82">_xlfn.LET(_xlpm.canal,INDEX($E$2:$P$2,COLUMN()-COLUMN($Q$2)+1),_xlpm.pos,SUMPRODUCT((Produção!$B$2:$B$109=$A82)*(Produção!$F$2:$F$109=_xlpm.canal)*ROW(Produção!$I$2:$I$109))-1,IF(_xlpm.pos&lt;1,"-------",IF(INDEX(Produção!$I$2:$I$109,_xlpm.pos)="","-------",INDEX(Produção!$I$2:$I$109,_xlpm.pos))))</f>
        <v>#REF!</v>
      </c>
      <c r="X82" s="42" t="e" cm="1">
        <f t="array" ref="X82">_xlfn.LET(_xlpm.canal,INDEX($E$2:$P$2,COLUMN()-COLUMN($Q$2)+1),_xlpm.pos,SUMPRODUCT((Produção!$B$2:$B$109=$A82)*(Produção!$F$2:$F$109=_xlpm.canal)*ROW(Produção!$I$2:$I$109))-1,IF(_xlpm.pos&lt;1,"-------",IF(INDEX(Produção!$I$2:$I$109,_xlpm.pos)="","-------",INDEX(Produção!$I$2:$I$109,_xlpm.pos))))</f>
        <v>#REF!</v>
      </c>
      <c r="Y82" s="42" t="e" cm="1">
        <f t="array" ref="Y82">_xlfn.LET(_xlpm.canal,INDEX($E$2:$P$2,COLUMN()-COLUMN($Q$2)+1),_xlpm.pos,SUMPRODUCT((Produção!$B$2:$B$109=$A82)*(Produção!$F$2:$F$109=_xlpm.canal)*ROW(Produção!$I$2:$I$109))-1,IF(_xlpm.pos&lt;1,"-------",IF(INDEX(Produção!$I$2:$I$109,_xlpm.pos)="","-------",INDEX(Produção!$I$2:$I$109,_xlpm.pos))))</f>
        <v>#REF!</v>
      </c>
      <c r="Z82" s="42" t="e" cm="1">
        <f t="array" ref="Z82">_xlfn.LET(_xlpm.canal,INDEX($E$2:$P$2,COLUMN()-COLUMN($Q$2)+1),_xlpm.pos,SUMPRODUCT((Produção!$B$2:$B$109=$A82)*(Produção!$F$2:$F$109=_xlpm.canal)*ROW(Produção!$I$2:$I$109))-1,IF(_xlpm.pos&lt;1,"-------",IF(INDEX(Produção!$I$2:$I$109,_xlpm.pos)="","-------",INDEX(Produção!$I$2:$I$109,_xlpm.pos))))</f>
        <v>#REF!</v>
      </c>
      <c r="AA82" s="42" t="e" cm="1">
        <f t="array" ref="AA82">_xlfn.LET(_xlpm.canal,INDEX($E$2:$P$2,COLUMN()-COLUMN($Q$2)+1),_xlpm.pos,SUMPRODUCT((Produção!$B$2:$B$109=$A82)*(Produção!$F$2:$F$109=_xlpm.canal)*ROW(Produção!$I$2:$I$109))-1,IF(_xlpm.pos&lt;1,"-------",IF(INDEX(Produção!$I$2:$I$109,_xlpm.pos)="","-------",INDEX(Produção!$I$2:$I$109,_xlpm.pos))))</f>
        <v>#REF!</v>
      </c>
      <c r="AB82" s="42" t="e" cm="1">
        <f t="array" ref="AB82">_xlfn.LET(_xlpm.canal,INDEX($E$2:$P$2,COLUMN()-COLUMN($Q$2)+1),_xlpm.pos,SUMPRODUCT((Produção!$B$2:$B$109=$A82)*(Produção!$F$2:$F$109=_xlpm.canal)*ROW(Produção!$I$2:$I$109))-1,IF(_xlpm.pos&lt;1,"-------",IF(INDEX(Produção!$I$2:$I$109,_xlpm.pos)="","-------",INDEX(Produção!$I$2:$I$109,_xlpm.pos))))</f>
        <v>#REF!</v>
      </c>
      <c r="AD82" s="34" t="e" cm="1">
        <f t="array" ref="AD82">SUMPRODUCT(($Q82:$AB82&lt;&gt;"-------")*1)</f>
        <v>#REF!</v>
      </c>
      <c r="AE82" s="34">
        <f>RANK($D82,$D$3:$D$90)+COUNTIF($D$3:$D82,$D82)-1</f>
        <v>80</v>
      </c>
    </row>
    <row r="83" spans="1:31">
      <c r="A83" s="38" t="e" cm="1">
        <f t="array" ref="A83">INDEX(Produção!B$2:B$109,(ROW()-3)*12+1)</f>
        <v>#REF!</v>
      </c>
      <c r="B83" s="39" t="e" cm="1">
        <f t="array" ref="B83">INDEX(Produção!C$2:C$109,(ROW()-3)*12+1)</f>
        <v>#REF!</v>
      </c>
      <c r="C83" s="39" t="e" cm="1">
        <f t="array" ref="C83">INDEX(Produção!D$2:D$109,(ROW()-3)*12+1)</f>
        <v>#REF!</v>
      </c>
      <c r="D83" s="40">
        <f t="shared" si="1"/>
        <v>0</v>
      </c>
      <c r="E83" s="41">
        <f>SUMIFS(Produção!$G$2:$G$109,Produção!$B$2:$B$109,$A83,Produção!$F$2:$F$109,E$2)</f>
        <v>0</v>
      </c>
      <c r="F83" s="41">
        <f>SUMIFS(Produção!$G$2:$G$109,Produção!$B$2:$B$109,$A83,Produção!$F$2:$F$109,F$2)</f>
        <v>0</v>
      </c>
      <c r="G83" s="41">
        <f>SUMIFS(Produção!$G$2:$G$109,Produção!$B$2:$B$109,$A83,Produção!$F$2:$F$109,G$2)</f>
        <v>0</v>
      </c>
      <c r="H83" s="41">
        <f>SUMIFS(Produção!$G$2:$G$109,Produção!$B$2:$B$109,$A83,Produção!$F$2:$F$109,H$2)</f>
        <v>0</v>
      </c>
      <c r="I83" s="41">
        <f>SUMIFS(Produção!$G$2:$G$109,Produção!$B$2:$B$109,$A83,Produção!$F$2:$F$109,I$2)</f>
        <v>0</v>
      </c>
      <c r="J83" s="41">
        <f>SUMIFS(Produção!$G$2:$G$109,Produção!$B$2:$B$109,$A83,Produção!$F$2:$F$109,J$2)</f>
        <v>0</v>
      </c>
      <c r="K83" s="41">
        <f>SUMIFS(Produção!$G$2:$G$109,Produção!$B$2:$B$109,$A83,Produção!$F$2:$F$109,K$2)</f>
        <v>0</v>
      </c>
      <c r="L83" s="41">
        <f>SUMIFS(Produção!$G$2:$G$109,Produção!$B$2:$B$109,$A83,Produção!$F$2:$F$109,L$2)</f>
        <v>0</v>
      </c>
      <c r="M83" s="41">
        <f>SUMIFS(Produção!$G$2:$G$109,Produção!$B$2:$B$109,$A83,Produção!$F$2:$F$109,M$2)</f>
        <v>0</v>
      </c>
      <c r="N83" s="41">
        <f>SUMIFS(Produção!$G$2:$G$109,Produção!$B$2:$B$109,$A83,Produção!$F$2:$F$109,N$2)</f>
        <v>0</v>
      </c>
      <c r="O83" s="41">
        <f>SUMIFS(Produção!$G$2:$G$109,Produção!$B$2:$B$109,$A83,Produção!$F$2:$F$109,O$2)</f>
        <v>0</v>
      </c>
      <c r="P83" s="41">
        <f>SUMIFS(Produção!$G$2:$G$109,Produção!$B$2:$B$109,$A83,Produção!$F$2:$F$109,P$2)</f>
        <v>0</v>
      </c>
      <c r="Q83" s="42" t="e" cm="1">
        <f t="array" ref="Q83">_xlfn.LET(_xlpm.canal,INDEX($E$2:$P$2,COLUMN()-COLUMN($Q$2)+1),_xlpm.pos,SUMPRODUCT((Produção!$B$2:$B$109=$A83)*(Produção!$F$2:$F$109=_xlpm.canal)*ROW(Produção!$I$2:$I$109))-1,IF(_xlpm.pos&lt;1,"-------",IF(INDEX(Produção!$I$2:$I$109,_xlpm.pos)="","-------",INDEX(Produção!$I$2:$I$109,_xlpm.pos))))</f>
        <v>#REF!</v>
      </c>
      <c r="R83" s="42" t="e" cm="1">
        <f t="array" ref="R83">_xlfn.LET(_xlpm.canal,INDEX($E$2:$P$2,COLUMN()-COLUMN($Q$2)+1),_xlpm.pos,SUMPRODUCT((Produção!$B$2:$B$109=$A83)*(Produção!$F$2:$F$109=_xlpm.canal)*ROW(Produção!$I$2:$I$109))-1,IF(_xlpm.pos&lt;1,"-------",IF(INDEX(Produção!$I$2:$I$109,_xlpm.pos)="","-------",INDEX(Produção!$I$2:$I$109,_xlpm.pos))))</f>
        <v>#REF!</v>
      </c>
      <c r="S83" s="42" t="e" cm="1">
        <f t="array" ref="S83">_xlfn.LET(_xlpm.canal,INDEX($E$2:$P$2,COLUMN()-COLUMN($Q$2)+1),_xlpm.pos,SUMPRODUCT((Produção!$B$2:$B$109=$A83)*(Produção!$F$2:$F$109=_xlpm.canal)*ROW(Produção!$I$2:$I$109))-1,IF(_xlpm.pos&lt;1,"-------",IF(INDEX(Produção!$I$2:$I$109,_xlpm.pos)="","-------",INDEX(Produção!$I$2:$I$109,_xlpm.pos))))</f>
        <v>#REF!</v>
      </c>
      <c r="T83" s="42" t="e" cm="1">
        <f t="array" ref="T83">_xlfn.LET(_xlpm.canal,INDEX($E$2:$P$2,COLUMN()-COLUMN($Q$2)+1),_xlpm.pos,SUMPRODUCT((Produção!$B$2:$B$109=$A83)*(Produção!$F$2:$F$109=_xlpm.canal)*ROW(Produção!$I$2:$I$109))-1,IF(_xlpm.pos&lt;1,"-------",IF(INDEX(Produção!$I$2:$I$109,_xlpm.pos)="","-------",INDEX(Produção!$I$2:$I$109,_xlpm.pos))))</f>
        <v>#REF!</v>
      </c>
      <c r="U83" s="42" t="e" cm="1">
        <f t="array" ref="U83">_xlfn.LET(_xlpm.canal,INDEX($E$2:$P$2,COLUMN()-COLUMN($Q$2)+1),_xlpm.pos,SUMPRODUCT((Produção!$B$2:$B$109=$A83)*(Produção!$F$2:$F$109=_xlpm.canal)*ROW(Produção!$I$2:$I$109))-1,IF(_xlpm.pos&lt;1,"-------",IF(INDEX(Produção!$I$2:$I$109,_xlpm.pos)="","-------",INDEX(Produção!$I$2:$I$109,_xlpm.pos))))</f>
        <v>#REF!</v>
      </c>
      <c r="V83" s="42" t="e" cm="1">
        <f t="array" ref="V83">_xlfn.LET(_xlpm.canal,INDEX($E$2:$P$2,COLUMN()-COLUMN($Q$2)+1),_xlpm.pos,SUMPRODUCT((Produção!$B$2:$B$109=$A83)*(Produção!$F$2:$F$109=_xlpm.canal)*ROW(Produção!$I$2:$I$109))-1,IF(_xlpm.pos&lt;1,"-------",IF(INDEX(Produção!$I$2:$I$109,_xlpm.pos)="","-------",INDEX(Produção!$I$2:$I$109,_xlpm.pos))))</f>
        <v>#REF!</v>
      </c>
      <c r="W83" s="42" t="e" cm="1">
        <f t="array" ref="W83">_xlfn.LET(_xlpm.canal,INDEX($E$2:$P$2,COLUMN()-COLUMN($Q$2)+1),_xlpm.pos,SUMPRODUCT((Produção!$B$2:$B$109=$A83)*(Produção!$F$2:$F$109=_xlpm.canal)*ROW(Produção!$I$2:$I$109))-1,IF(_xlpm.pos&lt;1,"-------",IF(INDEX(Produção!$I$2:$I$109,_xlpm.pos)="","-------",INDEX(Produção!$I$2:$I$109,_xlpm.pos))))</f>
        <v>#REF!</v>
      </c>
      <c r="X83" s="42" t="e" cm="1">
        <f t="array" ref="X83">_xlfn.LET(_xlpm.canal,INDEX($E$2:$P$2,COLUMN()-COLUMN($Q$2)+1),_xlpm.pos,SUMPRODUCT((Produção!$B$2:$B$109=$A83)*(Produção!$F$2:$F$109=_xlpm.canal)*ROW(Produção!$I$2:$I$109))-1,IF(_xlpm.pos&lt;1,"-------",IF(INDEX(Produção!$I$2:$I$109,_xlpm.pos)="","-------",INDEX(Produção!$I$2:$I$109,_xlpm.pos))))</f>
        <v>#REF!</v>
      </c>
      <c r="Y83" s="42" t="e" cm="1">
        <f t="array" ref="Y83">_xlfn.LET(_xlpm.canal,INDEX($E$2:$P$2,COLUMN()-COLUMN($Q$2)+1),_xlpm.pos,SUMPRODUCT((Produção!$B$2:$B$109=$A83)*(Produção!$F$2:$F$109=_xlpm.canal)*ROW(Produção!$I$2:$I$109))-1,IF(_xlpm.pos&lt;1,"-------",IF(INDEX(Produção!$I$2:$I$109,_xlpm.pos)="","-------",INDEX(Produção!$I$2:$I$109,_xlpm.pos))))</f>
        <v>#REF!</v>
      </c>
      <c r="Z83" s="42" t="e" cm="1">
        <f t="array" ref="Z83">_xlfn.LET(_xlpm.canal,INDEX($E$2:$P$2,COLUMN()-COLUMN($Q$2)+1),_xlpm.pos,SUMPRODUCT((Produção!$B$2:$B$109=$A83)*(Produção!$F$2:$F$109=_xlpm.canal)*ROW(Produção!$I$2:$I$109))-1,IF(_xlpm.pos&lt;1,"-------",IF(INDEX(Produção!$I$2:$I$109,_xlpm.pos)="","-------",INDEX(Produção!$I$2:$I$109,_xlpm.pos))))</f>
        <v>#REF!</v>
      </c>
      <c r="AA83" s="42" t="e" cm="1">
        <f t="array" ref="AA83">_xlfn.LET(_xlpm.canal,INDEX($E$2:$P$2,COLUMN()-COLUMN($Q$2)+1),_xlpm.pos,SUMPRODUCT((Produção!$B$2:$B$109=$A83)*(Produção!$F$2:$F$109=_xlpm.canal)*ROW(Produção!$I$2:$I$109))-1,IF(_xlpm.pos&lt;1,"-------",IF(INDEX(Produção!$I$2:$I$109,_xlpm.pos)="","-------",INDEX(Produção!$I$2:$I$109,_xlpm.pos))))</f>
        <v>#REF!</v>
      </c>
      <c r="AB83" s="42" t="e" cm="1">
        <f t="array" ref="AB83">_xlfn.LET(_xlpm.canal,INDEX($E$2:$P$2,COLUMN()-COLUMN($Q$2)+1),_xlpm.pos,SUMPRODUCT((Produção!$B$2:$B$109=$A83)*(Produção!$F$2:$F$109=_xlpm.canal)*ROW(Produção!$I$2:$I$109))-1,IF(_xlpm.pos&lt;1,"-------",IF(INDEX(Produção!$I$2:$I$109,_xlpm.pos)="","-------",INDEX(Produção!$I$2:$I$109,_xlpm.pos))))</f>
        <v>#REF!</v>
      </c>
      <c r="AD83" s="34" t="e" cm="1">
        <f t="array" ref="AD83">SUMPRODUCT(($Q83:$AB83&lt;&gt;"-------")*1)</f>
        <v>#REF!</v>
      </c>
      <c r="AE83" s="34">
        <f>RANK($D83,$D$3:$D$90)+COUNTIF($D$3:$D83,$D83)-1</f>
        <v>81</v>
      </c>
    </row>
    <row r="84" spans="1:31">
      <c r="A84" s="38" t="e" cm="1">
        <f t="array" ref="A84">INDEX(Produção!B$2:B$109,(ROW()-3)*12+1)</f>
        <v>#REF!</v>
      </c>
      <c r="B84" s="39" t="e" cm="1">
        <f t="array" ref="B84">INDEX(Produção!C$2:C$109,(ROW()-3)*12+1)</f>
        <v>#REF!</v>
      </c>
      <c r="C84" s="39" t="e" cm="1">
        <f t="array" ref="C84">INDEX(Produção!D$2:D$109,(ROW()-3)*12+1)</f>
        <v>#REF!</v>
      </c>
      <c r="D84" s="40">
        <f t="shared" si="1"/>
        <v>0</v>
      </c>
      <c r="E84" s="41">
        <f>SUMIFS(Produção!$G$2:$G$109,Produção!$B$2:$B$109,$A84,Produção!$F$2:$F$109,E$2)</f>
        <v>0</v>
      </c>
      <c r="F84" s="41">
        <f>SUMIFS(Produção!$G$2:$G$109,Produção!$B$2:$B$109,$A84,Produção!$F$2:$F$109,F$2)</f>
        <v>0</v>
      </c>
      <c r="G84" s="41">
        <f>SUMIFS(Produção!$G$2:$G$109,Produção!$B$2:$B$109,$A84,Produção!$F$2:$F$109,G$2)</f>
        <v>0</v>
      </c>
      <c r="H84" s="41">
        <f>SUMIFS(Produção!$G$2:$G$109,Produção!$B$2:$B$109,$A84,Produção!$F$2:$F$109,H$2)</f>
        <v>0</v>
      </c>
      <c r="I84" s="41">
        <f>SUMIFS(Produção!$G$2:$G$109,Produção!$B$2:$B$109,$A84,Produção!$F$2:$F$109,I$2)</f>
        <v>0</v>
      </c>
      <c r="J84" s="41">
        <f>SUMIFS(Produção!$G$2:$G$109,Produção!$B$2:$B$109,$A84,Produção!$F$2:$F$109,J$2)</f>
        <v>0</v>
      </c>
      <c r="K84" s="41">
        <f>SUMIFS(Produção!$G$2:$G$109,Produção!$B$2:$B$109,$A84,Produção!$F$2:$F$109,K$2)</f>
        <v>0</v>
      </c>
      <c r="L84" s="41">
        <f>SUMIFS(Produção!$G$2:$G$109,Produção!$B$2:$B$109,$A84,Produção!$F$2:$F$109,L$2)</f>
        <v>0</v>
      </c>
      <c r="M84" s="41">
        <f>SUMIFS(Produção!$G$2:$G$109,Produção!$B$2:$B$109,$A84,Produção!$F$2:$F$109,M$2)</f>
        <v>0</v>
      </c>
      <c r="N84" s="41">
        <f>SUMIFS(Produção!$G$2:$G$109,Produção!$B$2:$B$109,$A84,Produção!$F$2:$F$109,N$2)</f>
        <v>0</v>
      </c>
      <c r="O84" s="41">
        <f>SUMIFS(Produção!$G$2:$G$109,Produção!$B$2:$B$109,$A84,Produção!$F$2:$F$109,O$2)</f>
        <v>0</v>
      </c>
      <c r="P84" s="41">
        <f>SUMIFS(Produção!$G$2:$G$109,Produção!$B$2:$B$109,$A84,Produção!$F$2:$F$109,P$2)</f>
        <v>0</v>
      </c>
      <c r="Q84" s="42" t="e" cm="1">
        <f t="array" ref="Q84">_xlfn.LET(_xlpm.canal,INDEX($E$2:$P$2,COLUMN()-COLUMN($Q$2)+1),_xlpm.pos,SUMPRODUCT((Produção!$B$2:$B$109=$A84)*(Produção!$F$2:$F$109=_xlpm.canal)*ROW(Produção!$I$2:$I$109))-1,IF(_xlpm.pos&lt;1,"-------",IF(INDEX(Produção!$I$2:$I$109,_xlpm.pos)="","-------",INDEX(Produção!$I$2:$I$109,_xlpm.pos))))</f>
        <v>#REF!</v>
      </c>
      <c r="R84" s="42" t="e" cm="1">
        <f t="array" ref="R84">_xlfn.LET(_xlpm.canal,INDEX($E$2:$P$2,COLUMN()-COLUMN($Q$2)+1),_xlpm.pos,SUMPRODUCT((Produção!$B$2:$B$109=$A84)*(Produção!$F$2:$F$109=_xlpm.canal)*ROW(Produção!$I$2:$I$109))-1,IF(_xlpm.pos&lt;1,"-------",IF(INDEX(Produção!$I$2:$I$109,_xlpm.pos)="","-------",INDEX(Produção!$I$2:$I$109,_xlpm.pos))))</f>
        <v>#REF!</v>
      </c>
      <c r="S84" s="42" t="e" cm="1">
        <f t="array" ref="S84">_xlfn.LET(_xlpm.canal,INDEX($E$2:$P$2,COLUMN()-COLUMN($Q$2)+1),_xlpm.pos,SUMPRODUCT((Produção!$B$2:$B$109=$A84)*(Produção!$F$2:$F$109=_xlpm.canal)*ROW(Produção!$I$2:$I$109))-1,IF(_xlpm.pos&lt;1,"-------",IF(INDEX(Produção!$I$2:$I$109,_xlpm.pos)="","-------",INDEX(Produção!$I$2:$I$109,_xlpm.pos))))</f>
        <v>#REF!</v>
      </c>
      <c r="T84" s="42" t="e" cm="1">
        <f t="array" ref="T84">_xlfn.LET(_xlpm.canal,INDEX($E$2:$P$2,COLUMN()-COLUMN($Q$2)+1),_xlpm.pos,SUMPRODUCT((Produção!$B$2:$B$109=$A84)*(Produção!$F$2:$F$109=_xlpm.canal)*ROW(Produção!$I$2:$I$109))-1,IF(_xlpm.pos&lt;1,"-------",IF(INDEX(Produção!$I$2:$I$109,_xlpm.pos)="","-------",INDEX(Produção!$I$2:$I$109,_xlpm.pos))))</f>
        <v>#REF!</v>
      </c>
      <c r="U84" s="42" t="e" cm="1">
        <f t="array" ref="U84">_xlfn.LET(_xlpm.canal,INDEX($E$2:$P$2,COLUMN()-COLUMN($Q$2)+1),_xlpm.pos,SUMPRODUCT((Produção!$B$2:$B$109=$A84)*(Produção!$F$2:$F$109=_xlpm.canal)*ROW(Produção!$I$2:$I$109))-1,IF(_xlpm.pos&lt;1,"-------",IF(INDEX(Produção!$I$2:$I$109,_xlpm.pos)="","-------",INDEX(Produção!$I$2:$I$109,_xlpm.pos))))</f>
        <v>#REF!</v>
      </c>
      <c r="V84" s="42" t="e" cm="1">
        <f t="array" ref="V84">_xlfn.LET(_xlpm.canal,INDEX($E$2:$P$2,COLUMN()-COLUMN($Q$2)+1),_xlpm.pos,SUMPRODUCT((Produção!$B$2:$B$109=$A84)*(Produção!$F$2:$F$109=_xlpm.canal)*ROW(Produção!$I$2:$I$109))-1,IF(_xlpm.pos&lt;1,"-------",IF(INDEX(Produção!$I$2:$I$109,_xlpm.pos)="","-------",INDEX(Produção!$I$2:$I$109,_xlpm.pos))))</f>
        <v>#REF!</v>
      </c>
      <c r="W84" s="42" t="e" cm="1">
        <f t="array" ref="W84">_xlfn.LET(_xlpm.canal,INDEX($E$2:$P$2,COLUMN()-COLUMN($Q$2)+1),_xlpm.pos,SUMPRODUCT((Produção!$B$2:$B$109=$A84)*(Produção!$F$2:$F$109=_xlpm.canal)*ROW(Produção!$I$2:$I$109))-1,IF(_xlpm.pos&lt;1,"-------",IF(INDEX(Produção!$I$2:$I$109,_xlpm.pos)="","-------",INDEX(Produção!$I$2:$I$109,_xlpm.pos))))</f>
        <v>#REF!</v>
      </c>
      <c r="X84" s="42" t="e" cm="1">
        <f t="array" ref="X84">_xlfn.LET(_xlpm.canal,INDEX($E$2:$P$2,COLUMN()-COLUMN($Q$2)+1),_xlpm.pos,SUMPRODUCT((Produção!$B$2:$B$109=$A84)*(Produção!$F$2:$F$109=_xlpm.canal)*ROW(Produção!$I$2:$I$109))-1,IF(_xlpm.pos&lt;1,"-------",IF(INDEX(Produção!$I$2:$I$109,_xlpm.pos)="","-------",INDEX(Produção!$I$2:$I$109,_xlpm.pos))))</f>
        <v>#REF!</v>
      </c>
      <c r="Y84" s="42" t="e" cm="1">
        <f t="array" ref="Y84">_xlfn.LET(_xlpm.canal,INDEX($E$2:$P$2,COLUMN()-COLUMN($Q$2)+1),_xlpm.pos,SUMPRODUCT((Produção!$B$2:$B$109=$A84)*(Produção!$F$2:$F$109=_xlpm.canal)*ROW(Produção!$I$2:$I$109))-1,IF(_xlpm.pos&lt;1,"-------",IF(INDEX(Produção!$I$2:$I$109,_xlpm.pos)="","-------",INDEX(Produção!$I$2:$I$109,_xlpm.pos))))</f>
        <v>#REF!</v>
      </c>
      <c r="Z84" s="42" t="e" cm="1">
        <f t="array" ref="Z84">_xlfn.LET(_xlpm.canal,INDEX($E$2:$P$2,COLUMN()-COLUMN($Q$2)+1),_xlpm.pos,SUMPRODUCT((Produção!$B$2:$B$109=$A84)*(Produção!$F$2:$F$109=_xlpm.canal)*ROW(Produção!$I$2:$I$109))-1,IF(_xlpm.pos&lt;1,"-------",IF(INDEX(Produção!$I$2:$I$109,_xlpm.pos)="","-------",INDEX(Produção!$I$2:$I$109,_xlpm.pos))))</f>
        <v>#REF!</v>
      </c>
      <c r="AA84" s="42" t="e" cm="1">
        <f t="array" ref="AA84">_xlfn.LET(_xlpm.canal,INDEX($E$2:$P$2,COLUMN()-COLUMN($Q$2)+1),_xlpm.pos,SUMPRODUCT((Produção!$B$2:$B$109=$A84)*(Produção!$F$2:$F$109=_xlpm.canal)*ROW(Produção!$I$2:$I$109))-1,IF(_xlpm.pos&lt;1,"-------",IF(INDEX(Produção!$I$2:$I$109,_xlpm.pos)="","-------",INDEX(Produção!$I$2:$I$109,_xlpm.pos))))</f>
        <v>#REF!</v>
      </c>
      <c r="AB84" s="42" t="e" cm="1">
        <f t="array" ref="AB84">_xlfn.LET(_xlpm.canal,INDEX($E$2:$P$2,COLUMN()-COLUMN($Q$2)+1),_xlpm.pos,SUMPRODUCT((Produção!$B$2:$B$109=$A84)*(Produção!$F$2:$F$109=_xlpm.canal)*ROW(Produção!$I$2:$I$109))-1,IF(_xlpm.pos&lt;1,"-------",IF(INDEX(Produção!$I$2:$I$109,_xlpm.pos)="","-------",INDEX(Produção!$I$2:$I$109,_xlpm.pos))))</f>
        <v>#REF!</v>
      </c>
      <c r="AD84" s="34" t="e" cm="1">
        <f t="array" ref="AD84">SUMPRODUCT(($Q84:$AB84&lt;&gt;"-------")*1)</f>
        <v>#REF!</v>
      </c>
      <c r="AE84" s="34">
        <f>RANK($D84,$D$3:$D$90)+COUNTIF($D$3:$D84,$D84)-1</f>
        <v>82</v>
      </c>
    </row>
    <row r="85" spans="1:31">
      <c r="A85" s="38" t="e" cm="1">
        <f t="array" ref="A85">INDEX(Produção!B$2:B$109,(ROW()-3)*12+1)</f>
        <v>#REF!</v>
      </c>
      <c r="B85" s="39" t="e" cm="1">
        <f t="array" ref="B85">INDEX(Produção!C$2:C$109,(ROW()-3)*12+1)</f>
        <v>#REF!</v>
      </c>
      <c r="C85" s="39" t="e" cm="1">
        <f t="array" ref="C85">INDEX(Produção!D$2:D$109,(ROW()-3)*12+1)</f>
        <v>#REF!</v>
      </c>
      <c r="D85" s="40">
        <f t="shared" si="1"/>
        <v>0</v>
      </c>
      <c r="E85" s="41">
        <f>SUMIFS(Produção!$G$2:$G$109,Produção!$B$2:$B$109,$A85,Produção!$F$2:$F$109,E$2)</f>
        <v>0</v>
      </c>
      <c r="F85" s="41">
        <f>SUMIFS(Produção!$G$2:$G$109,Produção!$B$2:$B$109,$A85,Produção!$F$2:$F$109,F$2)</f>
        <v>0</v>
      </c>
      <c r="G85" s="41">
        <f>SUMIFS(Produção!$G$2:$G$109,Produção!$B$2:$B$109,$A85,Produção!$F$2:$F$109,G$2)</f>
        <v>0</v>
      </c>
      <c r="H85" s="41">
        <f>SUMIFS(Produção!$G$2:$G$109,Produção!$B$2:$B$109,$A85,Produção!$F$2:$F$109,H$2)</f>
        <v>0</v>
      </c>
      <c r="I85" s="41">
        <f>SUMIFS(Produção!$G$2:$G$109,Produção!$B$2:$B$109,$A85,Produção!$F$2:$F$109,I$2)</f>
        <v>0</v>
      </c>
      <c r="J85" s="41">
        <f>SUMIFS(Produção!$G$2:$G$109,Produção!$B$2:$B$109,$A85,Produção!$F$2:$F$109,J$2)</f>
        <v>0</v>
      </c>
      <c r="K85" s="41">
        <f>SUMIFS(Produção!$G$2:$G$109,Produção!$B$2:$B$109,$A85,Produção!$F$2:$F$109,K$2)</f>
        <v>0</v>
      </c>
      <c r="L85" s="41">
        <f>SUMIFS(Produção!$G$2:$G$109,Produção!$B$2:$B$109,$A85,Produção!$F$2:$F$109,L$2)</f>
        <v>0</v>
      </c>
      <c r="M85" s="41">
        <f>SUMIFS(Produção!$G$2:$G$109,Produção!$B$2:$B$109,$A85,Produção!$F$2:$F$109,M$2)</f>
        <v>0</v>
      </c>
      <c r="N85" s="41">
        <f>SUMIFS(Produção!$G$2:$G$109,Produção!$B$2:$B$109,$A85,Produção!$F$2:$F$109,N$2)</f>
        <v>0</v>
      </c>
      <c r="O85" s="41">
        <f>SUMIFS(Produção!$G$2:$G$109,Produção!$B$2:$B$109,$A85,Produção!$F$2:$F$109,O$2)</f>
        <v>0</v>
      </c>
      <c r="P85" s="41">
        <f>SUMIFS(Produção!$G$2:$G$109,Produção!$B$2:$B$109,$A85,Produção!$F$2:$F$109,P$2)</f>
        <v>0</v>
      </c>
      <c r="Q85" s="42" t="e" cm="1">
        <f t="array" ref="Q85">_xlfn.LET(_xlpm.canal,INDEX($E$2:$P$2,COLUMN()-COLUMN($Q$2)+1),_xlpm.pos,SUMPRODUCT((Produção!$B$2:$B$109=$A85)*(Produção!$F$2:$F$109=_xlpm.canal)*ROW(Produção!$I$2:$I$109))-1,IF(_xlpm.pos&lt;1,"-------",IF(INDEX(Produção!$I$2:$I$109,_xlpm.pos)="","-------",INDEX(Produção!$I$2:$I$109,_xlpm.pos))))</f>
        <v>#REF!</v>
      </c>
      <c r="R85" s="42" t="e" cm="1">
        <f t="array" ref="R85">_xlfn.LET(_xlpm.canal,INDEX($E$2:$P$2,COLUMN()-COLUMN($Q$2)+1),_xlpm.pos,SUMPRODUCT((Produção!$B$2:$B$109=$A85)*(Produção!$F$2:$F$109=_xlpm.canal)*ROW(Produção!$I$2:$I$109))-1,IF(_xlpm.pos&lt;1,"-------",IF(INDEX(Produção!$I$2:$I$109,_xlpm.pos)="","-------",INDEX(Produção!$I$2:$I$109,_xlpm.pos))))</f>
        <v>#REF!</v>
      </c>
      <c r="S85" s="42" t="e" cm="1">
        <f t="array" ref="S85">_xlfn.LET(_xlpm.canal,INDEX($E$2:$P$2,COLUMN()-COLUMN($Q$2)+1),_xlpm.pos,SUMPRODUCT((Produção!$B$2:$B$109=$A85)*(Produção!$F$2:$F$109=_xlpm.canal)*ROW(Produção!$I$2:$I$109))-1,IF(_xlpm.pos&lt;1,"-------",IF(INDEX(Produção!$I$2:$I$109,_xlpm.pos)="","-------",INDEX(Produção!$I$2:$I$109,_xlpm.pos))))</f>
        <v>#REF!</v>
      </c>
      <c r="T85" s="42" t="e" cm="1">
        <f t="array" ref="T85">_xlfn.LET(_xlpm.canal,INDEX($E$2:$P$2,COLUMN()-COLUMN($Q$2)+1),_xlpm.pos,SUMPRODUCT((Produção!$B$2:$B$109=$A85)*(Produção!$F$2:$F$109=_xlpm.canal)*ROW(Produção!$I$2:$I$109))-1,IF(_xlpm.pos&lt;1,"-------",IF(INDEX(Produção!$I$2:$I$109,_xlpm.pos)="","-------",INDEX(Produção!$I$2:$I$109,_xlpm.pos))))</f>
        <v>#REF!</v>
      </c>
      <c r="U85" s="42" t="e" cm="1">
        <f t="array" ref="U85">_xlfn.LET(_xlpm.canal,INDEX($E$2:$P$2,COLUMN()-COLUMN($Q$2)+1),_xlpm.pos,SUMPRODUCT((Produção!$B$2:$B$109=$A85)*(Produção!$F$2:$F$109=_xlpm.canal)*ROW(Produção!$I$2:$I$109))-1,IF(_xlpm.pos&lt;1,"-------",IF(INDEX(Produção!$I$2:$I$109,_xlpm.pos)="","-------",INDEX(Produção!$I$2:$I$109,_xlpm.pos))))</f>
        <v>#REF!</v>
      </c>
      <c r="V85" s="42" t="e" cm="1">
        <f t="array" ref="V85">_xlfn.LET(_xlpm.canal,INDEX($E$2:$P$2,COLUMN()-COLUMN($Q$2)+1),_xlpm.pos,SUMPRODUCT((Produção!$B$2:$B$109=$A85)*(Produção!$F$2:$F$109=_xlpm.canal)*ROW(Produção!$I$2:$I$109))-1,IF(_xlpm.pos&lt;1,"-------",IF(INDEX(Produção!$I$2:$I$109,_xlpm.pos)="","-------",INDEX(Produção!$I$2:$I$109,_xlpm.pos))))</f>
        <v>#REF!</v>
      </c>
      <c r="W85" s="42" t="e" cm="1">
        <f t="array" ref="W85">_xlfn.LET(_xlpm.canal,INDEX($E$2:$P$2,COLUMN()-COLUMN($Q$2)+1),_xlpm.pos,SUMPRODUCT((Produção!$B$2:$B$109=$A85)*(Produção!$F$2:$F$109=_xlpm.canal)*ROW(Produção!$I$2:$I$109))-1,IF(_xlpm.pos&lt;1,"-------",IF(INDEX(Produção!$I$2:$I$109,_xlpm.pos)="","-------",INDEX(Produção!$I$2:$I$109,_xlpm.pos))))</f>
        <v>#REF!</v>
      </c>
      <c r="X85" s="42" t="e" cm="1">
        <f t="array" ref="X85">_xlfn.LET(_xlpm.canal,INDEX($E$2:$P$2,COLUMN()-COLUMN($Q$2)+1),_xlpm.pos,SUMPRODUCT((Produção!$B$2:$B$109=$A85)*(Produção!$F$2:$F$109=_xlpm.canal)*ROW(Produção!$I$2:$I$109))-1,IF(_xlpm.pos&lt;1,"-------",IF(INDEX(Produção!$I$2:$I$109,_xlpm.pos)="","-------",INDEX(Produção!$I$2:$I$109,_xlpm.pos))))</f>
        <v>#REF!</v>
      </c>
      <c r="Y85" s="42" t="e" cm="1">
        <f t="array" ref="Y85">_xlfn.LET(_xlpm.canal,INDEX($E$2:$P$2,COLUMN()-COLUMN($Q$2)+1),_xlpm.pos,SUMPRODUCT((Produção!$B$2:$B$109=$A85)*(Produção!$F$2:$F$109=_xlpm.canal)*ROW(Produção!$I$2:$I$109))-1,IF(_xlpm.pos&lt;1,"-------",IF(INDEX(Produção!$I$2:$I$109,_xlpm.pos)="","-------",INDEX(Produção!$I$2:$I$109,_xlpm.pos))))</f>
        <v>#REF!</v>
      </c>
      <c r="Z85" s="42" t="e" cm="1">
        <f t="array" ref="Z85">_xlfn.LET(_xlpm.canal,INDEX($E$2:$P$2,COLUMN()-COLUMN($Q$2)+1),_xlpm.pos,SUMPRODUCT((Produção!$B$2:$B$109=$A85)*(Produção!$F$2:$F$109=_xlpm.canal)*ROW(Produção!$I$2:$I$109))-1,IF(_xlpm.pos&lt;1,"-------",IF(INDEX(Produção!$I$2:$I$109,_xlpm.pos)="","-------",INDEX(Produção!$I$2:$I$109,_xlpm.pos))))</f>
        <v>#REF!</v>
      </c>
      <c r="AA85" s="42" t="e" cm="1">
        <f t="array" ref="AA85">_xlfn.LET(_xlpm.canal,INDEX($E$2:$P$2,COLUMN()-COLUMN($Q$2)+1),_xlpm.pos,SUMPRODUCT((Produção!$B$2:$B$109=$A85)*(Produção!$F$2:$F$109=_xlpm.canal)*ROW(Produção!$I$2:$I$109))-1,IF(_xlpm.pos&lt;1,"-------",IF(INDEX(Produção!$I$2:$I$109,_xlpm.pos)="","-------",INDEX(Produção!$I$2:$I$109,_xlpm.pos))))</f>
        <v>#REF!</v>
      </c>
      <c r="AB85" s="42" t="e" cm="1">
        <f t="array" ref="AB85">_xlfn.LET(_xlpm.canal,INDEX($E$2:$P$2,COLUMN()-COLUMN($Q$2)+1),_xlpm.pos,SUMPRODUCT((Produção!$B$2:$B$109=$A85)*(Produção!$F$2:$F$109=_xlpm.canal)*ROW(Produção!$I$2:$I$109))-1,IF(_xlpm.pos&lt;1,"-------",IF(INDEX(Produção!$I$2:$I$109,_xlpm.pos)="","-------",INDEX(Produção!$I$2:$I$109,_xlpm.pos))))</f>
        <v>#REF!</v>
      </c>
      <c r="AD85" s="34" t="e" cm="1">
        <f t="array" ref="AD85">SUMPRODUCT(($Q85:$AB85&lt;&gt;"-------")*1)</f>
        <v>#REF!</v>
      </c>
      <c r="AE85" s="34">
        <f>RANK($D85,$D$3:$D$90)+COUNTIF($D$3:$D85,$D85)-1</f>
        <v>83</v>
      </c>
    </row>
    <row r="86" spans="1:31">
      <c r="A86" s="38" t="e" cm="1">
        <f t="array" ref="A86">INDEX(Produção!B$2:B$109,(ROW()-3)*12+1)</f>
        <v>#REF!</v>
      </c>
      <c r="B86" s="39" t="e" cm="1">
        <f t="array" ref="B86">INDEX(Produção!C$2:C$109,(ROW()-3)*12+1)</f>
        <v>#REF!</v>
      </c>
      <c r="C86" s="39" t="e" cm="1">
        <f t="array" ref="C86">INDEX(Produção!D$2:D$109,(ROW()-3)*12+1)</f>
        <v>#REF!</v>
      </c>
      <c r="D86" s="40">
        <f t="shared" si="1"/>
        <v>0</v>
      </c>
      <c r="E86" s="41">
        <f>SUMIFS(Produção!$G$2:$G$109,Produção!$B$2:$B$109,$A86,Produção!$F$2:$F$109,E$2)</f>
        <v>0</v>
      </c>
      <c r="F86" s="41">
        <f>SUMIFS(Produção!$G$2:$G$109,Produção!$B$2:$B$109,$A86,Produção!$F$2:$F$109,F$2)</f>
        <v>0</v>
      </c>
      <c r="G86" s="41">
        <f>SUMIFS(Produção!$G$2:$G$109,Produção!$B$2:$B$109,$A86,Produção!$F$2:$F$109,G$2)</f>
        <v>0</v>
      </c>
      <c r="H86" s="41">
        <f>SUMIFS(Produção!$G$2:$G$109,Produção!$B$2:$B$109,$A86,Produção!$F$2:$F$109,H$2)</f>
        <v>0</v>
      </c>
      <c r="I86" s="41">
        <f>SUMIFS(Produção!$G$2:$G$109,Produção!$B$2:$B$109,$A86,Produção!$F$2:$F$109,I$2)</f>
        <v>0</v>
      </c>
      <c r="J86" s="41">
        <f>SUMIFS(Produção!$G$2:$G$109,Produção!$B$2:$B$109,$A86,Produção!$F$2:$F$109,J$2)</f>
        <v>0</v>
      </c>
      <c r="K86" s="41">
        <f>SUMIFS(Produção!$G$2:$G$109,Produção!$B$2:$B$109,$A86,Produção!$F$2:$F$109,K$2)</f>
        <v>0</v>
      </c>
      <c r="L86" s="41">
        <f>SUMIFS(Produção!$G$2:$G$109,Produção!$B$2:$B$109,$A86,Produção!$F$2:$F$109,L$2)</f>
        <v>0</v>
      </c>
      <c r="M86" s="41">
        <f>SUMIFS(Produção!$G$2:$G$109,Produção!$B$2:$B$109,$A86,Produção!$F$2:$F$109,M$2)</f>
        <v>0</v>
      </c>
      <c r="N86" s="41">
        <f>SUMIFS(Produção!$G$2:$G$109,Produção!$B$2:$B$109,$A86,Produção!$F$2:$F$109,N$2)</f>
        <v>0</v>
      </c>
      <c r="O86" s="41">
        <f>SUMIFS(Produção!$G$2:$G$109,Produção!$B$2:$B$109,$A86,Produção!$F$2:$F$109,O$2)</f>
        <v>0</v>
      </c>
      <c r="P86" s="41">
        <f>SUMIFS(Produção!$G$2:$G$109,Produção!$B$2:$B$109,$A86,Produção!$F$2:$F$109,P$2)</f>
        <v>0</v>
      </c>
      <c r="Q86" s="42" t="e" cm="1">
        <f t="array" ref="Q86">_xlfn.LET(_xlpm.canal,INDEX($E$2:$P$2,COLUMN()-COLUMN($Q$2)+1),_xlpm.pos,SUMPRODUCT((Produção!$B$2:$B$109=$A86)*(Produção!$F$2:$F$109=_xlpm.canal)*ROW(Produção!$I$2:$I$109))-1,IF(_xlpm.pos&lt;1,"-------",IF(INDEX(Produção!$I$2:$I$109,_xlpm.pos)="","-------",INDEX(Produção!$I$2:$I$109,_xlpm.pos))))</f>
        <v>#REF!</v>
      </c>
      <c r="R86" s="42" t="e" cm="1">
        <f t="array" ref="R86">_xlfn.LET(_xlpm.canal,INDEX($E$2:$P$2,COLUMN()-COLUMN($Q$2)+1),_xlpm.pos,SUMPRODUCT((Produção!$B$2:$B$109=$A86)*(Produção!$F$2:$F$109=_xlpm.canal)*ROW(Produção!$I$2:$I$109))-1,IF(_xlpm.pos&lt;1,"-------",IF(INDEX(Produção!$I$2:$I$109,_xlpm.pos)="","-------",INDEX(Produção!$I$2:$I$109,_xlpm.pos))))</f>
        <v>#REF!</v>
      </c>
      <c r="S86" s="42" t="e" cm="1">
        <f t="array" ref="S86">_xlfn.LET(_xlpm.canal,INDEX($E$2:$P$2,COLUMN()-COLUMN($Q$2)+1),_xlpm.pos,SUMPRODUCT((Produção!$B$2:$B$109=$A86)*(Produção!$F$2:$F$109=_xlpm.canal)*ROW(Produção!$I$2:$I$109))-1,IF(_xlpm.pos&lt;1,"-------",IF(INDEX(Produção!$I$2:$I$109,_xlpm.pos)="","-------",INDEX(Produção!$I$2:$I$109,_xlpm.pos))))</f>
        <v>#REF!</v>
      </c>
      <c r="T86" s="42" t="e" cm="1">
        <f t="array" ref="T86">_xlfn.LET(_xlpm.canal,INDEX($E$2:$P$2,COLUMN()-COLUMN($Q$2)+1),_xlpm.pos,SUMPRODUCT((Produção!$B$2:$B$109=$A86)*(Produção!$F$2:$F$109=_xlpm.canal)*ROW(Produção!$I$2:$I$109))-1,IF(_xlpm.pos&lt;1,"-------",IF(INDEX(Produção!$I$2:$I$109,_xlpm.pos)="","-------",INDEX(Produção!$I$2:$I$109,_xlpm.pos))))</f>
        <v>#REF!</v>
      </c>
      <c r="U86" s="42" t="e" cm="1">
        <f t="array" ref="U86">_xlfn.LET(_xlpm.canal,INDEX($E$2:$P$2,COLUMN()-COLUMN($Q$2)+1),_xlpm.pos,SUMPRODUCT((Produção!$B$2:$B$109=$A86)*(Produção!$F$2:$F$109=_xlpm.canal)*ROW(Produção!$I$2:$I$109))-1,IF(_xlpm.pos&lt;1,"-------",IF(INDEX(Produção!$I$2:$I$109,_xlpm.pos)="","-------",INDEX(Produção!$I$2:$I$109,_xlpm.pos))))</f>
        <v>#REF!</v>
      </c>
      <c r="V86" s="42" t="e" cm="1">
        <f t="array" ref="V86">_xlfn.LET(_xlpm.canal,INDEX($E$2:$P$2,COLUMN()-COLUMN($Q$2)+1),_xlpm.pos,SUMPRODUCT((Produção!$B$2:$B$109=$A86)*(Produção!$F$2:$F$109=_xlpm.canal)*ROW(Produção!$I$2:$I$109))-1,IF(_xlpm.pos&lt;1,"-------",IF(INDEX(Produção!$I$2:$I$109,_xlpm.pos)="","-------",INDEX(Produção!$I$2:$I$109,_xlpm.pos))))</f>
        <v>#REF!</v>
      </c>
      <c r="W86" s="42" t="e" cm="1">
        <f t="array" ref="W86">_xlfn.LET(_xlpm.canal,INDEX($E$2:$P$2,COLUMN()-COLUMN($Q$2)+1),_xlpm.pos,SUMPRODUCT((Produção!$B$2:$B$109=$A86)*(Produção!$F$2:$F$109=_xlpm.canal)*ROW(Produção!$I$2:$I$109))-1,IF(_xlpm.pos&lt;1,"-------",IF(INDEX(Produção!$I$2:$I$109,_xlpm.pos)="","-------",INDEX(Produção!$I$2:$I$109,_xlpm.pos))))</f>
        <v>#REF!</v>
      </c>
      <c r="X86" s="42" t="e" cm="1">
        <f t="array" ref="X86">_xlfn.LET(_xlpm.canal,INDEX($E$2:$P$2,COLUMN()-COLUMN($Q$2)+1),_xlpm.pos,SUMPRODUCT((Produção!$B$2:$B$109=$A86)*(Produção!$F$2:$F$109=_xlpm.canal)*ROW(Produção!$I$2:$I$109))-1,IF(_xlpm.pos&lt;1,"-------",IF(INDEX(Produção!$I$2:$I$109,_xlpm.pos)="","-------",INDEX(Produção!$I$2:$I$109,_xlpm.pos))))</f>
        <v>#REF!</v>
      </c>
      <c r="Y86" s="42" t="e" cm="1">
        <f t="array" ref="Y86">_xlfn.LET(_xlpm.canal,INDEX($E$2:$P$2,COLUMN()-COLUMN($Q$2)+1),_xlpm.pos,SUMPRODUCT((Produção!$B$2:$B$109=$A86)*(Produção!$F$2:$F$109=_xlpm.canal)*ROW(Produção!$I$2:$I$109))-1,IF(_xlpm.pos&lt;1,"-------",IF(INDEX(Produção!$I$2:$I$109,_xlpm.pos)="","-------",INDEX(Produção!$I$2:$I$109,_xlpm.pos))))</f>
        <v>#REF!</v>
      </c>
      <c r="Z86" s="42" t="e" cm="1">
        <f t="array" ref="Z86">_xlfn.LET(_xlpm.canal,INDEX($E$2:$P$2,COLUMN()-COLUMN($Q$2)+1),_xlpm.pos,SUMPRODUCT((Produção!$B$2:$B$109=$A86)*(Produção!$F$2:$F$109=_xlpm.canal)*ROW(Produção!$I$2:$I$109))-1,IF(_xlpm.pos&lt;1,"-------",IF(INDEX(Produção!$I$2:$I$109,_xlpm.pos)="","-------",INDEX(Produção!$I$2:$I$109,_xlpm.pos))))</f>
        <v>#REF!</v>
      </c>
      <c r="AA86" s="42" t="e" cm="1">
        <f t="array" ref="AA86">_xlfn.LET(_xlpm.canal,INDEX($E$2:$P$2,COLUMN()-COLUMN($Q$2)+1),_xlpm.pos,SUMPRODUCT((Produção!$B$2:$B$109=$A86)*(Produção!$F$2:$F$109=_xlpm.canal)*ROW(Produção!$I$2:$I$109))-1,IF(_xlpm.pos&lt;1,"-------",IF(INDEX(Produção!$I$2:$I$109,_xlpm.pos)="","-------",INDEX(Produção!$I$2:$I$109,_xlpm.pos))))</f>
        <v>#REF!</v>
      </c>
      <c r="AB86" s="42" t="e" cm="1">
        <f t="array" ref="AB86">_xlfn.LET(_xlpm.canal,INDEX($E$2:$P$2,COLUMN()-COLUMN($Q$2)+1),_xlpm.pos,SUMPRODUCT((Produção!$B$2:$B$109=$A86)*(Produção!$F$2:$F$109=_xlpm.canal)*ROW(Produção!$I$2:$I$109))-1,IF(_xlpm.pos&lt;1,"-------",IF(INDEX(Produção!$I$2:$I$109,_xlpm.pos)="","-------",INDEX(Produção!$I$2:$I$109,_xlpm.pos))))</f>
        <v>#REF!</v>
      </c>
      <c r="AD86" s="34" t="e" cm="1">
        <f t="array" ref="AD86">SUMPRODUCT(($Q86:$AB86&lt;&gt;"-------")*1)</f>
        <v>#REF!</v>
      </c>
      <c r="AE86" s="34">
        <f>RANK($D86,$D$3:$D$90)+COUNTIF($D$3:$D86,$D86)-1</f>
        <v>84</v>
      </c>
    </row>
    <row r="87" spans="1:31">
      <c r="A87" s="38" t="e" cm="1">
        <f t="array" ref="A87">INDEX(Produção!B$2:B$109,(ROW()-3)*12+1)</f>
        <v>#REF!</v>
      </c>
      <c r="B87" s="39" t="e" cm="1">
        <f t="array" ref="B87">INDEX(Produção!C$2:C$109,(ROW()-3)*12+1)</f>
        <v>#REF!</v>
      </c>
      <c r="C87" s="39" t="e" cm="1">
        <f t="array" ref="C87">INDEX(Produção!D$2:D$109,(ROW()-3)*12+1)</f>
        <v>#REF!</v>
      </c>
      <c r="D87" s="40">
        <f t="shared" si="1"/>
        <v>0</v>
      </c>
      <c r="E87" s="41">
        <f>SUMIFS(Produção!$G$2:$G$109,Produção!$B$2:$B$109,$A87,Produção!$F$2:$F$109,E$2)</f>
        <v>0</v>
      </c>
      <c r="F87" s="41">
        <f>SUMIFS(Produção!$G$2:$G$109,Produção!$B$2:$B$109,$A87,Produção!$F$2:$F$109,F$2)</f>
        <v>0</v>
      </c>
      <c r="G87" s="41">
        <f>SUMIFS(Produção!$G$2:$G$109,Produção!$B$2:$B$109,$A87,Produção!$F$2:$F$109,G$2)</f>
        <v>0</v>
      </c>
      <c r="H87" s="41">
        <f>SUMIFS(Produção!$G$2:$G$109,Produção!$B$2:$B$109,$A87,Produção!$F$2:$F$109,H$2)</f>
        <v>0</v>
      </c>
      <c r="I87" s="41">
        <f>SUMIFS(Produção!$G$2:$G$109,Produção!$B$2:$B$109,$A87,Produção!$F$2:$F$109,I$2)</f>
        <v>0</v>
      </c>
      <c r="J87" s="41">
        <f>SUMIFS(Produção!$G$2:$G$109,Produção!$B$2:$B$109,$A87,Produção!$F$2:$F$109,J$2)</f>
        <v>0</v>
      </c>
      <c r="K87" s="41">
        <f>SUMIFS(Produção!$G$2:$G$109,Produção!$B$2:$B$109,$A87,Produção!$F$2:$F$109,K$2)</f>
        <v>0</v>
      </c>
      <c r="L87" s="41">
        <f>SUMIFS(Produção!$G$2:$G$109,Produção!$B$2:$B$109,$A87,Produção!$F$2:$F$109,L$2)</f>
        <v>0</v>
      </c>
      <c r="M87" s="41">
        <f>SUMIFS(Produção!$G$2:$G$109,Produção!$B$2:$B$109,$A87,Produção!$F$2:$F$109,M$2)</f>
        <v>0</v>
      </c>
      <c r="N87" s="41">
        <f>SUMIFS(Produção!$G$2:$G$109,Produção!$B$2:$B$109,$A87,Produção!$F$2:$F$109,N$2)</f>
        <v>0</v>
      </c>
      <c r="O87" s="41">
        <f>SUMIFS(Produção!$G$2:$G$109,Produção!$B$2:$B$109,$A87,Produção!$F$2:$F$109,O$2)</f>
        <v>0</v>
      </c>
      <c r="P87" s="41">
        <f>SUMIFS(Produção!$G$2:$G$109,Produção!$B$2:$B$109,$A87,Produção!$F$2:$F$109,P$2)</f>
        <v>0</v>
      </c>
      <c r="Q87" s="42" t="e" cm="1">
        <f t="array" ref="Q87">_xlfn.LET(_xlpm.canal,INDEX($E$2:$P$2,COLUMN()-COLUMN($Q$2)+1),_xlpm.pos,SUMPRODUCT((Produção!$B$2:$B$109=$A87)*(Produção!$F$2:$F$109=_xlpm.canal)*ROW(Produção!$I$2:$I$109))-1,IF(_xlpm.pos&lt;1,"-------",IF(INDEX(Produção!$I$2:$I$109,_xlpm.pos)="","-------",INDEX(Produção!$I$2:$I$109,_xlpm.pos))))</f>
        <v>#REF!</v>
      </c>
      <c r="R87" s="42" t="e" cm="1">
        <f t="array" ref="R87">_xlfn.LET(_xlpm.canal,INDEX($E$2:$P$2,COLUMN()-COLUMN($Q$2)+1),_xlpm.pos,SUMPRODUCT((Produção!$B$2:$B$109=$A87)*(Produção!$F$2:$F$109=_xlpm.canal)*ROW(Produção!$I$2:$I$109))-1,IF(_xlpm.pos&lt;1,"-------",IF(INDEX(Produção!$I$2:$I$109,_xlpm.pos)="","-------",INDEX(Produção!$I$2:$I$109,_xlpm.pos))))</f>
        <v>#REF!</v>
      </c>
      <c r="S87" s="42" t="e" cm="1">
        <f t="array" ref="S87">_xlfn.LET(_xlpm.canal,INDEX($E$2:$P$2,COLUMN()-COLUMN($Q$2)+1),_xlpm.pos,SUMPRODUCT((Produção!$B$2:$B$109=$A87)*(Produção!$F$2:$F$109=_xlpm.canal)*ROW(Produção!$I$2:$I$109))-1,IF(_xlpm.pos&lt;1,"-------",IF(INDEX(Produção!$I$2:$I$109,_xlpm.pos)="","-------",INDEX(Produção!$I$2:$I$109,_xlpm.pos))))</f>
        <v>#REF!</v>
      </c>
      <c r="T87" s="42" t="e" cm="1">
        <f t="array" ref="T87">_xlfn.LET(_xlpm.canal,INDEX($E$2:$P$2,COLUMN()-COLUMN($Q$2)+1),_xlpm.pos,SUMPRODUCT((Produção!$B$2:$B$109=$A87)*(Produção!$F$2:$F$109=_xlpm.canal)*ROW(Produção!$I$2:$I$109))-1,IF(_xlpm.pos&lt;1,"-------",IF(INDEX(Produção!$I$2:$I$109,_xlpm.pos)="","-------",INDEX(Produção!$I$2:$I$109,_xlpm.pos))))</f>
        <v>#REF!</v>
      </c>
      <c r="U87" s="42" t="e" cm="1">
        <f t="array" ref="U87">_xlfn.LET(_xlpm.canal,INDEX($E$2:$P$2,COLUMN()-COLUMN($Q$2)+1),_xlpm.pos,SUMPRODUCT((Produção!$B$2:$B$109=$A87)*(Produção!$F$2:$F$109=_xlpm.canal)*ROW(Produção!$I$2:$I$109))-1,IF(_xlpm.pos&lt;1,"-------",IF(INDEX(Produção!$I$2:$I$109,_xlpm.pos)="","-------",INDEX(Produção!$I$2:$I$109,_xlpm.pos))))</f>
        <v>#REF!</v>
      </c>
      <c r="V87" s="42" t="e" cm="1">
        <f t="array" ref="V87">_xlfn.LET(_xlpm.canal,INDEX($E$2:$P$2,COLUMN()-COLUMN($Q$2)+1),_xlpm.pos,SUMPRODUCT((Produção!$B$2:$B$109=$A87)*(Produção!$F$2:$F$109=_xlpm.canal)*ROW(Produção!$I$2:$I$109))-1,IF(_xlpm.pos&lt;1,"-------",IF(INDEX(Produção!$I$2:$I$109,_xlpm.pos)="","-------",INDEX(Produção!$I$2:$I$109,_xlpm.pos))))</f>
        <v>#REF!</v>
      </c>
      <c r="W87" s="42" t="e" cm="1">
        <f t="array" ref="W87">_xlfn.LET(_xlpm.canal,INDEX($E$2:$P$2,COLUMN()-COLUMN($Q$2)+1),_xlpm.pos,SUMPRODUCT((Produção!$B$2:$B$109=$A87)*(Produção!$F$2:$F$109=_xlpm.canal)*ROW(Produção!$I$2:$I$109))-1,IF(_xlpm.pos&lt;1,"-------",IF(INDEX(Produção!$I$2:$I$109,_xlpm.pos)="","-------",INDEX(Produção!$I$2:$I$109,_xlpm.pos))))</f>
        <v>#REF!</v>
      </c>
      <c r="X87" s="42" t="e" cm="1">
        <f t="array" ref="X87">_xlfn.LET(_xlpm.canal,INDEX($E$2:$P$2,COLUMN()-COLUMN($Q$2)+1),_xlpm.pos,SUMPRODUCT((Produção!$B$2:$B$109=$A87)*(Produção!$F$2:$F$109=_xlpm.canal)*ROW(Produção!$I$2:$I$109))-1,IF(_xlpm.pos&lt;1,"-------",IF(INDEX(Produção!$I$2:$I$109,_xlpm.pos)="","-------",INDEX(Produção!$I$2:$I$109,_xlpm.pos))))</f>
        <v>#REF!</v>
      </c>
      <c r="Y87" s="42" t="e" cm="1">
        <f t="array" ref="Y87">_xlfn.LET(_xlpm.canal,INDEX($E$2:$P$2,COLUMN()-COLUMN($Q$2)+1),_xlpm.pos,SUMPRODUCT((Produção!$B$2:$B$109=$A87)*(Produção!$F$2:$F$109=_xlpm.canal)*ROW(Produção!$I$2:$I$109))-1,IF(_xlpm.pos&lt;1,"-------",IF(INDEX(Produção!$I$2:$I$109,_xlpm.pos)="","-------",INDEX(Produção!$I$2:$I$109,_xlpm.pos))))</f>
        <v>#REF!</v>
      </c>
      <c r="Z87" s="42" t="e" cm="1">
        <f t="array" ref="Z87">_xlfn.LET(_xlpm.canal,INDEX($E$2:$P$2,COLUMN()-COLUMN($Q$2)+1),_xlpm.pos,SUMPRODUCT((Produção!$B$2:$B$109=$A87)*(Produção!$F$2:$F$109=_xlpm.canal)*ROW(Produção!$I$2:$I$109))-1,IF(_xlpm.pos&lt;1,"-------",IF(INDEX(Produção!$I$2:$I$109,_xlpm.pos)="","-------",INDEX(Produção!$I$2:$I$109,_xlpm.pos))))</f>
        <v>#REF!</v>
      </c>
      <c r="AA87" s="42" t="e" cm="1">
        <f t="array" ref="AA87">_xlfn.LET(_xlpm.canal,INDEX($E$2:$P$2,COLUMN()-COLUMN($Q$2)+1),_xlpm.pos,SUMPRODUCT((Produção!$B$2:$B$109=$A87)*(Produção!$F$2:$F$109=_xlpm.canal)*ROW(Produção!$I$2:$I$109))-1,IF(_xlpm.pos&lt;1,"-------",IF(INDEX(Produção!$I$2:$I$109,_xlpm.pos)="","-------",INDEX(Produção!$I$2:$I$109,_xlpm.pos))))</f>
        <v>#REF!</v>
      </c>
      <c r="AB87" s="42" t="e" cm="1">
        <f t="array" ref="AB87">_xlfn.LET(_xlpm.canal,INDEX($E$2:$P$2,COLUMN()-COLUMN($Q$2)+1),_xlpm.pos,SUMPRODUCT((Produção!$B$2:$B$109=$A87)*(Produção!$F$2:$F$109=_xlpm.canal)*ROW(Produção!$I$2:$I$109))-1,IF(_xlpm.pos&lt;1,"-------",IF(INDEX(Produção!$I$2:$I$109,_xlpm.pos)="","-------",INDEX(Produção!$I$2:$I$109,_xlpm.pos))))</f>
        <v>#REF!</v>
      </c>
      <c r="AD87" s="34" t="e" cm="1">
        <f t="array" ref="AD87">SUMPRODUCT(($Q87:$AB87&lt;&gt;"-------")*1)</f>
        <v>#REF!</v>
      </c>
      <c r="AE87" s="34">
        <f>RANK($D87,$D$3:$D$90)+COUNTIF($D$3:$D87,$D87)-1</f>
        <v>85</v>
      </c>
    </row>
    <row r="88" spans="1:31">
      <c r="A88" s="38" t="e" cm="1">
        <f t="array" ref="A88">INDEX(Produção!B$2:B$109,(ROW()-3)*12+1)</f>
        <v>#REF!</v>
      </c>
      <c r="B88" s="39" t="e" cm="1">
        <f t="array" ref="B88">INDEX(Produção!C$2:C$109,(ROW()-3)*12+1)</f>
        <v>#REF!</v>
      </c>
      <c r="C88" s="39" t="e" cm="1">
        <f t="array" ref="C88">INDEX(Produção!D$2:D$109,(ROW()-3)*12+1)</f>
        <v>#REF!</v>
      </c>
      <c r="D88" s="40">
        <f t="shared" si="1"/>
        <v>0</v>
      </c>
      <c r="E88" s="41">
        <f>SUMIFS(Produção!$G$2:$G$109,Produção!$B$2:$B$109,$A88,Produção!$F$2:$F$109,E$2)</f>
        <v>0</v>
      </c>
      <c r="F88" s="41">
        <f>SUMIFS(Produção!$G$2:$G$109,Produção!$B$2:$B$109,$A88,Produção!$F$2:$F$109,F$2)</f>
        <v>0</v>
      </c>
      <c r="G88" s="41">
        <f>SUMIFS(Produção!$G$2:$G$109,Produção!$B$2:$B$109,$A88,Produção!$F$2:$F$109,G$2)</f>
        <v>0</v>
      </c>
      <c r="H88" s="41">
        <f>SUMIFS(Produção!$G$2:$G$109,Produção!$B$2:$B$109,$A88,Produção!$F$2:$F$109,H$2)</f>
        <v>0</v>
      </c>
      <c r="I88" s="41">
        <f>SUMIFS(Produção!$G$2:$G$109,Produção!$B$2:$B$109,$A88,Produção!$F$2:$F$109,I$2)</f>
        <v>0</v>
      </c>
      <c r="J88" s="41">
        <f>SUMIFS(Produção!$G$2:$G$109,Produção!$B$2:$B$109,$A88,Produção!$F$2:$F$109,J$2)</f>
        <v>0</v>
      </c>
      <c r="K88" s="41">
        <f>SUMIFS(Produção!$G$2:$G$109,Produção!$B$2:$B$109,$A88,Produção!$F$2:$F$109,K$2)</f>
        <v>0</v>
      </c>
      <c r="L88" s="41">
        <f>SUMIFS(Produção!$G$2:$G$109,Produção!$B$2:$B$109,$A88,Produção!$F$2:$F$109,L$2)</f>
        <v>0</v>
      </c>
      <c r="M88" s="41">
        <f>SUMIFS(Produção!$G$2:$G$109,Produção!$B$2:$B$109,$A88,Produção!$F$2:$F$109,M$2)</f>
        <v>0</v>
      </c>
      <c r="N88" s="41">
        <f>SUMIFS(Produção!$G$2:$G$109,Produção!$B$2:$B$109,$A88,Produção!$F$2:$F$109,N$2)</f>
        <v>0</v>
      </c>
      <c r="O88" s="41">
        <f>SUMIFS(Produção!$G$2:$G$109,Produção!$B$2:$B$109,$A88,Produção!$F$2:$F$109,O$2)</f>
        <v>0</v>
      </c>
      <c r="P88" s="41">
        <f>SUMIFS(Produção!$G$2:$G$109,Produção!$B$2:$B$109,$A88,Produção!$F$2:$F$109,P$2)</f>
        <v>0</v>
      </c>
      <c r="Q88" s="42" t="e" cm="1">
        <f t="array" ref="Q88">_xlfn.LET(_xlpm.canal,INDEX($E$2:$P$2,COLUMN()-COLUMN($Q$2)+1),_xlpm.pos,SUMPRODUCT((Produção!$B$2:$B$109=$A88)*(Produção!$F$2:$F$109=_xlpm.canal)*ROW(Produção!$I$2:$I$109))-1,IF(_xlpm.pos&lt;1,"-------",IF(INDEX(Produção!$I$2:$I$109,_xlpm.pos)="","-------",INDEX(Produção!$I$2:$I$109,_xlpm.pos))))</f>
        <v>#REF!</v>
      </c>
      <c r="R88" s="42" t="e" cm="1">
        <f t="array" ref="R88">_xlfn.LET(_xlpm.canal,INDEX($E$2:$P$2,COLUMN()-COLUMN($Q$2)+1),_xlpm.pos,SUMPRODUCT((Produção!$B$2:$B$109=$A88)*(Produção!$F$2:$F$109=_xlpm.canal)*ROW(Produção!$I$2:$I$109))-1,IF(_xlpm.pos&lt;1,"-------",IF(INDEX(Produção!$I$2:$I$109,_xlpm.pos)="","-------",INDEX(Produção!$I$2:$I$109,_xlpm.pos))))</f>
        <v>#REF!</v>
      </c>
      <c r="S88" s="42" t="e" cm="1">
        <f t="array" ref="S88">_xlfn.LET(_xlpm.canal,INDEX($E$2:$P$2,COLUMN()-COLUMN($Q$2)+1),_xlpm.pos,SUMPRODUCT((Produção!$B$2:$B$109=$A88)*(Produção!$F$2:$F$109=_xlpm.canal)*ROW(Produção!$I$2:$I$109))-1,IF(_xlpm.pos&lt;1,"-------",IF(INDEX(Produção!$I$2:$I$109,_xlpm.pos)="","-------",INDEX(Produção!$I$2:$I$109,_xlpm.pos))))</f>
        <v>#REF!</v>
      </c>
      <c r="T88" s="42" t="e" cm="1">
        <f t="array" ref="T88">_xlfn.LET(_xlpm.canal,INDEX($E$2:$P$2,COLUMN()-COLUMN($Q$2)+1),_xlpm.pos,SUMPRODUCT((Produção!$B$2:$B$109=$A88)*(Produção!$F$2:$F$109=_xlpm.canal)*ROW(Produção!$I$2:$I$109))-1,IF(_xlpm.pos&lt;1,"-------",IF(INDEX(Produção!$I$2:$I$109,_xlpm.pos)="","-------",INDEX(Produção!$I$2:$I$109,_xlpm.pos))))</f>
        <v>#REF!</v>
      </c>
      <c r="U88" s="42" t="e" cm="1">
        <f t="array" ref="U88">_xlfn.LET(_xlpm.canal,INDEX($E$2:$P$2,COLUMN()-COLUMN($Q$2)+1),_xlpm.pos,SUMPRODUCT((Produção!$B$2:$B$109=$A88)*(Produção!$F$2:$F$109=_xlpm.canal)*ROW(Produção!$I$2:$I$109))-1,IF(_xlpm.pos&lt;1,"-------",IF(INDEX(Produção!$I$2:$I$109,_xlpm.pos)="","-------",INDEX(Produção!$I$2:$I$109,_xlpm.pos))))</f>
        <v>#REF!</v>
      </c>
      <c r="V88" s="42" t="e" cm="1">
        <f t="array" ref="V88">_xlfn.LET(_xlpm.canal,INDEX($E$2:$P$2,COLUMN()-COLUMN($Q$2)+1),_xlpm.pos,SUMPRODUCT((Produção!$B$2:$B$109=$A88)*(Produção!$F$2:$F$109=_xlpm.canal)*ROW(Produção!$I$2:$I$109))-1,IF(_xlpm.pos&lt;1,"-------",IF(INDEX(Produção!$I$2:$I$109,_xlpm.pos)="","-------",INDEX(Produção!$I$2:$I$109,_xlpm.pos))))</f>
        <v>#REF!</v>
      </c>
      <c r="W88" s="42" t="e" cm="1">
        <f t="array" ref="W88">_xlfn.LET(_xlpm.canal,INDEX($E$2:$P$2,COLUMN()-COLUMN($Q$2)+1),_xlpm.pos,SUMPRODUCT((Produção!$B$2:$B$109=$A88)*(Produção!$F$2:$F$109=_xlpm.canal)*ROW(Produção!$I$2:$I$109))-1,IF(_xlpm.pos&lt;1,"-------",IF(INDEX(Produção!$I$2:$I$109,_xlpm.pos)="","-------",INDEX(Produção!$I$2:$I$109,_xlpm.pos))))</f>
        <v>#REF!</v>
      </c>
      <c r="X88" s="42" t="e" cm="1">
        <f t="array" ref="X88">_xlfn.LET(_xlpm.canal,INDEX($E$2:$P$2,COLUMN()-COLUMN($Q$2)+1),_xlpm.pos,SUMPRODUCT((Produção!$B$2:$B$109=$A88)*(Produção!$F$2:$F$109=_xlpm.canal)*ROW(Produção!$I$2:$I$109))-1,IF(_xlpm.pos&lt;1,"-------",IF(INDEX(Produção!$I$2:$I$109,_xlpm.pos)="","-------",INDEX(Produção!$I$2:$I$109,_xlpm.pos))))</f>
        <v>#REF!</v>
      </c>
      <c r="Y88" s="42" t="e" cm="1">
        <f t="array" ref="Y88">_xlfn.LET(_xlpm.canal,INDEX($E$2:$P$2,COLUMN()-COLUMN($Q$2)+1),_xlpm.pos,SUMPRODUCT((Produção!$B$2:$B$109=$A88)*(Produção!$F$2:$F$109=_xlpm.canal)*ROW(Produção!$I$2:$I$109))-1,IF(_xlpm.pos&lt;1,"-------",IF(INDEX(Produção!$I$2:$I$109,_xlpm.pos)="","-------",INDEX(Produção!$I$2:$I$109,_xlpm.pos))))</f>
        <v>#REF!</v>
      </c>
      <c r="Z88" s="42" t="e" cm="1">
        <f t="array" ref="Z88">_xlfn.LET(_xlpm.canal,INDEX($E$2:$P$2,COLUMN()-COLUMN($Q$2)+1),_xlpm.pos,SUMPRODUCT((Produção!$B$2:$B$109=$A88)*(Produção!$F$2:$F$109=_xlpm.canal)*ROW(Produção!$I$2:$I$109))-1,IF(_xlpm.pos&lt;1,"-------",IF(INDEX(Produção!$I$2:$I$109,_xlpm.pos)="","-------",INDEX(Produção!$I$2:$I$109,_xlpm.pos))))</f>
        <v>#REF!</v>
      </c>
      <c r="AA88" s="42" t="e" cm="1">
        <f t="array" ref="AA88">_xlfn.LET(_xlpm.canal,INDEX($E$2:$P$2,COLUMN()-COLUMN($Q$2)+1),_xlpm.pos,SUMPRODUCT((Produção!$B$2:$B$109=$A88)*(Produção!$F$2:$F$109=_xlpm.canal)*ROW(Produção!$I$2:$I$109))-1,IF(_xlpm.pos&lt;1,"-------",IF(INDEX(Produção!$I$2:$I$109,_xlpm.pos)="","-------",INDEX(Produção!$I$2:$I$109,_xlpm.pos))))</f>
        <v>#REF!</v>
      </c>
      <c r="AB88" s="42" t="e" cm="1">
        <f t="array" ref="AB88">_xlfn.LET(_xlpm.canal,INDEX($E$2:$P$2,COLUMN()-COLUMN($Q$2)+1),_xlpm.pos,SUMPRODUCT((Produção!$B$2:$B$109=$A88)*(Produção!$F$2:$F$109=_xlpm.canal)*ROW(Produção!$I$2:$I$109))-1,IF(_xlpm.pos&lt;1,"-------",IF(INDEX(Produção!$I$2:$I$109,_xlpm.pos)="","-------",INDEX(Produção!$I$2:$I$109,_xlpm.pos))))</f>
        <v>#REF!</v>
      </c>
      <c r="AD88" s="34" t="e" cm="1">
        <f t="array" ref="AD88">SUMPRODUCT(($Q88:$AB88&lt;&gt;"-------")*1)</f>
        <v>#REF!</v>
      </c>
      <c r="AE88" s="34">
        <f>RANK($D88,$D$3:$D$90)+COUNTIF($D$3:$D88,$D88)-1</f>
        <v>86</v>
      </c>
    </row>
    <row r="89" spans="1:31">
      <c r="A89" s="38" t="e" cm="1">
        <f t="array" ref="A89">INDEX(Produção!B$2:B$109,(ROW()-3)*12+1)</f>
        <v>#REF!</v>
      </c>
      <c r="B89" s="39" t="e" cm="1">
        <f t="array" ref="B89">INDEX(Produção!C$2:C$109,(ROW()-3)*12+1)</f>
        <v>#REF!</v>
      </c>
      <c r="C89" s="39" t="e" cm="1">
        <f t="array" ref="C89">INDEX(Produção!D$2:D$109,(ROW()-3)*12+1)</f>
        <v>#REF!</v>
      </c>
      <c r="D89" s="40">
        <f t="shared" si="1"/>
        <v>0</v>
      </c>
      <c r="E89" s="41">
        <f>SUMIFS(Produção!$G$2:$G$109,Produção!$B$2:$B$109,$A89,Produção!$F$2:$F$109,E$2)</f>
        <v>0</v>
      </c>
      <c r="F89" s="41">
        <f>SUMIFS(Produção!$G$2:$G$109,Produção!$B$2:$B$109,$A89,Produção!$F$2:$F$109,F$2)</f>
        <v>0</v>
      </c>
      <c r="G89" s="41">
        <f>SUMIFS(Produção!$G$2:$G$109,Produção!$B$2:$B$109,$A89,Produção!$F$2:$F$109,G$2)</f>
        <v>0</v>
      </c>
      <c r="H89" s="41">
        <f>SUMIFS(Produção!$G$2:$G$109,Produção!$B$2:$B$109,$A89,Produção!$F$2:$F$109,H$2)</f>
        <v>0</v>
      </c>
      <c r="I89" s="41">
        <f>SUMIFS(Produção!$G$2:$G$109,Produção!$B$2:$B$109,$A89,Produção!$F$2:$F$109,I$2)</f>
        <v>0</v>
      </c>
      <c r="J89" s="41">
        <f>SUMIFS(Produção!$G$2:$G$109,Produção!$B$2:$B$109,$A89,Produção!$F$2:$F$109,J$2)</f>
        <v>0</v>
      </c>
      <c r="K89" s="41">
        <f>SUMIFS(Produção!$G$2:$G$109,Produção!$B$2:$B$109,$A89,Produção!$F$2:$F$109,K$2)</f>
        <v>0</v>
      </c>
      <c r="L89" s="41">
        <f>SUMIFS(Produção!$G$2:$G$109,Produção!$B$2:$B$109,$A89,Produção!$F$2:$F$109,L$2)</f>
        <v>0</v>
      </c>
      <c r="M89" s="41">
        <f>SUMIFS(Produção!$G$2:$G$109,Produção!$B$2:$B$109,$A89,Produção!$F$2:$F$109,M$2)</f>
        <v>0</v>
      </c>
      <c r="N89" s="41">
        <f>SUMIFS(Produção!$G$2:$G$109,Produção!$B$2:$B$109,$A89,Produção!$F$2:$F$109,N$2)</f>
        <v>0</v>
      </c>
      <c r="O89" s="41">
        <f>SUMIFS(Produção!$G$2:$G$109,Produção!$B$2:$B$109,$A89,Produção!$F$2:$F$109,O$2)</f>
        <v>0</v>
      </c>
      <c r="P89" s="41">
        <f>SUMIFS(Produção!$G$2:$G$109,Produção!$B$2:$B$109,$A89,Produção!$F$2:$F$109,P$2)</f>
        <v>0</v>
      </c>
      <c r="Q89" s="42" t="e" cm="1">
        <f t="array" ref="Q89">_xlfn.LET(_xlpm.canal,INDEX($E$2:$P$2,COLUMN()-COLUMN($Q$2)+1),_xlpm.pos,SUMPRODUCT((Produção!$B$2:$B$109=$A89)*(Produção!$F$2:$F$109=_xlpm.canal)*ROW(Produção!$I$2:$I$109))-1,IF(_xlpm.pos&lt;1,"-------",IF(INDEX(Produção!$I$2:$I$109,_xlpm.pos)="","-------",INDEX(Produção!$I$2:$I$109,_xlpm.pos))))</f>
        <v>#REF!</v>
      </c>
      <c r="R89" s="42" t="e" cm="1">
        <f t="array" ref="R89">_xlfn.LET(_xlpm.canal,INDEX($E$2:$P$2,COLUMN()-COLUMN($Q$2)+1),_xlpm.pos,SUMPRODUCT((Produção!$B$2:$B$109=$A89)*(Produção!$F$2:$F$109=_xlpm.canal)*ROW(Produção!$I$2:$I$109))-1,IF(_xlpm.pos&lt;1,"-------",IF(INDEX(Produção!$I$2:$I$109,_xlpm.pos)="","-------",INDEX(Produção!$I$2:$I$109,_xlpm.pos))))</f>
        <v>#REF!</v>
      </c>
      <c r="S89" s="42" t="e" cm="1">
        <f t="array" ref="S89">_xlfn.LET(_xlpm.canal,INDEX($E$2:$P$2,COLUMN()-COLUMN($Q$2)+1),_xlpm.pos,SUMPRODUCT((Produção!$B$2:$B$109=$A89)*(Produção!$F$2:$F$109=_xlpm.canal)*ROW(Produção!$I$2:$I$109))-1,IF(_xlpm.pos&lt;1,"-------",IF(INDEX(Produção!$I$2:$I$109,_xlpm.pos)="","-------",INDEX(Produção!$I$2:$I$109,_xlpm.pos))))</f>
        <v>#REF!</v>
      </c>
      <c r="T89" s="42" t="e" cm="1">
        <f t="array" ref="T89">_xlfn.LET(_xlpm.canal,INDEX($E$2:$P$2,COLUMN()-COLUMN($Q$2)+1),_xlpm.pos,SUMPRODUCT((Produção!$B$2:$B$109=$A89)*(Produção!$F$2:$F$109=_xlpm.canal)*ROW(Produção!$I$2:$I$109))-1,IF(_xlpm.pos&lt;1,"-------",IF(INDEX(Produção!$I$2:$I$109,_xlpm.pos)="","-------",INDEX(Produção!$I$2:$I$109,_xlpm.pos))))</f>
        <v>#REF!</v>
      </c>
      <c r="U89" s="42" t="e" cm="1">
        <f t="array" ref="U89">_xlfn.LET(_xlpm.canal,INDEX($E$2:$P$2,COLUMN()-COLUMN($Q$2)+1),_xlpm.pos,SUMPRODUCT((Produção!$B$2:$B$109=$A89)*(Produção!$F$2:$F$109=_xlpm.canal)*ROW(Produção!$I$2:$I$109))-1,IF(_xlpm.pos&lt;1,"-------",IF(INDEX(Produção!$I$2:$I$109,_xlpm.pos)="","-------",INDEX(Produção!$I$2:$I$109,_xlpm.pos))))</f>
        <v>#REF!</v>
      </c>
      <c r="V89" s="42" t="e" cm="1">
        <f t="array" ref="V89">_xlfn.LET(_xlpm.canal,INDEX($E$2:$P$2,COLUMN()-COLUMN($Q$2)+1),_xlpm.pos,SUMPRODUCT((Produção!$B$2:$B$109=$A89)*(Produção!$F$2:$F$109=_xlpm.canal)*ROW(Produção!$I$2:$I$109))-1,IF(_xlpm.pos&lt;1,"-------",IF(INDEX(Produção!$I$2:$I$109,_xlpm.pos)="","-------",INDEX(Produção!$I$2:$I$109,_xlpm.pos))))</f>
        <v>#REF!</v>
      </c>
      <c r="W89" s="42" t="e" cm="1">
        <f t="array" ref="W89">_xlfn.LET(_xlpm.canal,INDEX($E$2:$P$2,COLUMN()-COLUMN($Q$2)+1),_xlpm.pos,SUMPRODUCT((Produção!$B$2:$B$109=$A89)*(Produção!$F$2:$F$109=_xlpm.canal)*ROW(Produção!$I$2:$I$109))-1,IF(_xlpm.pos&lt;1,"-------",IF(INDEX(Produção!$I$2:$I$109,_xlpm.pos)="","-------",INDEX(Produção!$I$2:$I$109,_xlpm.pos))))</f>
        <v>#REF!</v>
      </c>
      <c r="X89" s="42" t="e" cm="1">
        <f t="array" ref="X89">_xlfn.LET(_xlpm.canal,INDEX($E$2:$P$2,COLUMN()-COLUMN($Q$2)+1),_xlpm.pos,SUMPRODUCT((Produção!$B$2:$B$109=$A89)*(Produção!$F$2:$F$109=_xlpm.canal)*ROW(Produção!$I$2:$I$109))-1,IF(_xlpm.pos&lt;1,"-------",IF(INDEX(Produção!$I$2:$I$109,_xlpm.pos)="","-------",INDEX(Produção!$I$2:$I$109,_xlpm.pos))))</f>
        <v>#REF!</v>
      </c>
      <c r="Y89" s="42" t="e" cm="1">
        <f t="array" ref="Y89">_xlfn.LET(_xlpm.canal,INDEX($E$2:$P$2,COLUMN()-COLUMN($Q$2)+1),_xlpm.pos,SUMPRODUCT((Produção!$B$2:$B$109=$A89)*(Produção!$F$2:$F$109=_xlpm.canal)*ROW(Produção!$I$2:$I$109))-1,IF(_xlpm.pos&lt;1,"-------",IF(INDEX(Produção!$I$2:$I$109,_xlpm.pos)="","-------",INDEX(Produção!$I$2:$I$109,_xlpm.pos))))</f>
        <v>#REF!</v>
      </c>
      <c r="Z89" s="42" t="e" cm="1">
        <f t="array" ref="Z89">_xlfn.LET(_xlpm.canal,INDEX($E$2:$P$2,COLUMN()-COLUMN($Q$2)+1),_xlpm.pos,SUMPRODUCT((Produção!$B$2:$B$109=$A89)*(Produção!$F$2:$F$109=_xlpm.canal)*ROW(Produção!$I$2:$I$109))-1,IF(_xlpm.pos&lt;1,"-------",IF(INDEX(Produção!$I$2:$I$109,_xlpm.pos)="","-------",INDEX(Produção!$I$2:$I$109,_xlpm.pos))))</f>
        <v>#REF!</v>
      </c>
      <c r="AA89" s="42" t="e" cm="1">
        <f t="array" ref="AA89">_xlfn.LET(_xlpm.canal,INDEX($E$2:$P$2,COLUMN()-COLUMN($Q$2)+1),_xlpm.pos,SUMPRODUCT((Produção!$B$2:$B$109=$A89)*(Produção!$F$2:$F$109=_xlpm.canal)*ROW(Produção!$I$2:$I$109))-1,IF(_xlpm.pos&lt;1,"-------",IF(INDEX(Produção!$I$2:$I$109,_xlpm.pos)="","-------",INDEX(Produção!$I$2:$I$109,_xlpm.pos))))</f>
        <v>#REF!</v>
      </c>
      <c r="AB89" s="42" t="e" cm="1">
        <f t="array" ref="AB89">_xlfn.LET(_xlpm.canal,INDEX($E$2:$P$2,COLUMN()-COLUMN($Q$2)+1),_xlpm.pos,SUMPRODUCT((Produção!$B$2:$B$109=$A89)*(Produção!$F$2:$F$109=_xlpm.canal)*ROW(Produção!$I$2:$I$109))-1,IF(_xlpm.pos&lt;1,"-------",IF(INDEX(Produção!$I$2:$I$109,_xlpm.pos)="","-------",INDEX(Produção!$I$2:$I$109,_xlpm.pos))))</f>
        <v>#REF!</v>
      </c>
      <c r="AD89" s="34" t="e" cm="1">
        <f t="array" ref="AD89">SUMPRODUCT(($Q89:$AB89&lt;&gt;"-------")*1)</f>
        <v>#REF!</v>
      </c>
      <c r="AE89" s="34">
        <f>RANK($D89,$D$3:$D$90)+COUNTIF($D$3:$D89,$D89)-1</f>
        <v>87</v>
      </c>
    </row>
    <row r="90" spans="1:31">
      <c r="A90" s="38" t="e" cm="1">
        <f t="array" ref="A90">INDEX(Produção!B$2:B$109,(ROW()-3)*12+1)</f>
        <v>#REF!</v>
      </c>
      <c r="B90" s="39" t="e" cm="1">
        <f t="array" ref="B90">INDEX(Produção!C$2:C$109,(ROW()-3)*12+1)</f>
        <v>#REF!</v>
      </c>
      <c r="C90" s="39" t="e" cm="1">
        <f t="array" ref="C90">INDEX(Produção!D$2:D$109,(ROW()-3)*12+1)</f>
        <v>#REF!</v>
      </c>
      <c r="D90" s="43">
        <f t="shared" si="1"/>
        <v>0</v>
      </c>
      <c r="E90" s="44">
        <f>SUMIFS(Produção!$G$2:$G$109,Produção!$B$2:$B$109,$A90,Produção!$F$2:$F$109,E$2)</f>
        <v>0</v>
      </c>
      <c r="F90" s="44">
        <f>SUMIFS(Produção!$G$2:$G$109,Produção!$B$2:$B$109,$A90,Produção!$F$2:$F$109,F$2)</f>
        <v>0</v>
      </c>
      <c r="G90" s="44">
        <f>SUMIFS(Produção!$G$2:$G$109,Produção!$B$2:$B$109,$A90,Produção!$F$2:$F$109,G$2)</f>
        <v>0</v>
      </c>
      <c r="H90" s="44">
        <f>SUMIFS(Produção!$G$2:$G$109,Produção!$B$2:$B$109,$A90,Produção!$F$2:$F$109,H$2)</f>
        <v>0</v>
      </c>
      <c r="I90" s="44">
        <f>SUMIFS(Produção!$G$2:$G$109,Produção!$B$2:$B$109,$A90,Produção!$F$2:$F$109,I$2)</f>
        <v>0</v>
      </c>
      <c r="J90" s="44">
        <f>SUMIFS(Produção!$G$2:$G$109,Produção!$B$2:$B$109,$A90,Produção!$F$2:$F$109,J$2)</f>
        <v>0</v>
      </c>
      <c r="K90" s="44">
        <f>SUMIFS(Produção!$G$2:$G$109,Produção!$B$2:$B$109,$A90,Produção!$F$2:$F$109,K$2)</f>
        <v>0</v>
      </c>
      <c r="L90" s="44">
        <f>SUMIFS(Produção!$G$2:$G$109,Produção!$B$2:$B$109,$A90,Produção!$F$2:$F$109,L$2)</f>
        <v>0</v>
      </c>
      <c r="M90" s="44">
        <f>SUMIFS(Produção!$G$2:$G$109,Produção!$B$2:$B$109,$A90,Produção!$F$2:$F$109,M$2)</f>
        <v>0</v>
      </c>
      <c r="N90" s="44">
        <f>SUMIFS(Produção!$G$2:$G$109,Produção!$B$2:$B$109,$A90,Produção!$F$2:$F$109,N$2)</f>
        <v>0</v>
      </c>
      <c r="O90" s="44">
        <f>SUMIFS(Produção!$G$2:$G$109,Produção!$B$2:$B$109,$A90,Produção!$F$2:$F$109,O$2)</f>
        <v>0</v>
      </c>
      <c r="P90" s="44">
        <f>SUMIFS(Produção!$G$2:$G$109,Produção!$B$2:$B$109,$A90,Produção!$F$2:$F$109,P$2)</f>
        <v>0</v>
      </c>
      <c r="Q90" s="42" t="e" cm="1">
        <f t="array" ref="Q90">_xlfn.LET(_xlpm.canal,INDEX($E$2:$P$2,COLUMN()-COLUMN($Q$2)+1),_xlpm.pos,SUMPRODUCT((Produção!$B$2:$B$109=$A90)*(Produção!$F$2:$F$109=_xlpm.canal)*ROW(Produção!$I$2:$I$109))-1,IF(_xlpm.pos&lt;1,"-------",IF(INDEX(Produção!$I$2:$I$109,_xlpm.pos)="","-------",INDEX(Produção!$I$2:$I$109,_xlpm.pos))))</f>
        <v>#REF!</v>
      </c>
      <c r="R90" s="42" t="e" cm="1">
        <f t="array" ref="R90">_xlfn.LET(_xlpm.canal,INDEX($E$2:$P$2,COLUMN()-COLUMN($Q$2)+1),_xlpm.pos,SUMPRODUCT((Produção!$B$2:$B$109=$A90)*(Produção!$F$2:$F$109=_xlpm.canal)*ROW(Produção!$I$2:$I$109))-1,IF(_xlpm.pos&lt;1,"-------",IF(INDEX(Produção!$I$2:$I$109,_xlpm.pos)="","-------",INDEX(Produção!$I$2:$I$109,_xlpm.pos))))</f>
        <v>#REF!</v>
      </c>
      <c r="S90" s="42" t="e" cm="1">
        <f t="array" ref="S90">_xlfn.LET(_xlpm.canal,INDEX($E$2:$P$2,COLUMN()-COLUMN($Q$2)+1),_xlpm.pos,SUMPRODUCT((Produção!$B$2:$B$109=$A90)*(Produção!$F$2:$F$109=_xlpm.canal)*ROW(Produção!$I$2:$I$109))-1,IF(_xlpm.pos&lt;1,"-------",IF(INDEX(Produção!$I$2:$I$109,_xlpm.pos)="","-------",INDEX(Produção!$I$2:$I$109,_xlpm.pos))))</f>
        <v>#REF!</v>
      </c>
      <c r="T90" s="42" t="e" cm="1">
        <f t="array" ref="T90">_xlfn.LET(_xlpm.canal,INDEX($E$2:$P$2,COLUMN()-COLUMN($Q$2)+1),_xlpm.pos,SUMPRODUCT((Produção!$B$2:$B$109=$A90)*(Produção!$F$2:$F$109=_xlpm.canal)*ROW(Produção!$I$2:$I$109))-1,IF(_xlpm.pos&lt;1,"-------",IF(INDEX(Produção!$I$2:$I$109,_xlpm.pos)="","-------",INDEX(Produção!$I$2:$I$109,_xlpm.pos))))</f>
        <v>#REF!</v>
      </c>
      <c r="U90" s="42" t="e" cm="1">
        <f t="array" ref="U90">_xlfn.LET(_xlpm.canal,INDEX($E$2:$P$2,COLUMN()-COLUMN($Q$2)+1),_xlpm.pos,SUMPRODUCT((Produção!$B$2:$B$109=$A90)*(Produção!$F$2:$F$109=_xlpm.canal)*ROW(Produção!$I$2:$I$109))-1,IF(_xlpm.pos&lt;1,"-------",IF(INDEX(Produção!$I$2:$I$109,_xlpm.pos)="","-------",INDEX(Produção!$I$2:$I$109,_xlpm.pos))))</f>
        <v>#REF!</v>
      </c>
      <c r="V90" s="42" t="e" cm="1">
        <f t="array" ref="V90">_xlfn.LET(_xlpm.canal,INDEX($E$2:$P$2,COLUMN()-COLUMN($Q$2)+1),_xlpm.pos,SUMPRODUCT((Produção!$B$2:$B$109=$A90)*(Produção!$F$2:$F$109=_xlpm.canal)*ROW(Produção!$I$2:$I$109))-1,IF(_xlpm.pos&lt;1,"-------",IF(INDEX(Produção!$I$2:$I$109,_xlpm.pos)="","-------",INDEX(Produção!$I$2:$I$109,_xlpm.pos))))</f>
        <v>#REF!</v>
      </c>
      <c r="W90" s="42" t="e" cm="1">
        <f t="array" ref="W90">_xlfn.LET(_xlpm.canal,INDEX($E$2:$P$2,COLUMN()-COLUMN($Q$2)+1),_xlpm.pos,SUMPRODUCT((Produção!$B$2:$B$109=$A90)*(Produção!$F$2:$F$109=_xlpm.canal)*ROW(Produção!$I$2:$I$109))-1,IF(_xlpm.pos&lt;1,"-------",IF(INDEX(Produção!$I$2:$I$109,_xlpm.pos)="","-------",INDEX(Produção!$I$2:$I$109,_xlpm.pos))))</f>
        <v>#REF!</v>
      </c>
      <c r="X90" s="42" t="e" cm="1">
        <f t="array" ref="X90">_xlfn.LET(_xlpm.canal,INDEX($E$2:$P$2,COLUMN()-COLUMN($Q$2)+1),_xlpm.pos,SUMPRODUCT((Produção!$B$2:$B$109=$A90)*(Produção!$F$2:$F$109=_xlpm.canal)*ROW(Produção!$I$2:$I$109))-1,IF(_xlpm.pos&lt;1,"-------",IF(INDEX(Produção!$I$2:$I$109,_xlpm.pos)="","-------",INDEX(Produção!$I$2:$I$109,_xlpm.pos))))</f>
        <v>#REF!</v>
      </c>
      <c r="Y90" s="42" t="e" cm="1">
        <f t="array" ref="Y90">_xlfn.LET(_xlpm.canal,INDEX($E$2:$P$2,COLUMN()-COLUMN($Q$2)+1),_xlpm.pos,SUMPRODUCT((Produção!$B$2:$B$109=$A90)*(Produção!$F$2:$F$109=_xlpm.canal)*ROW(Produção!$I$2:$I$109))-1,IF(_xlpm.pos&lt;1,"-------",IF(INDEX(Produção!$I$2:$I$109,_xlpm.pos)="","-------",INDEX(Produção!$I$2:$I$109,_xlpm.pos))))</f>
        <v>#REF!</v>
      </c>
      <c r="Z90" s="42" t="e" cm="1">
        <f t="array" ref="Z90">_xlfn.LET(_xlpm.canal,INDEX($E$2:$P$2,COLUMN()-COLUMN($Q$2)+1),_xlpm.pos,SUMPRODUCT((Produção!$B$2:$B$109=$A90)*(Produção!$F$2:$F$109=_xlpm.canal)*ROW(Produção!$I$2:$I$109))-1,IF(_xlpm.pos&lt;1,"-------",IF(INDEX(Produção!$I$2:$I$109,_xlpm.pos)="","-------",INDEX(Produção!$I$2:$I$109,_xlpm.pos))))</f>
        <v>#REF!</v>
      </c>
      <c r="AA90" s="42" t="e" cm="1">
        <f t="array" ref="AA90">_xlfn.LET(_xlpm.canal,INDEX($E$2:$P$2,COLUMN()-COLUMN($Q$2)+1),_xlpm.pos,SUMPRODUCT((Produção!$B$2:$B$109=$A90)*(Produção!$F$2:$F$109=_xlpm.canal)*ROW(Produção!$I$2:$I$109))-1,IF(_xlpm.pos&lt;1,"-------",IF(INDEX(Produção!$I$2:$I$109,_xlpm.pos)="","-------",INDEX(Produção!$I$2:$I$109,_xlpm.pos))))</f>
        <v>#REF!</v>
      </c>
      <c r="AB90" s="42" t="e" cm="1">
        <f t="array" ref="AB90">_xlfn.LET(_xlpm.canal,INDEX($E$2:$P$2,COLUMN()-COLUMN($Q$2)+1),_xlpm.pos,SUMPRODUCT((Produção!$B$2:$B$109=$A90)*(Produção!$F$2:$F$109=_xlpm.canal)*ROW(Produção!$I$2:$I$109))-1,IF(_xlpm.pos&lt;1,"-------",IF(INDEX(Produção!$I$2:$I$109,_xlpm.pos)="","-------",INDEX(Produção!$I$2:$I$109,_xlpm.pos))))</f>
        <v>#REF!</v>
      </c>
      <c r="AD90" s="34" t="e" cm="1">
        <f t="array" ref="AD90">SUMPRODUCT(($Q90:$AB90&lt;&gt;"-------")*1)</f>
        <v>#REF!</v>
      </c>
      <c r="AE90" s="34">
        <f>RANK($D90,$D$3:$D$90)+COUNTIF($D$3:$D90,$D90)-1</f>
        <v>88</v>
      </c>
    </row>
    <row r="91" spans="1:31">
      <c r="A91" s="45"/>
      <c r="B91" s="45"/>
      <c r="C91" s="45" t="s">
        <v>1150</v>
      </c>
      <c r="D91" s="46">
        <f>SUM($D$3:$D$90)</f>
        <v>29</v>
      </c>
      <c r="E91" s="45">
        <f>SUM(E$3:E$90)</f>
        <v>7</v>
      </c>
      <c r="F91" s="45">
        <f t="shared" ref="F91:P91" si="2">SUM(F$3:F$90)</f>
        <v>7</v>
      </c>
      <c r="G91" s="45">
        <f t="shared" si="2"/>
        <v>7</v>
      </c>
      <c r="H91" s="45">
        <f t="shared" si="2"/>
        <v>0</v>
      </c>
      <c r="I91" s="45">
        <f t="shared" si="2"/>
        <v>2</v>
      </c>
      <c r="J91" s="45">
        <f t="shared" si="2"/>
        <v>0</v>
      </c>
      <c r="K91" s="45">
        <f t="shared" si="2"/>
        <v>0</v>
      </c>
      <c r="L91" s="45">
        <f t="shared" si="2"/>
        <v>0</v>
      </c>
      <c r="M91" s="45">
        <f t="shared" si="2"/>
        <v>6</v>
      </c>
      <c r="N91" s="45">
        <f t="shared" si="2"/>
        <v>0</v>
      </c>
      <c r="O91" s="45">
        <f t="shared" si="2"/>
        <v>0</v>
      </c>
      <c r="P91" s="45">
        <f t="shared" si="2"/>
        <v>0</v>
      </c>
    </row>
  </sheetData>
  <autoFilter ref="A2:AB2" xr:uid="{B93DC578-2EEA-48CF-9EFD-E294C2F4F9E2}"/>
  <mergeCells count="1">
    <mergeCell ref="A1:L1"/>
  </mergeCells>
  <conditionalFormatting sqref="E3:P90">
    <cfRule type="cellIs" dxfId="1" priority="1" operator="equal">
      <formula>1</formula>
    </cfRule>
    <cfRule type="cellIs" dxfId="0" priority="2" operator="equal">
      <formula>0</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51065-07E3-4211-B0C5-F18327A58714}">
  <dimension ref="A1:E40"/>
  <sheetViews>
    <sheetView workbookViewId="0">
      <pane ySplit="1" topLeftCell="A2" activePane="bottomLeft" state="frozen"/>
      <selection pane="bottomLeft" activeCell="A40" sqref="A2:A40"/>
    </sheetView>
  </sheetViews>
  <sheetFormatPr defaultRowHeight="13.5"/>
  <cols>
    <col min="1" max="1" width="81.1875" bestFit="1" customWidth="1"/>
    <col min="2" max="2" width="50" customWidth="1"/>
    <col min="3" max="3" width="41.25" bestFit="1" customWidth="1"/>
    <col min="4" max="4" width="13.3125" customWidth="1"/>
    <col min="5" max="5" width="10.8125" customWidth="1"/>
  </cols>
  <sheetData>
    <row r="1" spans="1:5" ht="13.9">
      <c r="A1" s="50" t="s">
        <v>1151</v>
      </c>
      <c r="B1" s="50" t="s">
        <v>29</v>
      </c>
      <c r="C1" s="50" t="s">
        <v>32</v>
      </c>
      <c r="D1" s="50" t="s">
        <v>1152</v>
      </c>
      <c r="E1" s="50" t="s">
        <v>1153</v>
      </c>
    </row>
    <row r="2" spans="1:5" ht="14.25">
      <c r="A2" s="63" t="s">
        <v>1010</v>
      </c>
      <c r="B2" s="63" t="s">
        <v>1154</v>
      </c>
      <c r="C2" s="63" t="s">
        <v>1011</v>
      </c>
      <c r="D2" s="64">
        <v>46238</v>
      </c>
      <c r="E2" s="65">
        <v>1.3888888888888889E-4</v>
      </c>
    </row>
    <row r="3" spans="1:5" ht="14.25">
      <c r="A3" s="63" t="s">
        <v>1064</v>
      </c>
      <c r="B3" s="63" t="s">
        <v>1182</v>
      </c>
      <c r="C3" s="63" t="s">
        <v>1065</v>
      </c>
      <c r="D3" s="64">
        <v>45934</v>
      </c>
      <c r="E3" s="65">
        <v>2.1875000000000002E-3</v>
      </c>
    </row>
    <row r="4" spans="1:5" ht="14.25">
      <c r="A4" s="63" t="s">
        <v>1076</v>
      </c>
      <c r="B4" s="63" t="s">
        <v>1188</v>
      </c>
      <c r="C4" s="63" t="s">
        <v>1077</v>
      </c>
      <c r="D4" s="64">
        <v>45865</v>
      </c>
      <c r="E4" s="65">
        <v>2.3958333333333331E-3</v>
      </c>
    </row>
    <row r="5" spans="1:5" ht="14.25">
      <c r="A5" s="63" t="s">
        <v>1012</v>
      </c>
      <c r="B5" s="63" t="s">
        <v>1155</v>
      </c>
      <c r="C5" s="63" t="s">
        <v>1013</v>
      </c>
      <c r="D5" s="64">
        <v>46236</v>
      </c>
      <c r="E5" s="65">
        <v>2.8009259259259259E-3</v>
      </c>
    </row>
    <row r="6" spans="1:5" ht="14.25">
      <c r="A6" s="63" t="s">
        <v>1078</v>
      </c>
      <c r="B6" s="63" t="s">
        <v>1189</v>
      </c>
      <c r="C6" s="63" t="s">
        <v>1079</v>
      </c>
      <c r="D6" s="64">
        <v>45863</v>
      </c>
      <c r="E6" s="65">
        <v>3.0555555555555557E-3</v>
      </c>
    </row>
    <row r="7" spans="1:5" ht="14.25">
      <c r="A7" s="63" t="s">
        <v>1066</v>
      </c>
      <c r="B7" s="63" t="s">
        <v>1183</v>
      </c>
      <c r="C7" s="63" t="s">
        <v>1067</v>
      </c>
      <c r="D7" s="64">
        <v>45929</v>
      </c>
      <c r="E7" s="65">
        <v>3.425925925925926E-3</v>
      </c>
    </row>
    <row r="8" spans="1:5" ht="14.25">
      <c r="A8" s="63" t="s">
        <v>1080</v>
      </c>
      <c r="B8" s="63" t="s">
        <v>1190</v>
      </c>
      <c r="C8" s="63" t="s">
        <v>1081</v>
      </c>
      <c r="D8" s="64">
        <v>45858</v>
      </c>
      <c r="E8" s="65">
        <v>3.6689814814814814E-3</v>
      </c>
    </row>
    <row r="9" spans="1:5" ht="14.25">
      <c r="A9" s="63" t="s">
        <v>1074</v>
      </c>
      <c r="B9" s="63" t="s">
        <v>1187</v>
      </c>
      <c r="C9" s="63" t="s">
        <v>1075</v>
      </c>
      <c r="D9" s="64">
        <v>45878</v>
      </c>
      <c r="E9" s="65">
        <v>3.9699074074074072E-3</v>
      </c>
    </row>
    <row r="10" spans="1:5" ht="14.25">
      <c r="A10" s="63" t="s">
        <v>1062</v>
      </c>
      <c r="B10" s="63" t="s">
        <v>1181</v>
      </c>
      <c r="C10" s="63" t="s">
        <v>1063</v>
      </c>
      <c r="D10" s="64">
        <v>45950</v>
      </c>
      <c r="E10" s="65">
        <v>4.1203703703703706E-3</v>
      </c>
    </row>
    <row r="11" spans="1:5" ht="14.25">
      <c r="A11" s="63" t="s">
        <v>1022</v>
      </c>
      <c r="B11" s="63" t="s">
        <v>1160</v>
      </c>
      <c r="C11" s="63" t="s">
        <v>1023</v>
      </c>
      <c r="D11" s="64">
        <v>46148</v>
      </c>
      <c r="E11" s="65">
        <v>4.5023148148148149E-3</v>
      </c>
    </row>
    <row r="12" spans="1:5" ht="14.25">
      <c r="A12" s="63" t="s">
        <v>1028</v>
      </c>
      <c r="B12" s="63" t="s">
        <v>1163</v>
      </c>
      <c r="C12" s="63" t="s">
        <v>1029</v>
      </c>
      <c r="D12" s="64">
        <v>46135</v>
      </c>
      <c r="E12" s="65">
        <v>4.8148148148148152E-3</v>
      </c>
    </row>
    <row r="13" spans="1:5" ht="14.25">
      <c r="A13" s="63" t="s">
        <v>1070</v>
      </c>
      <c r="B13" s="63" t="s">
        <v>1185</v>
      </c>
      <c r="C13" s="63" t="s">
        <v>1071</v>
      </c>
      <c r="D13" s="64">
        <v>45925</v>
      </c>
      <c r="E13" s="65">
        <v>5.0347222222222225E-3</v>
      </c>
    </row>
    <row r="14" spans="1:5" ht="14.25">
      <c r="A14" s="63" t="s">
        <v>1016</v>
      </c>
      <c r="B14" s="63" t="s">
        <v>1157</v>
      </c>
      <c r="C14" s="63" t="s">
        <v>1017</v>
      </c>
      <c r="D14" s="64">
        <v>46226</v>
      </c>
      <c r="E14" s="65">
        <v>5.4861111111111109E-3</v>
      </c>
    </row>
    <row r="15" spans="1:5" ht="14.25">
      <c r="A15" s="63" t="s">
        <v>1068</v>
      </c>
      <c r="B15" s="63" t="s">
        <v>1184</v>
      </c>
      <c r="C15" s="63" t="s">
        <v>1069</v>
      </c>
      <c r="D15" s="64">
        <v>45928</v>
      </c>
      <c r="E15" s="65">
        <v>5.8449074074074072E-3</v>
      </c>
    </row>
    <row r="16" spans="1:5" ht="14.25">
      <c r="A16" s="63" t="s">
        <v>1018</v>
      </c>
      <c r="B16" s="63" t="s">
        <v>1158</v>
      </c>
      <c r="C16" s="63" t="s">
        <v>1019</v>
      </c>
      <c r="D16" s="64">
        <v>46156</v>
      </c>
      <c r="E16" s="65">
        <v>6.2962962962962964E-3</v>
      </c>
    </row>
    <row r="17" spans="1:5" ht="14.25">
      <c r="A17" s="63" t="s">
        <v>1024</v>
      </c>
      <c r="B17" s="63" t="s">
        <v>1161</v>
      </c>
      <c r="C17" s="63" t="s">
        <v>1025</v>
      </c>
      <c r="D17" s="64">
        <v>46144</v>
      </c>
      <c r="E17" s="65">
        <v>7.6967592592592591E-3</v>
      </c>
    </row>
    <row r="18" spans="1:5" ht="14.25">
      <c r="A18" s="63" t="s">
        <v>1020</v>
      </c>
      <c r="B18" s="63" t="s">
        <v>1159</v>
      </c>
      <c r="C18" s="63" t="s">
        <v>1021</v>
      </c>
      <c r="D18" s="64">
        <v>46150</v>
      </c>
      <c r="E18" s="65">
        <v>7.789351851851852E-3</v>
      </c>
    </row>
    <row r="19" spans="1:5" ht="14.25">
      <c r="A19" s="63" t="s">
        <v>1072</v>
      </c>
      <c r="B19" s="63" t="s">
        <v>1186</v>
      </c>
      <c r="C19" s="63" t="s">
        <v>1073</v>
      </c>
      <c r="D19" s="64">
        <v>45919</v>
      </c>
      <c r="E19" s="65">
        <v>7.9629629629629634E-3</v>
      </c>
    </row>
    <row r="20" spans="1:5" ht="14.25">
      <c r="A20" s="63" t="s">
        <v>1026</v>
      </c>
      <c r="B20" s="63" t="s">
        <v>1162</v>
      </c>
      <c r="C20" s="63" t="s">
        <v>1027</v>
      </c>
      <c r="D20" s="64">
        <v>46137</v>
      </c>
      <c r="E20" s="65">
        <v>8.3564814814814821E-3</v>
      </c>
    </row>
    <row r="21" spans="1:5" ht="14.25">
      <c r="A21" s="63" t="s">
        <v>1014</v>
      </c>
      <c r="B21" s="63" t="s">
        <v>1156</v>
      </c>
      <c r="C21" s="63" t="s">
        <v>1015</v>
      </c>
      <c r="D21" s="64">
        <v>46232</v>
      </c>
      <c r="E21" s="65">
        <v>9.5023148148148141E-3</v>
      </c>
    </row>
    <row r="22" spans="1:5" ht="14.25">
      <c r="A22" s="63" t="s">
        <v>1060</v>
      </c>
      <c r="B22" s="63" t="s">
        <v>1180</v>
      </c>
      <c r="C22" s="63" t="s">
        <v>1061</v>
      </c>
      <c r="D22" s="64">
        <v>45975</v>
      </c>
      <c r="E22" s="65">
        <v>1.1342592592592593E-2</v>
      </c>
    </row>
    <row r="23" spans="1:5" ht="14.25">
      <c r="A23" s="63" t="s">
        <v>1049</v>
      </c>
      <c r="B23" s="63" t="s">
        <v>1174</v>
      </c>
      <c r="C23" s="63" t="s">
        <v>1050</v>
      </c>
      <c r="D23" s="64">
        <v>46012</v>
      </c>
      <c r="E23" s="65">
        <v>1.2997685185185185E-2</v>
      </c>
    </row>
    <row r="24" spans="1:5" ht="14.25">
      <c r="A24" s="63" t="s">
        <v>1082</v>
      </c>
      <c r="B24" s="63" t="s">
        <v>1191</v>
      </c>
      <c r="C24" s="63" t="s">
        <v>1083</v>
      </c>
      <c r="D24" s="64">
        <v>45740</v>
      </c>
      <c r="E24" s="65">
        <v>1.4317129629629629E-2</v>
      </c>
    </row>
    <row r="25" spans="1:5" ht="14.25">
      <c r="A25" s="63" t="s">
        <v>1059</v>
      </c>
      <c r="B25" s="63" t="s">
        <v>1179</v>
      </c>
      <c r="C25" s="63" t="s">
        <v>85</v>
      </c>
      <c r="D25" s="64">
        <v>45983</v>
      </c>
      <c r="E25" s="65">
        <v>1.5289351851851853E-2</v>
      </c>
    </row>
    <row r="26" spans="1:5" ht="14.25">
      <c r="A26" s="63" t="s">
        <v>1041</v>
      </c>
      <c r="B26" s="63" t="s">
        <v>1170</v>
      </c>
      <c r="C26" s="63" t="s">
        <v>1042</v>
      </c>
      <c r="D26" s="64">
        <v>46020</v>
      </c>
      <c r="E26" s="65">
        <v>1.5613425925925926E-2</v>
      </c>
    </row>
    <row r="27" spans="1:5" ht="14.25">
      <c r="A27" s="63" t="s">
        <v>1039</v>
      </c>
      <c r="B27" s="63" t="s">
        <v>1169</v>
      </c>
      <c r="C27" s="63" t="s">
        <v>1040</v>
      </c>
      <c r="D27" s="64">
        <v>46021</v>
      </c>
      <c r="E27" s="65">
        <v>1.6018518518518519E-2</v>
      </c>
    </row>
    <row r="28" spans="1:5" ht="14.25">
      <c r="A28" s="63" t="s">
        <v>1084</v>
      </c>
      <c r="B28" s="63" t="s">
        <v>1192</v>
      </c>
      <c r="C28" s="63" t="s">
        <v>1085</v>
      </c>
      <c r="D28" s="64">
        <v>45736</v>
      </c>
      <c r="E28" s="65">
        <v>1.7222222222222222E-2</v>
      </c>
    </row>
    <row r="29" spans="1:5" ht="14.25">
      <c r="A29" s="63" t="s">
        <v>1051</v>
      </c>
      <c r="B29" s="63" t="s">
        <v>1175</v>
      </c>
      <c r="C29" s="63" t="s">
        <v>1052</v>
      </c>
      <c r="D29" s="64">
        <v>46008</v>
      </c>
      <c r="E29" s="65">
        <v>1.7245370370370369E-2</v>
      </c>
    </row>
    <row r="30" spans="1:5" ht="14.25">
      <c r="A30" s="63" t="s">
        <v>1053</v>
      </c>
      <c r="B30" s="63" t="s">
        <v>1176</v>
      </c>
      <c r="C30" s="63" t="s">
        <v>1054</v>
      </c>
      <c r="D30" s="64">
        <v>46006</v>
      </c>
      <c r="E30" s="65">
        <v>1.7627314814814814E-2</v>
      </c>
    </row>
    <row r="31" spans="1:5" ht="14.25">
      <c r="A31" s="63" t="s">
        <v>1057</v>
      </c>
      <c r="B31" s="63" t="s">
        <v>1178</v>
      </c>
      <c r="C31" s="63" t="s">
        <v>1058</v>
      </c>
      <c r="D31" s="64">
        <v>45987</v>
      </c>
      <c r="E31" s="65">
        <v>1.9976851851851853E-2</v>
      </c>
    </row>
    <row r="32" spans="1:5" ht="14.25">
      <c r="A32" s="63" t="s">
        <v>1035</v>
      </c>
      <c r="B32" s="63" t="s">
        <v>1167</v>
      </c>
      <c r="C32" s="63" t="s">
        <v>1036</v>
      </c>
      <c r="D32" s="64">
        <v>46022</v>
      </c>
      <c r="E32" s="65">
        <v>2.3738425925925927E-2</v>
      </c>
    </row>
    <row r="33" spans="1:5" ht="14.25">
      <c r="A33" s="63" t="s">
        <v>1047</v>
      </c>
      <c r="B33" s="63" t="s">
        <v>1173</v>
      </c>
      <c r="C33" s="63" t="s">
        <v>1048</v>
      </c>
      <c r="D33" s="64">
        <v>46017</v>
      </c>
      <c r="E33" s="65">
        <v>2.5000000000000001E-2</v>
      </c>
    </row>
    <row r="34" spans="1:5" ht="14.25">
      <c r="A34" s="63" t="s">
        <v>1043</v>
      </c>
      <c r="B34" s="63" t="s">
        <v>1171</v>
      </c>
      <c r="C34" s="63" t="s">
        <v>1044</v>
      </c>
      <c r="D34" s="64">
        <v>46018</v>
      </c>
      <c r="E34" s="65">
        <v>2.7442129629629629E-2</v>
      </c>
    </row>
    <row r="35" spans="1:5" ht="14.25">
      <c r="A35" s="63" t="s">
        <v>1037</v>
      </c>
      <c r="B35" s="63" t="s">
        <v>1168</v>
      </c>
      <c r="C35" s="63" t="s">
        <v>1038</v>
      </c>
      <c r="D35" s="64">
        <v>46022</v>
      </c>
      <c r="E35" s="65">
        <v>2.7824074074074074E-2</v>
      </c>
    </row>
    <row r="36" spans="1:5" ht="14.25">
      <c r="A36" s="63" t="s">
        <v>1033</v>
      </c>
      <c r="B36" s="63" t="s">
        <v>1166</v>
      </c>
      <c r="C36" s="63" t="s">
        <v>1034</v>
      </c>
      <c r="D36" s="64">
        <v>46023</v>
      </c>
      <c r="E36" s="65">
        <v>2.9236111111111112E-2</v>
      </c>
    </row>
    <row r="37" spans="1:5" ht="14.25">
      <c r="A37" s="63" t="s">
        <v>1055</v>
      </c>
      <c r="B37" s="63" t="s">
        <v>1177</v>
      </c>
      <c r="C37" s="63" t="s">
        <v>1056</v>
      </c>
      <c r="D37" s="64">
        <v>46001</v>
      </c>
      <c r="E37" s="65">
        <v>2.943287037037037E-2</v>
      </c>
    </row>
    <row r="38" spans="1:5" ht="14.25">
      <c r="A38" s="63" t="s">
        <v>1032</v>
      </c>
      <c r="B38" s="63" t="s">
        <v>1165</v>
      </c>
      <c r="C38" s="63" t="s">
        <v>70</v>
      </c>
      <c r="D38" s="64">
        <v>46026</v>
      </c>
      <c r="E38" s="65">
        <v>2.9953703703703705E-2</v>
      </c>
    </row>
    <row r="39" spans="1:5" ht="14.25">
      <c r="A39" s="63" t="s">
        <v>1030</v>
      </c>
      <c r="B39" s="63" t="s">
        <v>1164</v>
      </c>
      <c r="C39" s="63" t="s">
        <v>1031</v>
      </c>
      <c r="D39" s="64">
        <v>46029</v>
      </c>
      <c r="E39" s="65">
        <v>4.8275462962962964E-2</v>
      </c>
    </row>
    <row r="40" spans="1:5" ht="14.25">
      <c r="A40" s="63" t="s">
        <v>1045</v>
      </c>
      <c r="B40" s="63" t="s">
        <v>1172</v>
      </c>
      <c r="C40" s="63" t="s">
        <v>1046</v>
      </c>
      <c r="D40" s="64">
        <v>46018</v>
      </c>
      <c r="E40" s="65">
        <v>5.9293981481481482E-2</v>
      </c>
    </row>
  </sheetData>
  <autoFilter ref="A1:E40" xr:uid="{5D251065-07E3-4211-B0C5-F18327A58714}">
    <sortState xmlns:xlrd2="http://schemas.microsoft.com/office/spreadsheetml/2017/richdata2" ref="A2:E40">
      <sortCondition ref="E1:E40"/>
    </sortState>
  </autoFilter>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5" t="s">
        <v>136</v>
      </c>
      <c r="B1" s="5" t="s">
        <v>137</v>
      </c>
      <c r="C1" s="5" t="s">
        <v>138</v>
      </c>
      <c r="D1" s="5" t="s">
        <v>139</v>
      </c>
      <c r="E1" s="5" t="s">
        <v>140</v>
      </c>
      <c r="F1" s="5" t="s">
        <v>141</v>
      </c>
      <c r="G1" s="5" t="s">
        <v>142</v>
      </c>
      <c r="H1" s="5" t="s">
        <v>143</v>
      </c>
      <c r="I1" s="5" t="s">
        <v>144</v>
      </c>
      <c r="J1" s="5" t="s">
        <v>145</v>
      </c>
      <c r="K1" s="5" t="s">
        <v>146</v>
      </c>
      <c r="L1" s="5" t="s">
        <v>147</v>
      </c>
      <c r="M1" s="5" t="s">
        <v>148</v>
      </c>
      <c r="N1" s="6" t="s">
        <v>149</v>
      </c>
    </row>
    <row r="2" spans="1:14" ht="14.25">
      <c r="A2" s="7" t="s">
        <v>394</v>
      </c>
      <c r="B2" s="7" t="s">
        <v>395</v>
      </c>
      <c r="C2" s="7" t="s">
        <v>238</v>
      </c>
      <c r="D2" s="7">
        <v>2.9</v>
      </c>
      <c r="E2" s="7" t="s">
        <v>396</v>
      </c>
      <c r="F2" s="7" t="s">
        <v>397</v>
      </c>
      <c r="G2" s="7" t="s">
        <v>398</v>
      </c>
      <c r="H2" s="7" t="s">
        <v>399</v>
      </c>
      <c r="I2" s="7">
        <v>5</v>
      </c>
      <c r="J2" s="7" t="s">
        <v>157</v>
      </c>
      <c r="K2" s="7" t="s">
        <v>223</v>
      </c>
      <c r="L2" s="7" t="s">
        <v>270</v>
      </c>
      <c r="M2" s="7" t="s">
        <v>160</v>
      </c>
      <c r="N2" s="7" t="s">
        <v>398</v>
      </c>
    </row>
    <row r="3" spans="1:14" ht="14.25">
      <c r="A3" s="7" t="s">
        <v>162</v>
      </c>
      <c r="B3" s="7" t="s">
        <v>163</v>
      </c>
      <c r="C3" s="7" t="s">
        <v>164</v>
      </c>
      <c r="D3" s="7">
        <v>1</v>
      </c>
      <c r="E3" s="7" t="s">
        <v>165</v>
      </c>
      <c r="F3" s="7" t="s">
        <v>166</v>
      </c>
      <c r="G3" s="7" t="s">
        <v>167</v>
      </c>
      <c r="H3" s="7" t="s">
        <v>153</v>
      </c>
      <c r="I3" s="7">
        <v>5</v>
      </c>
      <c r="J3" s="7" t="s">
        <v>157</v>
      </c>
      <c r="K3" s="7" t="s">
        <v>168</v>
      </c>
      <c r="L3" s="7" t="s">
        <v>169</v>
      </c>
      <c r="M3" s="7" t="s">
        <v>170</v>
      </c>
      <c r="N3" s="7" t="s">
        <v>167</v>
      </c>
    </row>
    <row r="4" spans="1:14" ht="14.25">
      <c r="A4" s="7" t="s">
        <v>218</v>
      </c>
      <c r="B4" s="7" t="s">
        <v>219</v>
      </c>
      <c r="C4" s="7" t="s">
        <v>220</v>
      </c>
      <c r="D4" s="7">
        <v>1.7</v>
      </c>
      <c r="E4" s="7" t="s">
        <v>165</v>
      </c>
      <c r="F4" s="7" t="s">
        <v>221</v>
      </c>
      <c r="G4" s="7" t="s">
        <v>222</v>
      </c>
      <c r="H4" s="7" t="s">
        <v>153</v>
      </c>
      <c r="I4" s="7">
        <v>4</v>
      </c>
      <c r="J4" s="7" t="s">
        <v>157</v>
      </c>
      <c r="K4" s="7" t="s">
        <v>223</v>
      </c>
      <c r="L4" s="7" t="s">
        <v>169</v>
      </c>
      <c r="M4" s="7" t="s">
        <v>170</v>
      </c>
      <c r="N4" s="7" t="s">
        <v>222</v>
      </c>
    </row>
    <row r="5" spans="1:14" ht="14.25">
      <c r="A5" s="7" t="s">
        <v>231</v>
      </c>
      <c r="B5" s="7" t="s">
        <v>232</v>
      </c>
      <c r="C5" s="7" t="s">
        <v>233</v>
      </c>
      <c r="D5" s="7">
        <v>1.1000000000000001</v>
      </c>
      <c r="E5" s="7" t="s">
        <v>165</v>
      </c>
      <c r="F5" s="7" t="s">
        <v>234</v>
      </c>
      <c r="G5" s="7" t="s">
        <v>235</v>
      </c>
      <c r="H5" s="7" t="s">
        <v>153</v>
      </c>
      <c r="I5" s="7">
        <v>4</v>
      </c>
      <c r="J5" s="7" t="s">
        <v>157</v>
      </c>
      <c r="K5" s="7" t="s">
        <v>168</v>
      </c>
      <c r="L5" s="7" t="s">
        <v>169</v>
      </c>
      <c r="M5" s="7" t="s">
        <v>170</v>
      </c>
      <c r="N5" s="7" t="s">
        <v>235</v>
      </c>
    </row>
    <row r="6" spans="1:14" ht="14.25">
      <c r="A6" s="7" t="s">
        <v>245</v>
      </c>
      <c r="B6" s="7" t="s">
        <v>246</v>
      </c>
      <c r="C6" s="7" t="s">
        <v>247</v>
      </c>
      <c r="D6" s="7">
        <v>4.5999999999999996</v>
      </c>
      <c r="E6" s="7" t="s">
        <v>165</v>
      </c>
      <c r="F6" s="7" t="s">
        <v>248</v>
      </c>
      <c r="G6" s="7" t="s">
        <v>249</v>
      </c>
      <c r="H6" s="7" t="s">
        <v>153</v>
      </c>
      <c r="I6" s="7">
        <v>5</v>
      </c>
      <c r="J6" s="7" t="s">
        <v>157</v>
      </c>
      <c r="K6" s="7" t="s">
        <v>223</v>
      </c>
      <c r="L6" s="7" t="s">
        <v>169</v>
      </c>
      <c r="M6" s="7" t="s">
        <v>170</v>
      </c>
      <c r="N6" s="7" t="s">
        <v>249</v>
      </c>
    </row>
    <row r="7" spans="1:14" ht="14.25">
      <c r="A7" s="7" t="s">
        <v>250</v>
      </c>
      <c r="B7" s="7" t="s">
        <v>251</v>
      </c>
      <c r="C7" s="7" t="s">
        <v>252</v>
      </c>
      <c r="D7" s="7">
        <v>3.7</v>
      </c>
      <c r="E7" s="7" t="s">
        <v>165</v>
      </c>
      <c r="F7" s="7" t="s">
        <v>253</v>
      </c>
      <c r="G7" s="7" t="s">
        <v>254</v>
      </c>
      <c r="H7" s="7" t="s">
        <v>255</v>
      </c>
      <c r="I7" s="7">
        <v>5</v>
      </c>
      <c r="J7" s="7" t="s">
        <v>157</v>
      </c>
      <c r="K7" s="7" t="s">
        <v>223</v>
      </c>
      <c r="L7" s="7" t="s">
        <v>169</v>
      </c>
      <c r="M7" s="7" t="s">
        <v>170</v>
      </c>
      <c r="N7" s="7" t="s">
        <v>254</v>
      </c>
    </row>
    <row r="8" spans="1:14" ht="14.25">
      <c r="A8" s="7" t="s">
        <v>265</v>
      </c>
      <c r="B8" s="7" t="s">
        <v>266</v>
      </c>
      <c r="C8" s="7" t="s">
        <v>220</v>
      </c>
      <c r="D8" s="7">
        <v>2.9</v>
      </c>
      <c r="E8" s="7" t="s">
        <v>165</v>
      </c>
      <c r="F8" s="7" t="s">
        <v>267</v>
      </c>
      <c r="G8" s="7" t="s">
        <v>268</v>
      </c>
      <c r="H8" s="7" t="s">
        <v>153</v>
      </c>
      <c r="I8" s="7">
        <v>5</v>
      </c>
      <c r="J8" s="7" t="s">
        <v>269</v>
      </c>
      <c r="K8" s="7" t="s">
        <v>184</v>
      </c>
      <c r="L8" s="7" t="s">
        <v>270</v>
      </c>
      <c r="M8" s="7" t="s">
        <v>271</v>
      </c>
      <c r="N8" s="7" t="s">
        <v>268</v>
      </c>
    </row>
    <row r="9" spans="1:14" ht="14.25">
      <c r="A9" s="7" t="s">
        <v>365</v>
      </c>
      <c r="B9" s="7" t="s">
        <v>366</v>
      </c>
      <c r="C9" s="7" t="s">
        <v>220</v>
      </c>
      <c r="D9" s="7">
        <v>1</v>
      </c>
      <c r="E9" s="7" t="s">
        <v>165</v>
      </c>
      <c r="F9" s="7" t="s">
        <v>367</v>
      </c>
      <c r="G9" s="7" t="s">
        <v>368</v>
      </c>
      <c r="H9" s="7" t="s">
        <v>153</v>
      </c>
      <c r="I9" s="7">
        <v>5</v>
      </c>
      <c r="J9" s="7" t="s">
        <v>157</v>
      </c>
      <c r="K9" s="7" t="s">
        <v>184</v>
      </c>
      <c r="L9" s="7" t="s">
        <v>169</v>
      </c>
      <c r="M9" s="7" t="s">
        <v>170</v>
      </c>
      <c r="N9" s="7" t="s">
        <v>368</v>
      </c>
    </row>
    <row r="10" spans="1:14" ht="14.25">
      <c r="A10" s="7" t="s">
        <v>426</v>
      </c>
      <c r="B10" s="7" t="s">
        <v>427</v>
      </c>
      <c r="C10" s="7" t="s">
        <v>428</v>
      </c>
      <c r="D10" s="7">
        <v>1.2</v>
      </c>
      <c r="E10" s="7" t="s">
        <v>165</v>
      </c>
      <c r="F10" s="7" t="s">
        <v>429</v>
      </c>
      <c r="G10" s="7" t="s">
        <v>430</v>
      </c>
      <c r="H10" s="7" t="s">
        <v>153</v>
      </c>
      <c r="I10" s="7">
        <v>5</v>
      </c>
      <c r="J10" s="7" t="s">
        <v>157</v>
      </c>
      <c r="K10" s="7" t="s">
        <v>223</v>
      </c>
      <c r="L10" s="7" t="s">
        <v>169</v>
      </c>
      <c r="M10" s="7" t="s">
        <v>170</v>
      </c>
      <c r="N10" s="7" t="s">
        <v>430</v>
      </c>
    </row>
    <row r="11" spans="1:14" ht="14.25">
      <c r="A11" s="7" t="s">
        <v>457</v>
      </c>
      <c r="B11" s="7" t="s">
        <v>458</v>
      </c>
      <c r="C11" s="7" t="s">
        <v>220</v>
      </c>
      <c r="D11" s="7">
        <v>1.7</v>
      </c>
      <c r="E11" s="7" t="s">
        <v>165</v>
      </c>
      <c r="F11" s="7" t="s">
        <v>459</v>
      </c>
      <c r="G11" s="7" t="s">
        <v>460</v>
      </c>
      <c r="H11" s="7" t="s">
        <v>153</v>
      </c>
      <c r="I11" s="7">
        <v>5</v>
      </c>
      <c r="J11" s="7" t="s">
        <v>157</v>
      </c>
      <c r="K11" s="7" t="s">
        <v>223</v>
      </c>
      <c r="L11" s="7" t="s">
        <v>169</v>
      </c>
      <c r="M11" s="7" t="s">
        <v>170</v>
      </c>
      <c r="N11" s="7" t="s">
        <v>460</v>
      </c>
    </row>
    <row r="12" spans="1:14" ht="14.25">
      <c r="A12" s="7" t="s">
        <v>494</v>
      </c>
      <c r="B12" s="7" t="s">
        <v>495</v>
      </c>
      <c r="C12" s="7" t="s">
        <v>496</v>
      </c>
      <c r="D12" s="7">
        <v>3.8</v>
      </c>
      <c r="E12" s="7" t="s">
        <v>165</v>
      </c>
      <c r="F12" s="7" t="s">
        <v>497</v>
      </c>
      <c r="G12" s="7" t="s">
        <v>498</v>
      </c>
      <c r="H12" s="7" t="s">
        <v>153</v>
      </c>
      <c r="I12" s="7">
        <v>4</v>
      </c>
      <c r="J12" s="7" t="s">
        <v>157</v>
      </c>
      <c r="K12" s="7" t="s">
        <v>168</v>
      </c>
      <c r="L12" s="7" t="s">
        <v>169</v>
      </c>
      <c r="M12" s="7" t="s">
        <v>170</v>
      </c>
      <c r="N12" s="7" t="s">
        <v>498</v>
      </c>
    </row>
    <row r="13" spans="1:14" ht="14.25">
      <c r="A13" s="7" t="s">
        <v>540</v>
      </c>
      <c r="B13" s="7" t="s">
        <v>541</v>
      </c>
      <c r="C13" s="7" t="s">
        <v>220</v>
      </c>
      <c r="D13" s="7">
        <v>5.5</v>
      </c>
      <c r="E13" s="7" t="s">
        <v>165</v>
      </c>
      <c r="F13" s="7" t="s">
        <v>542</v>
      </c>
      <c r="G13" s="7" t="s">
        <v>543</v>
      </c>
      <c r="H13" s="7" t="s">
        <v>153</v>
      </c>
      <c r="I13" s="7">
        <v>5</v>
      </c>
      <c r="J13" s="7" t="s">
        <v>157</v>
      </c>
      <c r="K13" s="7" t="s">
        <v>544</v>
      </c>
      <c r="L13" s="7" t="s">
        <v>169</v>
      </c>
      <c r="M13" s="7" t="s">
        <v>170</v>
      </c>
      <c r="N13" s="7" t="s">
        <v>543</v>
      </c>
    </row>
    <row r="14" spans="1:14" ht="14.25">
      <c r="A14" s="7" t="s">
        <v>556</v>
      </c>
      <c r="B14" s="7" t="s">
        <v>557</v>
      </c>
      <c r="C14" s="7" t="s">
        <v>558</v>
      </c>
      <c r="D14" s="7">
        <v>1.4</v>
      </c>
      <c r="E14" s="7" t="s">
        <v>165</v>
      </c>
      <c r="F14" s="7" t="s">
        <v>559</v>
      </c>
      <c r="G14" s="7" t="s">
        <v>560</v>
      </c>
      <c r="H14" s="7" t="s">
        <v>153</v>
      </c>
      <c r="I14" s="7">
        <v>5</v>
      </c>
      <c r="J14" s="7" t="s">
        <v>157</v>
      </c>
      <c r="K14" s="7" t="s">
        <v>223</v>
      </c>
      <c r="L14" s="7" t="s">
        <v>169</v>
      </c>
      <c r="M14" s="7" t="s">
        <v>170</v>
      </c>
      <c r="N14" s="7" t="s">
        <v>560</v>
      </c>
    </row>
    <row r="15" spans="1:14" ht="14.25">
      <c r="A15" s="7" t="s">
        <v>598</v>
      </c>
      <c r="B15" s="7" t="s">
        <v>599</v>
      </c>
      <c r="C15" s="7" t="s">
        <v>252</v>
      </c>
      <c r="D15" s="7">
        <v>2.1</v>
      </c>
      <c r="E15" s="7" t="s">
        <v>165</v>
      </c>
      <c r="F15" s="7" t="s">
        <v>600</v>
      </c>
      <c r="G15" s="7" t="s">
        <v>601</v>
      </c>
      <c r="H15" s="7" t="s">
        <v>153</v>
      </c>
      <c r="I15" s="7">
        <v>4</v>
      </c>
      <c r="J15" s="7" t="s">
        <v>157</v>
      </c>
      <c r="K15" s="7" t="s">
        <v>223</v>
      </c>
      <c r="L15" s="7" t="s">
        <v>169</v>
      </c>
      <c r="M15" s="7" t="s">
        <v>170</v>
      </c>
      <c r="N15" s="7" t="s">
        <v>601</v>
      </c>
    </row>
    <row r="16" spans="1:14" ht="14.25">
      <c r="A16" s="7" t="s">
        <v>642</v>
      </c>
      <c r="B16" s="7" t="s">
        <v>643</v>
      </c>
      <c r="C16" s="7" t="s">
        <v>644</v>
      </c>
      <c r="D16" s="7">
        <v>4.3</v>
      </c>
      <c r="E16" s="7" t="s">
        <v>165</v>
      </c>
      <c r="F16" s="7" t="s">
        <v>645</v>
      </c>
      <c r="G16" s="7" t="s">
        <v>646</v>
      </c>
      <c r="H16" s="7" t="s">
        <v>647</v>
      </c>
      <c r="I16" s="7">
        <v>4</v>
      </c>
      <c r="J16" s="7" t="s">
        <v>157</v>
      </c>
      <c r="K16" s="7" t="s">
        <v>223</v>
      </c>
      <c r="L16" s="7" t="s">
        <v>169</v>
      </c>
      <c r="M16" s="7" t="s">
        <v>170</v>
      </c>
      <c r="N16" s="7" t="s">
        <v>646</v>
      </c>
    </row>
    <row r="17" spans="1:14" ht="14.25">
      <c r="A17" s="7" t="s">
        <v>654</v>
      </c>
      <c r="B17" s="7" t="s">
        <v>655</v>
      </c>
      <c r="C17" s="7" t="s">
        <v>656</v>
      </c>
      <c r="D17" s="7">
        <v>2.2000000000000002</v>
      </c>
      <c r="E17" s="7" t="s">
        <v>165</v>
      </c>
      <c r="F17" s="7" t="s">
        <v>657</v>
      </c>
      <c r="G17" s="7" t="s">
        <v>658</v>
      </c>
      <c r="H17" s="7" t="s">
        <v>153</v>
      </c>
      <c r="I17" s="7">
        <v>4</v>
      </c>
      <c r="J17" s="7" t="s">
        <v>157</v>
      </c>
      <c r="K17" s="7" t="s">
        <v>168</v>
      </c>
      <c r="L17" s="7" t="s">
        <v>169</v>
      </c>
      <c r="M17" s="7" t="s">
        <v>170</v>
      </c>
      <c r="N17" s="7" t="s">
        <v>658</v>
      </c>
    </row>
    <row r="18" spans="1:14" ht="14.25">
      <c r="A18" s="7" t="s">
        <v>756</v>
      </c>
      <c r="B18" s="7" t="s">
        <v>757</v>
      </c>
      <c r="C18" s="7" t="s">
        <v>220</v>
      </c>
      <c r="D18" s="7">
        <v>20</v>
      </c>
      <c r="E18" s="7" t="s">
        <v>165</v>
      </c>
      <c r="F18" s="7" t="s">
        <v>758</v>
      </c>
      <c r="G18" s="7" t="s">
        <v>759</v>
      </c>
      <c r="H18" s="7" t="s">
        <v>153</v>
      </c>
      <c r="I18" s="7">
        <v>4</v>
      </c>
      <c r="J18" s="7" t="s">
        <v>157</v>
      </c>
      <c r="K18" s="7" t="s">
        <v>223</v>
      </c>
      <c r="L18" s="7" t="s">
        <v>169</v>
      </c>
      <c r="M18" s="7" t="s">
        <v>170</v>
      </c>
      <c r="N18" s="7" t="s">
        <v>759</v>
      </c>
    </row>
    <row r="19" spans="1:14" ht="14.25">
      <c r="A19" s="7" t="s">
        <v>775</v>
      </c>
      <c r="B19" s="7" t="s">
        <v>776</v>
      </c>
      <c r="C19" s="7" t="s">
        <v>247</v>
      </c>
      <c r="D19" s="7">
        <v>2.8</v>
      </c>
      <c r="E19" s="7" t="s">
        <v>165</v>
      </c>
      <c r="F19" s="7" t="s">
        <v>777</v>
      </c>
      <c r="G19" s="7" t="s">
        <v>778</v>
      </c>
      <c r="H19" s="7" t="s">
        <v>153</v>
      </c>
      <c r="I19" s="7">
        <v>5</v>
      </c>
      <c r="J19" s="7" t="s">
        <v>157</v>
      </c>
      <c r="K19" s="7" t="s">
        <v>223</v>
      </c>
      <c r="L19" s="7" t="s">
        <v>169</v>
      </c>
      <c r="M19" s="7" t="s">
        <v>170</v>
      </c>
      <c r="N19" s="7" t="s">
        <v>778</v>
      </c>
    </row>
    <row r="20" spans="1:14" ht="14.25">
      <c r="A20" s="7" t="s">
        <v>794</v>
      </c>
      <c r="B20" s="7" t="s">
        <v>795</v>
      </c>
      <c r="C20" s="7" t="s">
        <v>796</v>
      </c>
      <c r="D20" s="7">
        <v>4.5999999999999996</v>
      </c>
      <c r="E20" s="7" t="s">
        <v>165</v>
      </c>
      <c r="F20" s="7" t="s">
        <v>797</v>
      </c>
      <c r="G20" s="7" t="s">
        <v>798</v>
      </c>
      <c r="H20" s="7" t="s">
        <v>799</v>
      </c>
      <c r="I20" s="7">
        <v>5</v>
      </c>
      <c r="J20" s="7" t="s">
        <v>157</v>
      </c>
      <c r="K20" s="7" t="s">
        <v>168</v>
      </c>
      <c r="L20" s="7" t="s">
        <v>169</v>
      </c>
      <c r="M20" s="7" t="s">
        <v>170</v>
      </c>
      <c r="N20" s="7" t="s">
        <v>798</v>
      </c>
    </row>
    <row r="21" spans="1:14" ht="14.25">
      <c r="A21" s="7" t="s">
        <v>800</v>
      </c>
      <c r="B21" s="7" t="s">
        <v>801</v>
      </c>
      <c r="C21" s="7" t="s">
        <v>796</v>
      </c>
      <c r="D21" s="7">
        <v>9</v>
      </c>
      <c r="E21" s="7" t="s">
        <v>165</v>
      </c>
      <c r="F21" s="7" t="s">
        <v>802</v>
      </c>
      <c r="G21" s="7" t="s">
        <v>803</v>
      </c>
      <c r="H21" s="7" t="s">
        <v>153</v>
      </c>
      <c r="I21" s="7">
        <v>4</v>
      </c>
      <c r="J21" s="7" t="s">
        <v>157</v>
      </c>
      <c r="K21" s="7" t="s">
        <v>168</v>
      </c>
      <c r="L21" s="7" t="s">
        <v>169</v>
      </c>
      <c r="M21" s="7" t="s">
        <v>170</v>
      </c>
      <c r="N21" s="7" t="s">
        <v>803</v>
      </c>
    </row>
    <row r="22" spans="1:14" ht="14.25">
      <c r="A22" s="7" t="s">
        <v>804</v>
      </c>
      <c r="B22" s="7" t="s">
        <v>805</v>
      </c>
      <c r="C22" s="7" t="s">
        <v>247</v>
      </c>
      <c r="D22" s="7">
        <v>2.6</v>
      </c>
      <c r="E22" s="7" t="s">
        <v>165</v>
      </c>
      <c r="F22" s="7" t="s">
        <v>806</v>
      </c>
      <c r="G22" s="7" t="s">
        <v>807</v>
      </c>
      <c r="H22" s="7" t="s">
        <v>153</v>
      </c>
      <c r="I22" s="7">
        <v>4</v>
      </c>
      <c r="J22" s="7" t="s">
        <v>157</v>
      </c>
      <c r="K22" s="7" t="s">
        <v>223</v>
      </c>
      <c r="L22" s="7" t="s">
        <v>169</v>
      </c>
      <c r="M22" s="7" t="s">
        <v>170</v>
      </c>
      <c r="N22" s="7" t="s">
        <v>807</v>
      </c>
    </row>
    <row r="23" spans="1:14" ht="14.25">
      <c r="A23" s="7" t="s">
        <v>808</v>
      </c>
      <c r="B23" s="7" t="s">
        <v>809</v>
      </c>
      <c r="C23" s="7" t="s">
        <v>247</v>
      </c>
      <c r="D23" s="7">
        <v>4.5</v>
      </c>
      <c r="E23" s="7" t="s">
        <v>165</v>
      </c>
      <c r="F23" s="7" t="s">
        <v>810</v>
      </c>
      <c r="G23" s="7" t="s">
        <v>811</v>
      </c>
      <c r="H23" s="7" t="s">
        <v>153</v>
      </c>
      <c r="I23" s="7">
        <v>5</v>
      </c>
      <c r="J23" s="7" t="s">
        <v>157</v>
      </c>
      <c r="K23" s="7" t="s">
        <v>223</v>
      </c>
      <c r="L23" s="7" t="s">
        <v>169</v>
      </c>
      <c r="M23" s="7" t="s">
        <v>170</v>
      </c>
      <c r="N23" s="7" t="s">
        <v>811</v>
      </c>
    </row>
    <row r="24" spans="1:14" ht="14.25">
      <c r="A24" s="7" t="s">
        <v>812</v>
      </c>
      <c r="B24" s="7" t="s">
        <v>813</v>
      </c>
      <c r="C24" s="7" t="s">
        <v>496</v>
      </c>
      <c r="D24" s="7">
        <v>29.5</v>
      </c>
      <c r="E24" s="7" t="s">
        <v>165</v>
      </c>
      <c r="F24" s="7" t="s">
        <v>814</v>
      </c>
      <c r="G24" s="7" t="s">
        <v>815</v>
      </c>
      <c r="H24" s="7" t="s">
        <v>816</v>
      </c>
      <c r="I24" s="7">
        <v>4</v>
      </c>
      <c r="J24" s="7" t="s">
        <v>157</v>
      </c>
      <c r="K24" s="7" t="s">
        <v>168</v>
      </c>
      <c r="L24" s="7" t="s">
        <v>169</v>
      </c>
      <c r="M24" s="7" t="s">
        <v>170</v>
      </c>
      <c r="N24" s="7" t="s">
        <v>815</v>
      </c>
    </row>
    <row r="25" spans="1:14" ht="14.25">
      <c r="A25" s="7" t="s">
        <v>853</v>
      </c>
      <c r="B25" s="7" t="s">
        <v>854</v>
      </c>
      <c r="C25" s="7" t="s">
        <v>247</v>
      </c>
      <c r="D25" s="7">
        <v>4.4000000000000004</v>
      </c>
      <c r="E25" s="7" t="s">
        <v>165</v>
      </c>
      <c r="F25" s="7" t="s">
        <v>855</v>
      </c>
      <c r="G25" s="7" t="s">
        <v>856</v>
      </c>
      <c r="H25" s="7" t="s">
        <v>153</v>
      </c>
      <c r="I25" s="7">
        <v>4</v>
      </c>
      <c r="J25" s="7" t="s">
        <v>157</v>
      </c>
      <c r="K25" s="7" t="s">
        <v>146</v>
      </c>
      <c r="L25" s="7" t="s">
        <v>169</v>
      </c>
      <c r="M25" s="7" t="s">
        <v>170</v>
      </c>
      <c r="N25" s="7" t="s">
        <v>856</v>
      </c>
    </row>
    <row r="26" spans="1:14" ht="14.25">
      <c r="A26" s="7" t="s">
        <v>866</v>
      </c>
      <c r="B26" s="7" t="s">
        <v>867</v>
      </c>
      <c r="C26" s="7" t="s">
        <v>796</v>
      </c>
      <c r="D26" s="7">
        <v>45</v>
      </c>
      <c r="E26" s="7" t="s">
        <v>165</v>
      </c>
      <c r="F26" s="7" t="s">
        <v>868</v>
      </c>
      <c r="G26" s="7" t="s">
        <v>869</v>
      </c>
      <c r="H26" s="7" t="s">
        <v>153</v>
      </c>
      <c r="I26" s="7">
        <v>5</v>
      </c>
      <c r="J26" s="7" t="s">
        <v>157</v>
      </c>
      <c r="K26" s="7" t="s">
        <v>168</v>
      </c>
      <c r="L26" s="7" t="s">
        <v>169</v>
      </c>
      <c r="M26" s="7" t="s">
        <v>170</v>
      </c>
      <c r="N26" s="7" t="s">
        <v>869</v>
      </c>
    </row>
    <row r="27" spans="1:14" ht="14.25">
      <c r="A27" s="7" t="s">
        <v>896</v>
      </c>
      <c r="B27" s="7" t="s">
        <v>896</v>
      </c>
      <c r="C27" s="7" t="s">
        <v>897</v>
      </c>
      <c r="D27" s="7">
        <v>50</v>
      </c>
      <c r="E27" s="7" t="s">
        <v>165</v>
      </c>
      <c r="F27" s="7" t="s">
        <v>898</v>
      </c>
      <c r="G27" s="7" t="s">
        <v>899</v>
      </c>
      <c r="H27" s="7" t="s">
        <v>153</v>
      </c>
      <c r="I27" s="7">
        <v>4</v>
      </c>
      <c r="J27" s="7" t="s">
        <v>157</v>
      </c>
      <c r="K27" s="7" t="s">
        <v>168</v>
      </c>
      <c r="L27" s="7" t="s">
        <v>169</v>
      </c>
      <c r="M27" s="7" t="s">
        <v>170</v>
      </c>
      <c r="N27" s="7" t="s">
        <v>899</v>
      </c>
    </row>
    <row r="28" spans="1:14" ht="14.25">
      <c r="A28" s="7" t="s">
        <v>972</v>
      </c>
      <c r="B28" s="7" t="s">
        <v>973</v>
      </c>
      <c r="C28" s="7" t="s">
        <v>220</v>
      </c>
      <c r="D28" s="7">
        <v>1.1000000000000001</v>
      </c>
      <c r="E28" s="7" t="s">
        <v>165</v>
      </c>
      <c r="F28" s="7" t="s">
        <v>974</v>
      </c>
      <c r="G28" s="7" t="s">
        <v>975</v>
      </c>
      <c r="H28" s="7" t="s">
        <v>153</v>
      </c>
      <c r="I28" s="7">
        <v>5</v>
      </c>
      <c r="J28" s="7" t="s">
        <v>157</v>
      </c>
      <c r="K28" s="7" t="s">
        <v>223</v>
      </c>
      <c r="L28" s="7" t="s">
        <v>169</v>
      </c>
      <c r="M28" s="7" t="s">
        <v>170</v>
      </c>
      <c r="N28" s="7" t="s">
        <v>975</v>
      </c>
    </row>
    <row r="29" spans="1:14" ht="14.25">
      <c r="A29" s="7" t="s">
        <v>150</v>
      </c>
      <c r="B29" s="7" t="s">
        <v>151</v>
      </c>
      <c r="C29" s="7" t="s">
        <v>152</v>
      </c>
      <c r="D29" s="7" t="s">
        <v>153</v>
      </c>
      <c r="E29" s="7" t="s">
        <v>154</v>
      </c>
      <c r="F29" s="7" t="s">
        <v>155</v>
      </c>
      <c r="G29" s="7" t="s">
        <v>156</v>
      </c>
      <c r="H29" s="7" t="s">
        <v>153</v>
      </c>
      <c r="I29" s="7">
        <v>3</v>
      </c>
      <c r="J29" s="7" t="s">
        <v>157</v>
      </c>
      <c r="K29" s="7" t="s">
        <v>158</v>
      </c>
      <c r="L29" s="7" t="s">
        <v>159</v>
      </c>
      <c r="M29" s="7" t="s">
        <v>160</v>
      </c>
      <c r="N29" s="7" t="s">
        <v>161</v>
      </c>
    </row>
    <row r="30" spans="1:14" ht="14.25">
      <c r="A30" s="7" t="s">
        <v>171</v>
      </c>
      <c r="B30" s="7" t="s">
        <v>171</v>
      </c>
      <c r="C30" s="7" t="s">
        <v>172</v>
      </c>
      <c r="D30" s="7" t="s">
        <v>173</v>
      </c>
      <c r="E30" s="7" t="s">
        <v>154</v>
      </c>
      <c r="F30" s="7" t="s">
        <v>174</v>
      </c>
      <c r="G30" s="7" t="s">
        <v>175</v>
      </c>
      <c r="H30" s="7" t="s">
        <v>153</v>
      </c>
      <c r="I30" s="7">
        <v>3</v>
      </c>
      <c r="J30" s="7" t="s">
        <v>157</v>
      </c>
      <c r="K30" s="7" t="s">
        <v>146</v>
      </c>
      <c r="L30" s="7" t="s">
        <v>176</v>
      </c>
      <c r="M30" s="7" t="s">
        <v>177</v>
      </c>
      <c r="N30" s="7" t="s">
        <v>161</v>
      </c>
    </row>
    <row r="31" spans="1:14" ht="14.25">
      <c r="A31" s="7" t="s">
        <v>178</v>
      </c>
      <c r="B31" s="7" t="s">
        <v>179</v>
      </c>
      <c r="C31" s="7" t="s">
        <v>180</v>
      </c>
      <c r="D31" s="7" t="s">
        <v>181</v>
      </c>
      <c r="E31" s="7" t="s">
        <v>154</v>
      </c>
      <c r="F31" s="7" t="s">
        <v>182</v>
      </c>
      <c r="G31" s="7" t="s">
        <v>183</v>
      </c>
      <c r="H31" s="7" t="s">
        <v>153</v>
      </c>
      <c r="I31" s="7">
        <v>4</v>
      </c>
      <c r="J31" s="7" t="s">
        <v>157</v>
      </c>
      <c r="K31" s="7" t="s">
        <v>184</v>
      </c>
      <c r="L31" s="7" t="s">
        <v>159</v>
      </c>
      <c r="M31" s="7" t="s">
        <v>177</v>
      </c>
      <c r="N31" s="7" t="s">
        <v>161</v>
      </c>
    </row>
    <row r="32" spans="1:14" ht="14.25">
      <c r="A32" s="7" t="s">
        <v>185</v>
      </c>
      <c r="B32" s="7" t="s">
        <v>186</v>
      </c>
      <c r="C32" s="7" t="s">
        <v>187</v>
      </c>
      <c r="D32" s="7" t="s">
        <v>188</v>
      </c>
      <c r="E32" s="7" t="s">
        <v>154</v>
      </c>
      <c r="F32" s="7" t="s">
        <v>189</v>
      </c>
      <c r="G32" s="7" t="s">
        <v>190</v>
      </c>
      <c r="H32" s="7" t="s">
        <v>153</v>
      </c>
      <c r="I32" s="7">
        <v>3</v>
      </c>
      <c r="J32" s="7" t="s">
        <v>157</v>
      </c>
      <c r="K32" s="7" t="s">
        <v>191</v>
      </c>
      <c r="L32" s="7" t="s">
        <v>169</v>
      </c>
      <c r="M32" s="7" t="s">
        <v>192</v>
      </c>
      <c r="N32" s="7" t="s">
        <v>161</v>
      </c>
    </row>
    <row r="33" spans="1:14" ht="14.25">
      <c r="A33" s="7" t="s">
        <v>193</v>
      </c>
      <c r="B33" s="7" t="s">
        <v>194</v>
      </c>
      <c r="C33" s="7" t="s">
        <v>195</v>
      </c>
      <c r="D33" s="7" t="s">
        <v>153</v>
      </c>
      <c r="E33" s="7" t="s">
        <v>154</v>
      </c>
      <c r="F33" s="7" t="s">
        <v>196</v>
      </c>
      <c r="G33" s="7" t="s">
        <v>197</v>
      </c>
      <c r="H33" s="7" t="s">
        <v>153</v>
      </c>
      <c r="I33" s="7">
        <v>4</v>
      </c>
      <c r="J33" s="7" t="s">
        <v>157</v>
      </c>
      <c r="K33" s="7" t="s">
        <v>146</v>
      </c>
      <c r="L33" s="7" t="s">
        <v>169</v>
      </c>
      <c r="M33" s="7" t="s">
        <v>192</v>
      </c>
      <c r="N33" s="7" t="s">
        <v>161</v>
      </c>
    </row>
    <row r="34" spans="1:14" ht="14.25">
      <c r="A34" s="7" t="s">
        <v>198</v>
      </c>
      <c r="B34" s="7" t="s">
        <v>199</v>
      </c>
      <c r="C34" s="7" t="s">
        <v>200</v>
      </c>
      <c r="D34" s="7" t="s">
        <v>153</v>
      </c>
      <c r="E34" s="7" t="s">
        <v>154</v>
      </c>
      <c r="F34" s="7" t="s">
        <v>201</v>
      </c>
      <c r="G34" s="7" t="s">
        <v>202</v>
      </c>
      <c r="H34" s="7" t="s">
        <v>153</v>
      </c>
      <c r="I34" s="7">
        <v>4</v>
      </c>
      <c r="J34" s="7" t="s">
        <v>157</v>
      </c>
      <c r="K34" s="7" t="s">
        <v>203</v>
      </c>
      <c r="L34" s="7" t="s">
        <v>169</v>
      </c>
      <c r="M34" s="7" t="s">
        <v>204</v>
      </c>
      <c r="N34" s="7" t="s">
        <v>161</v>
      </c>
    </row>
    <row r="35" spans="1:14" ht="14.25">
      <c r="A35" s="7" t="s">
        <v>205</v>
      </c>
      <c r="B35" s="7" t="s">
        <v>206</v>
      </c>
      <c r="C35" s="7" t="s">
        <v>200</v>
      </c>
      <c r="D35" s="7" t="s">
        <v>153</v>
      </c>
      <c r="E35" s="7" t="s">
        <v>154</v>
      </c>
      <c r="F35" s="7" t="s">
        <v>207</v>
      </c>
      <c r="G35" s="7" t="s">
        <v>208</v>
      </c>
      <c r="H35" s="7" t="s">
        <v>153</v>
      </c>
      <c r="I35" s="7">
        <v>4</v>
      </c>
      <c r="J35" s="7" t="s">
        <v>157</v>
      </c>
      <c r="K35" s="7" t="s">
        <v>209</v>
      </c>
      <c r="L35" s="7" t="s">
        <v>169</v>
      </c>
      <c r="M35" s="7" t="s">
        <v>210</v>
      </c>
      <c r="N35" s="7" t="s">
        <v>161</v>
      </c>
    </row>
    <row r="36" spans="1:14" ht="14.25">
      <c r="A36" s="7" t="s">
        <v>211</v>
      </c>
      <c r="B36" s="7" t="s">
        <v>212</v>
      </c>
      <c r="C36" s="7" t="s">
        <v>200</v>
      </c>
      <c r="D36" s="7" t="s">
        <v>153</v>
      </c>
      <c r="E36" s="7" t="s">
        <v>154</v>
      </c>
      <c r="F36" s="7" t="s">
        <v>213</v>
      </c>
      <c r="G36" s="7" t="s">
        <v>214</v>
      </c>
      <c r="H36" s="7" t="s">
        <v>153</v>
      </c>
      <c r="I36" s="7">
        <v>3</v>
      </c>
      <c r="J36" s="7" t="s">
        <v>157</v>
      </c>
      <c r="K36" s="7" t="s">
        <v>203</v>
      </c>
      <c r="L36" s="7" t="s">
        <v>169</v>
      </c>
      <c r="M36" s="7" t="s">
        <v>192</v>
      </c>
      <c r="N36" s="7" t="s">
        <v>161</v>
      </c>
    </row>
    <row r="37" spans="1:14" ht="14.25">
      <c r="A37" s="7" t="s">
        <v>215</v>
      </c>
      <c r="B37" s="7" t="s">
        <v>206</v>
      </c>
      <c r="C37" s="7" t="s">
        <v>200</v>
      </c>
      <c r="D37" s="7" t="s">
        <v>153</v>
      </c>
      <c r="E37" s="7" t="s">
        <v>154</v>
      </c>
      <c r="F37" s="7" t="s">
        <v>207</v>
      </c>
      <c r="G37" s="7" t="s">
        <v>216</v>
      </c>
      <c r="H37" s="7" t="s">
        <v>153</v>
      </c>
      <c r="I37" s="7">
        <v>3</v>
      </c>
      <c r="J37" s="7" t="s">
        <v>157</v>
      </c>
      <c r="K37" s="7" t="s">
        <v>209</v>
      </c>
      <c r="L37" s="7" t="s">
        <v>169</v>
      </c>
      <c r="M37" s="7" t="s">
        <v>217</v>
      </c>
      <c r="N37" s="7" t="s">
        <v>161</v>
      </c>
    </row>
    <row r="38" spans="1:14" ht="14.25">
      <c r="A38" s="7" t="s">
        <v>224</v>
      </c>
      <c r="B38" s="7" t="s">
        <v>225</v>
      </c>
      <c r="C38" s="7" t="s">
        <v>226</v>
      </c>
      <c r="D38" s="7" t="s">
        <v>227</v>
      </c>
      <c r="E38" s="7" t="s">
        <v>154</v>
      </c>
      <c r="F38" s="7" t="s">
        <v>228</v>
      </c>
      <c r="G38" s="7" t="s">
        <v>229</v>
      </c>
      <c r="H38" s="7" t="s">
        <v>153</v>
      </c>
      <c r="I38" s="7">
        <v>3</v>
      </c>
      <c r="J38" s="7" t="s">
        <v>157</v>
      </c>
      <c r="K38" s="7" t="s">
        <v>146</v>
      </c>
      <c r="L38" s="7" t="s">
        <v>230</v>
      </c>
      <c r="M38" s="7" t="s">
        <v>160</v>
      </c>
      <c r="N38" s="7" t="s">
        <v>161</v>
      </c>
    </row>
    <row r="39" spans="1:14" ht="14.25">
      <c r="A39" s="7" t="s">
        <v>236</v>
      </c>
      <c r="B39" s="7" t="s">
        <v>237</v>
      </c>
      <c r="C39" s="7" t="s">
        <v>238</v>
      </c>
      <c r="D39" s="7" t="s">
        <v>153</v>
      </c>
      <c r="E39" s="7" t="s">
        <v>154</v>
      </c>
      <c r="F39" s="7" t="s">
        <v>239</v>
      </c>
      <c r="G39" s="7" t="s">
        <v>240</v>
      </c>
      <c r="H39" s="7" t="s">
        <v>153</v>
      </c>
      <c r="I39" s="7">
        <v>3</v>
      </c>
      <c r="J39" s="7" t="s">
        <v>157</v>
      </c>
      <c r="K39" s="7" t="s">
        <v>184</v>
      </c>
      <c r="L39" s="7" t="s">
        <v>169</v>
      </c>
      <c r="M39" s="7" t="s">
        <v>192</v>
      </c>
      <c r="N39" s="7" t="s">
        <v>161</v>
      </c>
    </row>
    <row r="40" spans="1:14" ht="14.25">
      <c r="A40" s="7" t="s">
        <v>241</v>
      </c>
      <c r="B40" s="7" t="s">
        <v>242</v>
      </c>
      <c r="C40" s="7" t="s">
        <v>238</v>
      </c>
      <c r="D40" s="7" t="s">
        <v>153</v>
      </c>
      <c r="E40" s="7" t="s">
        <v>154</v>
      </c>
      <c r="F40" s="7" t="s">
        <v>243</v>
      </c>
      <c r="G40" s="7" t="s">
        <v>244</v>
      </c>
      <c r="H40" s="7" t="s">
        <v>153</v>
      </c>
      <c r="I40" s="7">
        <v>3</v>
      </c>
      <c r="J40" s="7" t="s">
        <v>157</v>
      </c>
      <c r="K40" s="7" t="s">
        <v>223</v>
      </c>
      <c r="L40" s="7" t="s">
        <v>169</v>
      </c>
      <c r="M40" s="7" t="s">
        <v>192</v>
      </c>
      <c r="N40" s="7" t="s">
        <v>161</v>
      </c>
    </row>
    <row r="41" spans="1:14" ht="14.25">
      <c r="A41" s="7" t="s">
        <v>256</v>
      </c>
      <c r="B41" s="7" t="s">
        <v>257</v>
      </c>
      <c r="C41" s="7" t="s">
        <v>180</v>
      </c>
      <c r="D41" s="7" t="s">
        <v>153</v>
      </c>
      <c r="E41" s="7" t="s">
        <v>154</v>
      </c>
      <c r="F41" s="7" t="s">
        <v>258</v>
      </c>
      <c r="G41" s="7" t="s">
        <v>259</v>
      </c>
      <c r="H41" s="7" t="s">
        <v>153</v>
      </c>
      <c r="I41" s="7">
        <v>3</v>
      </c>
      <c r="J41" s="7" t="s">
        <v>157</v>
      </c>
      <c r="K41" s="7" t="s">
        <v>223</v>
      </c>
      <c r="L41" s="7" t="s">
        <v>169</v>
      </c>
      <c r="M41" s="7" t="s">
        <v>192</v>
      </c>
      <c r="N41" s="7" t="s">
        <v>161</v>
      </c>
    </row>
    <row r="42" spans="1:14" ht="14.25">
      <c r="A42" s="7" t="s">
        <v>260</v>
      </c>
      <c r="B42" s="7" t="s">
        <v>261</v>
      </c>
      <c r="C42" s="7" t="s">
        <v>262</v>
      </c>
      <c r="D42" s="7" t="s">
        <v>153</v>
      </c>
      <c r="E42" s="7" t="s">
        <v>154</v>
      </c>
      <c r="F42" s="7" t="s">
        <v>263</v>
      </c>
      <c r="G42" s="7" t="s">
        <v>264</v>
      </c>
      <c r="H42" s="7" t="s">
        <v>153</v>
      </c>
      <c r="I42" s="7">
        <v>5</v>
      </c>
      <c r="J42" s="7" t="s">
        <v>157</v>
      </c>
      <c r="K42" s="7" t="s">
        <v>168</v>
      </c>
      <c r="L42" s="7" t="s">
        <v>169</v>
      </c>
      <c r="M42" s="7" t="s">
        <v>192</v>
      </c>
      <c r="N42" s="7" t="s">
        <v>161</v>
      </c>
    </row>
    <row r="43" spans="1:14" ht="14.25">
      <c r="A43" s="7" t="s">
        <v>272</v>
      </c>
      <c r="B43" s="7" t="s">
        <v>273</v>
      </c>
      <c r="C43" s="7" t="s">
        <v>274</v>
      </c>
      <c r="D43" s="7" t="s">
        <v>153</v>
      </c>
      <c r="E43" s="7" t="s">
        <v>154</v>
      </c>
      <c r="F43" s="7" t="s">
        <v>275</v>
      </c>
      <c r="G43" s="7" t="s">
        <v>276</v>
      </c>
      <c r="H43" s="7" t="s">
        <v>153</v>
      </c>
      <c r="I43" s="7">
        <v>3</v>
      </c>
      <c r="J43" s="7" t="s">
        <v>157</v>
      </c>
      <c r="K43" s="7" t="s">
        <v>146</v>
      </c>
      <c r="L43" s="7" t="s">
        <v>277</v>
      </c>
      <c r="M43" s="7" t="s">
        <v>177</v>
      </c>
      <c r="N43" s="7" t="s">
        <v>161</v>
      </c>
    </row>
    <row r="44" spans="1:14" ht="14.25">
      <c r="A44" s="7" t="s">
        <v>278</v>
      </c>
      <c r="B44" s="7" t="s">
        <v>257</v>
      </c>
      <c r="C44" s="7" t="s">
        <v>180</v>
      </c>
      <c r="D44" s="7" t="s">
        <v>153</v>
      </c>
      <c r="E44" s="7" t="s">
        <v>154</v>
      </c>
      <c r="F44" s="7" t="s">
        <v>279</v>
      </c>
      <c r="G44" s="7" t="s">
        <v>280</v>
      </c>
      <c r="H44" s="7" t="s">
        <v>153</v>
      </c>
      <c r="I44" s="7">
        <v>3</v>
      </c>
      <c r="J44" s="7" t="s">
        <v>157</v>
      </c>
      <c r="K44" s="7" t="s">
        <v>223</v>
      </c>
      <c r="L44" s="7" t="s">
        <v>169</v>
      </c>
      <c r="M44" s="7" t="s">
        <v>192</v>
      </c>
      <c r="N44" s="7" t="s">
        <v>161</v>
      </c>
    </row>
    <row r="45" spans="1:14" ht="14.25">
      <c r="A45" s="7" t="s">
        <v>281</v>
      </c>
      <c r="B45" s="7" t="s">
        <v>282</v>
      </c>
      <c r="C45" s="7" t="s">
        <v>238</v>
      </c>
      <c r="D45" s="7" t="s">
        <v>283</v>
      </c>
      <c r="E45" s="7" t="s">
        <v>154</v>
      </c>
      <c r="F45" s="7" t="s">
        <v>284</v>
      </c>
      <c r="G45" s="7" t="s">
        <v>285</v>
      </c>
      <c r="H45" s="7" t="s">
        <v>153</v>
      </c>
      <c r="I45" s="7">
        <v>4</v>
      </c>
      <c r="J45" s="7" t="s">
        <v>157</v>
      </c>
      <c r="K45" s="7" t="s">
        <v>223</v>
      </c>
      <c r="L45" s="7" t="s">
        <v>286</v>
      </c>
      <c r="M45" s="7" t="s">
        <v>177</v>
      </c>
      <c r="N45" s="7" t="s">
        <v>161</v>
      </c>
    </row>
    <row r="46" spans="1:14" ht="14.25">
      <c r="A46" s="7" t="s">
        <v>287</v>
      </c>
      <c r="B46" s="7" t="s">
        <v>288</v>
      </c>
      <c r="C46" s="7" t="s">
        <v>195</v>
      </c>
      <c r="D46" s="7" t="s">
        <v>289</v>
      </c>
      <c r="E46" s="7" t="s">
        <v>154</v>
      </c>
      <c r="F46" s="7" t="s">
        <v>290</v>
      </c>
      <c r="G46" s="7" t="s">
        <v>291</v>
      </c>
      <c r="H46" s="7" t="s">
        <v>153</v>
      </c>
      <c r="I46" s="7">
        <v>3</v>
      </c>
      <c r="J46" s="7" t="s">
        <v>157</v>
      </c>
      <c r="K46" s="7" t="s">
        <v>223</v>
      </c>
      <c r="L46" s="7" t="s">
        <v>169</v>
      </c>
      <c r="M46" s="7" t="s">
        <v>192</v>
      </c>
      <c r="N46" s="7" t="s">
        <v>161</v>
      </c>
    </row>
    <row r="47" spans="1:14" ht="14.25">
      <c r="A47" s="7" t="s">
        <v>292</v>
      </c>
      <c r="B47" s="7" t="s">
        <v>293</v>
      </c>
      <c r="C47" s="7" t="s">
        <v>294</v>
      </c>
      <c r="D47" s="7" t="s">
        <v>153</v>
      </c>
      <c r="E47" s="7" t="s">
        <v>154</v>
      </c>
      <c r="F47" s="7" t="s">
        <v>295</v>
      </c>
      <c r="G47" s="7" t="s">
        <v>296</v>
      </c>
      <c r="H47" s="7" t="s">
        <v>153</v>
      </c>
      <c r="I47" s="7">
        <v>3</v>
      </c>
      <c r="J47" s="7" t="s">
        <v>157</v>
      </c>
      <c r="K47" s="7" t="s">
        <v>168</v>
      </c>
      <c r="L47" s="7" t="s">
        <v>169</v>
      </c>
      <c r="M47" s="7" t="s">
        <v>192</v>
      </c>
      <c r="N47" s="7" t="s">
        <v>161</v>
      </c>
    </row>
    <row r="48" spans="1:14" ht="14.25">
      <c r="A48" s="7" t="s">
        <v>297</v>
      </c>
      <c r="B48" s="7" t="s">
        <v>298</v>
      </c>
      <c r="C48" s="7" t="s">
        <v>187</v>
      </c>
      <c r="D48" s="7" t="s">
        <v>299</v>
      </c>
      <c r="E48" s="7" t="s">
        <v>154</v>
      </c>
      <c r="F48" s="7" t="s">
        <v>300</v>
      </c>
      <c r="G48" s="7" t="s">
        <v>301</v>
      </c>
      <c r="H48" s="7" t="s">
        <v>153</v>
      </c>
      <c r="I48" s="7">
        <v>3</v>
      </c>
      <c r="J48" s="7" t="s">
        <v>157</v>
      </c>
      <c r="K48" s="7" t="s">
        <v>168</v>
      </c>
      <c r="L48" s="7" t="s">
        <v>302</v>
      </c>
      <c r="M48" s="7" t="s">
        <v>177</v>
      </c>
      <c r="N48" s="7" t="s">
        <v>161</v>
      </c>
    </row>
    <row r="49" spans="1:14" ht="14.25">
      <c r="A49" s="7" t="s">
        <v>303</v>
      </c>
      <c r="B49" s="7" t="s">
        <v>304</v>
      </c>
      <c r="C49" s="7" t="s">
        <v>238</v>
      </c>
      <c r="D49" s="7" t="s">
        <v>305</v>
      </c>
      <c r="E49" s="7" t="s">
        <v>154</v>
      </c>
      <c r="F49" s="7" t="s">
        <v>306</v>
      </c>
      <c r="G49" s="7" t="s">
        <v>307</v>
      </c>
      <c r="H49" s="7" t="s">
        <v>153</v>
      </c>
      <c r="I49" s="7">
        <v>4</v>
      </c>
      <c r="J49" s="7" t="s">
        <v>157</v>
      </c>
      <c r="K49" s="7" t="s">
        <v>223</v>
      </c>
      <c r="L49" s="7" t="s">
        <v>169</v>
      </c>
      <c r="M49" s="7" t="s">
        <v>192</v>
      </c>
      <c r="N49" s="7" t="s">
        <v>161</v>
      </c>
    </row>
    <row r="50" spans="1:14" ht="14.25">
      <c r="A50" s="7" t="s">
        <v>308</v>
      </c>
      <c r="B50" s="7" t="s">
        <v>309</v>
      </c>
      <c r="C50" s="7" t="s">
        <v>310</v>
      </c>
      <c r="D50" s="7" t="s">
        <v>153</v>
      </c>
      <c r="E50" s="7" t="s">
        <v>154</v>
      </c>
      <c r="F50" s="7" t="s">
        <v>311</v>
      </c>
      <c r="G50" s="7" t="s">
        <v>312</v>
      </c>
      <c r="H50" s="7" t="s">
        <v>153</v>
      </c>
      <c r="I50" s="7">
        <v>4</v>
      </c>
      <c r="J50" s="7" t="s">
        <v>157</v>
      </c>
      <c r="K50" s="7" t="s">
        <v>168</v>
      </c>
      <c r="L50" s="7" t="s">
        <v>169</v>
      </c>
      <c r="M50" s="7" t="s">
        <v>192</v>
      </c>
      <c r="N50" s="7" t="s">
        <v>161</v>
      </c>
    </row>
    <row r="51" spans="1:14" ht="14.25">
      <c r="A51" s="7" t="s">
        <v>313</v>
      </c>
      <c r="B51" s="7" t="s">
        <v>314</v>
      </c>
      <c r="C51" s="7" t="s">
        <v>315</v>
      </c>
      <c r="D51" s="7" t="s">
        <v>153</v>
      </c>
      <c r="E51" s="7" t="s">
        <v>154</v>
      </c>
      <c r="F51" s="7" t="s">
        <v>316</v>
      </c>
      <c r="G51" s="7" t="s">
        <v>317</v>
      </c>
      <c r="H51" s="7" t="s">
        <v>153</v>
      </c>
      <c r="I51" s="7">
        <v>4</v>
      </c>
      <c r="J51" s="7" t="s">
        <v>157</v>
      </c>
      <c r="K51" s="7" t="s">
        <v>168</v>
      </c>
      <c r="L51" s="7" t="s">
        <v>169</v>
      </c>
      <c r="M51" s="7" t="s">
        <v>192</v>
      </c>
      <c r="N51" s="7" t="s">
        <v>161</v>
      </c>
    </row>
    <row r="52" spans="1:14" ht="14.25">
      <c r="A52" s="7" t="s">
        <v>318</v>
      </c>
      <c r="B52" s="7" t="s">
        <v>319</v>
      </c>
      <c r="C52" s="7" t="s">
        <v>320</v>
      </c>
      <c r="D52" s="7" t="s">
        <v>153</v>
      </c>
      <c r="E52" s="7" t="s">
        <v>154</v>
      </c>
      <c r="F52" s="7" t="s">
        <v>321</v>
      </c>
      <c r="G52" s="7" t="s">
        <v>322</v>
      </c>
      <c r="H52" s="7" t="s">
        <v>153</v>
      </c>
      <c r="I52" s="7">
        <v>3</v>
      </c>
      <c r="J52" s="7" t="s">
        <v>157</v>
      </c>
      <c r="K52" s="7" t="s">
        <v>168</v>
      </c>
      <c r="L52" s="7" t="s">
        <v>169</v>
      </c>
      <c r="M52" s="7" t="s">
        <v>192</v>
      </c>
      <c r="N52" s="7" t="s">
        <v>161</v>
      </c>
    </row>
    <row r="53" spans="1:14" ht="14.25">
      <c r="A53" s="7" t="s">
        <v>323</v>
      </c>
      <c r="B53" s="7" t="s">
        <v>324</v>
      </c>
      <c r="C53" s="7" t="s">
        <v>180</v>
      </c>
      <c r="D53" s="7" t="s">
        <v>153</v>
      </c>
      <c r="E53" s="7" t="s">
        <v>154</v>
      </c>
      <c r="F53" s="7" t="s">
        <v>325</v>
      </c>
      <c r="G53" s="7" t="s">
        <v>326</v>
      </c>
      <c r="H53" s="7" t="s">
        <v>153</v>
      </c>
      <c r="I53" s="7">
        <v>3</v>
      </c>
      <c r="J53" s="7" t="s">
        <v>157</v>
      </c>
      <c r="K53" s="7" t="s">
        <v>223</v>
      </c>
      <c r="L53" s="7" t="s">
        <v>169</v>
      </c>
      <c r="M53" s="7" t="s">
        <v>192</v>
      </c>
      <c r="N53" s="7" t="s">
        <v>161</v>
      </c>
    </row>
    <row r="54" spans="1:14" ht="14.25">
      <c r="A54" s="7" t="s">
        <v>327</v>
      </c>
      <c r="B54" s="7" t="s">
        <v>328</v>
      </c>
      <c r="C54" s="7" t="s">
        <v>329</v>
      </c>
      <c r="D54" s="7" t="s">
        <v>153</v>
      </c>
      <c r="E54" s="7" t="s">
        <v>154</v>
      </c>
      <c r="F54" s="7" t="s">
        <v>330</v>
      </c>
      <c r="G54" s="7" t="s">
        <v>331</v>
      </c>
      <c r="H54" s="7" t="s">
        <v>153</v>
      </c>
      <c r="I54" s="7">
        <v>3</v>
      </c>
      <c r="J54" s="7" t="s">
        <v>157</v>
      </c>
      <c r="K54" s="7" t="s">
        <v>168</v>
      </c>
      <c r="L54" s="7" t="s">
        <v>169</v>
      </c>
      <c r="M54" s="7" t="s">
        <v>192</v>
      </c>
      <c r="N54" s="7" t="s">
        <v>161</v>
      </c>
    </row>
    <row r="55" spans="1:14" ht="14.25">
      <c r="A55" s="7" t="s">
        <v>332</v>
      </c>
      <c r="B55" s="7" t="s">
        <v>333</v>
      </c>
      <c r="C55" s="7" t="s">
        <v>334</v>
      </c>
      <c r="D55" s="7" t="s">
        <v>153</v>
      </c>
      <c r="E55" s="7" t="s">
        <v>154</v>
      </c>
      <c r="F55" s="7" t="s">
        <v>335</v>
      </c>
      <c r="G55" s="7" t="s">
        <v>336</v>
      </c>
      <c r="H55" s="7" t="s">
        <v>153</v>
      </c>
      <c r="I55" s="7">
        <v>4</v>
      </c>
      <c r="J55" s="7" t="s">
        <v>337</v>
      </c>
      <c r="K55" s="7" t="s">
        <v>146</v>
      </c>
      <c r="L55" s="7" t="s">
        <v>169</v>
      </c>
      <c r="M55" s="7" t="s">
        <v>338</v>
      </c>
      <c r="N55" s="7" t="s">
        <v>161</v>
      </c>
    </row>
    <row r="56" spans="1:14" ht="14.25">
      <c r="A56" s="7" t="s">
        <v>339</v>
      </c>
      <c r="B56" s="7" t="s">
        <v>340</v>
      </c>
      <c r="C56" s="7" t="s">
        <v>341</v>
      </c>
      <c r="D56" s="7" t="s">
        <v>153</v>
      </c>
      <c r="E56" s="7" t="s">
        <v>154</v>
      </c>
      <c r="F56" s="7" t="s">
        <v>342</v>
      </c>
      <c r="G56" s="7" t="s">
        <v>343</v>
      </c>
      <c r="H56" s="7" t="s">
        <v>153</v>
      </c>
      <c r="I56" s="7">
        <v>4</v>
      </c>
      <c r="J56" s="7" t="s">
        <v>157</v>
      </c>
      <c r="K56" s="7" t="s">
        <v>168</v>
      </c>
      <c r="L56" s="7" t="s">
        <v>169</v>
      </c>
      <c r="M56" s="7" t="s">
        <v>192</v>
      </c>
      <c r="N56" s="7" t="s">
        <v>161</v>
      </c>
    </row>
    <row r="57" spans="1:14" ht="14.25">
      <c r="A57" s="7" t="s">
        <v>344</v>
      </c>
      <c r="B57" s="7" t="s">
        <v>345</v>
      </c>
      <c r="C57" s="7" t="s">
        <v>346</v>
      </c>
      <c r="D57" s="7" t="s">
        <v>153</v>
      </c>
      <c r="E57" s="7" t="s">
        <v>154</v>
      </c>
      <c r="F57" s="7" t="s">
        <v>347</v>
      </c>
      <c r="G57" s="7" t="s">
        <v>348</v>
      </c>
      <c r="H57" s="7" t="s">
        <v>153</v>
      </c>
      <c r="I57" s="7">
        <v>4</v>
      </c>
      <c r="J57" s="7" t="s">
        <v>157</v>
      </c>
      <c r="K57" s="7" t="s">
        <v>146</v>
      </c>
      <c r="L57" s="7" t="s">
        <v>169</v>
      </c>
      <c r="M57" s="7" t="s">
        <v>349</v>
      </c>
      <c r="N57" s="7" t="s">
        <v>161</v>
      </c>
    </row>
    <row r="58" spans="1:14" ht="14.25">
      <c r="A58" s="7" t="s">
        <v>350</v>
      </c>
      <c r="B58" s="7" t="s">
        <v>351</v>
      </c>
      <c r="C58" s="7" t="s">
        <v>352</v>
      </c>
      <c r="D58" s="7" t="s">
        <v>153</v>
      </c>
      <c r="E58" s="7" t="s">
        <v>154</v>
      </c>
      <c r="F58" s="7" t="s">
        <v>353</v>
      </c>
      <c r="G58" s="7" t="s">
        <v>354</v>
      </c>
      <c r="H58" s="7" t="s">
        <v>153</v>
      </c>
      <c r="I58" s="7">
        <v>4</v>
      </c>
      <c r="J58" s="7" t="s">
        <v>157</v>
      </c>
      <c r="K58" s="7" t="s">
        <v>168</v>
      </c>
      <c r="L58" s="7" t="s">
        <v>169</v>
      </c>
      <c r="M58" s="7" t="s">
        <v>192</v>
      </c>
      <c r="N58" s="7" t="s">
        <v>161</v>
      </c>
    </row>
    <row r="59" spans="1:14" ht="14.25">
      <c r="A59" s="7" t="s">
        <v>355</v>
      </c>
      <c r="B59" s="7" t="s">
        <v>356</v>
      </c>
      <c r="C59" s="7" t="s">
        <v>357</v>
      </c>
      <c r="D59" s="7" t="s">
        <v>153</v>
      </c>
      <c r="E59" s="7" t="s">
        <v>154</v>
      </c>
      <c r="F59" s="7" t="s">
        <v>358</v>
      </c>
      <c r="G59" s="7" t="s">
        <v>359</v>
      </c>
      <c r="H59" s="7" t="s">
        <v>153</v>
      </c>
      <c r="I59" s="7">
        <v>3</v>
      </c>
      <c r="J59" s="7" t="s">
        <v>157</v>
      </c>
      <c r="K59" s="7" t="s">
        <v>146</v>
      </c>
      <c r="L59" s="7" t="s">
        <v>169</v>
      </c>
      <c r="M59" s="7" t="s">
        <v>192</v>
      </c>
      <c r="N59" s="7" t="s">
        <v>161</v>
      </c>
    </row>
    <row r="60" spans="1:14" ht="14.25">
      <c r="A60" s="7" t="s">
        <v>360</v>
      </c>
      <c r="B60" s="7" t="s">
        <v>361</v>
      </c>
      <c r="C60" s="7" t="s">
        <v>362</v>
      </c>
      <c r="D60" s="7" t="s">
        <v>153</v>
      </c>
      <c r="E60" s="7" t="s">
        <v>154</v>
      </c>
      <c r="F60" s="7" t="s">
        <v>363</v>
      </c>
      <c r="G60" s="7" t="s">
        <v>364</v>
      </c>
      <c r="H60" s="7" t="s">
        <v>153</v>
      </c>
      <c r="I60" s="7">
        <v>4</v>
      </c>
      <c r="J60" s="7" t="s">
        <v>157</v>
      </c>
      <c r="K60" s="7" t="s">
        <v>168</v>
      </c>
      <c r="L60" s="7" t="s">
        <v>169</v>
      </c>
      <c r="M60" s="7" t="s">
        <v>192</v>
      </c>
      <c r="N60" s="7" t="s">
        <v>161</v>
      </c>
    </row>
    <row r="61" spans="1:14" ht="14.25">
      <c r="A61" s="7" t="s">
        <v>369</v>
      </c>
      <c r="B61" s="7" t="s">
        <v>370</v>
      </c>
      <c r="C61" s="7" t="s">
        <v>371</v>
      </c>
      <c r="D61" s="7" t="s">
        <v>153</v>
      </c>
      <c r="E61" s="7" t="s">
        <v>154</v>
      </c>
      <c r="F61" s="7" t="s">
        <v>372</v>
      </c>
      <c r="G61" s="7" t="s">
        <v>373</v>
      </c>
      <c r="H61" s="7" t="s">
        <v>153</v>
      </c>
      <c r="I61" s="7">
        <v>4</v>
      </c>
      <c r="J61" s="7" t="s">
        <v>157</v>
      </c>
      <c r="K61" s="7" t="s">
        <v>168</v>
      </c>
      <c r="L61" s="7" t="s">
        <v>169</v>
      </c>
      <c r="M61" s="7" t="s">
        <v>192</v>
      </c>
      <c r="N61" s="7" t="s">
        <v>161</v>
      </c>
    </row>
    <row r="62" spans="1:14" ht="14.25">
      <c r="A62" s="7" t="s">
        <v>374</v>
      </c>
      <c r="B62" s="7" t="s">
        <v>375</v>
      </c>
      <c r="C62" s="7" t="s">
        <v>376</v>
      </c>
      <c r="D62" s="7" t="s">
        <v>153</v>
      </c>
      <c r="E62" s="7" t="s">
        <v>154</v>
      </c>
      <c r="F62" s="7" t="s">
        <v>377</v>
      </c>
      <c r="G62" s="7" t="s">
        <v>378</v>
      </c>
      <c r="H62" s="7" t="s">
        <v>153</v>
      </c>
      <c r="I62" s="7">
        <v>4</v>
      </c>
      <c r="J62" s="7" t="s">
        <v>157</v>
      </c>
      <c r="K62" s="7" t="s">
        <v>146</v>
      </c>
      <c r="L62" s="7" t="s">
        <v>169</v>
      </c>
      <c r="M62" s="7" t="s">
        <v>192</v>
      </c>
      <c r="N62" s="7" t="s">
        <v>161</v>
      </c>
    </row>
    <row r="63" spans="1:14" ht="14.25">
      <c r="A63" s="7" t="s">
        <v>379</v>
      </c>
      <c r="B63" s="7" t="s">
        <v>380</v>
      </c>
      <c r="C63" s="7" t="s">
        <v>381</v>
      </c>
      <c r="D63" s="7" t="s">
        <v>153</v>
      </c>
      <c r="E63" s="7" t="s">
        <v>154</v>
      </c>
      <c r="F63" s="7" t="s">
        <v>382</v>
      </c>
      <c r="G63" s="7" t="s">
        <v>383</v>
      </c>
      <c r="H63" s="7" t="s">
        <v>153</v>
      </c>
      <c r="I63" s="7">
        <v>4</v>
      </c>
      <c r="J63" s="7" t="s">
        <v>157</v>
      </c>
      <c r="K63" s="7" t="s">
        <v>146</v>
      </c>
      <c r="L63" s="7" t="s">
        <v>169</v>
      </c>
      <c r="M63" s="7" t="s">
        <v>192</v>
      </c>
      <c r="N63" s="7" t="s">
        <v>161</v>
      </c>
    </row>
    <row r="64" spans="1:14" ht="14.25">
      <c r="A64" s="7" t="s">
        <v>384</v>
      </c>
      <c r="B64" s="7" t="s">
        <v>385</v>
      </c>
      <c r="C64" s="7" t="s">
        <v>386</v>
      </c>
      <c r="D64" s="7" t="s">
        <v>153</v>
      </c>
      <c r="E64" s="7" t="s">
        <v>154</v>
      </c>
      <c r="F64" s="7" t="s">
        <v>387</v>
      </c>
      <c r="G64" s="7" t="s">
        <v>388</v>
      </c>
      <c r="H64" s="7" t="s">
        <v>153</v>
      </c>
      <c r="I64" s="7">
        <v>4</v>
      </c>
      <c r="J64" s="7" t="s">
        <v>157</v>
      </c>
      <c r="K64" s="7" t="s">
        <v>168</v>
      </c>
      <c r="L64" s="7" t="s">
        <v>169</v>
      </c>
      <c r="M64" s="7" t="s">
        <v>192</v>
      </c>
      <c r="N64" s="7" t="s">
        <v>161</v>
      </c>
    </row>
    <row r="65" spans="1:14" ht="14.25">
      <c r="A65" s="7" t="s">
        <v>389</v>
      </c>
      <c r="B65" s="7" t="s">
        <v>390</v>
      </c>
      <c r="C65" s="7" t="s">
        <v>391</v>
      </c>
      <c r="D65" s="7" t="s">
        <v>153</v>
      </c>
      <c r="E65" s="7" t="s">
        <v>154</v>
      </c>
      <c r="F65" s="7" t="s">
        <v>392</v>
      </c>
      <c r="G65" s="7" t="s">
        <v>393</v>
      </c>
      <c r="H65" s="7" t="s">
        <v>153</v>
      </c>
      <c r="I65" s="7">
        <v>4</v>
      </c>
      <c r="J65" s="7" t="s">
        <v>157</v>
      </c>
      <c r="K65" s="7" t="s">
        <v>168</v>
      </c>
      <c r="L65" s="7" t="s">
        <v>169</v>
      </c>
      <c r="M65" s="7" t="s">
        <v>192</v>
      </c>
      <c r="N65" s="7" t="s">
        <v>161</v>
      </c>
    </row>
    <row r="66" spans="1:14" ht="14.25">
      <c r="A66" s="7" t="s">
        <v>400</v>
      </c>
      <c r="B66" s="7" t="s">
        <v>401</v>
      </c>
      <c r="C66" s="7" t="s">
        <v>402</v>
      </c>
      <c r="D66" s="7" t="s">
        <v>153</v>
      </c>
      <c r="E66" s="7" t="s">
        <v>154</v>
      </c>
      <c r="F66" s="7" t="s">
        <v>403</v>
      </c>
      <c r="G66" s="7" t="s">
        <v>404</v>
      </c>
      <c r="H66" s="7" t="s">
        <v>153</v>
      </c>
      <c r="I66" s="7">
        <v>4</v>
      </c>
      <c r="J66" s="7" t="s">
        <v>157</v>
      </c>
      <c r="K66" s="7" t="s">
        <v>146</v>
      </c>
      <c r="L66" s="7" t="s">
        <v>405</v>
      </c>
      <c r="M66" s="7" t="s">
        <v>177</v>
      </c>
      <c r="N66" s="7" t="s">
        <v>161</v>
      </c>
    </row>
    <row r="67" spans="1:14" ht="14.25">
      <c r="A67" s="7" t="s">
        <v>406</v>
      </c>
      <c r="B67" s="7" t="s">
        <v>407</v>
      </c>
      <c r="C67" s="7" t="s">
        <v>247</v>
      </c>
      <c r="D67" s="7" t="s">
        <v>153</v>
      </c>
      <c r="E67" s="7" t="s">
        <v>154</v>
      </c>
      <c r="F67" s="7" t="s">
        <v>408</v>
      </c>
      <c r="G67" s="7" t="s">
        <v>409</v>
      </c>
      <c r="H67" s="7" t="s">
        <v>153</v>
      </c>
      <c r="I67" s="7">
        <v>4</v>
      </c>
      <c r="J67" s="7" t="s">
        <v>157</v>
      </c>
      <c r="K67" s="7" t="s">
        <v>223</v>
      </c>
      <c r="L67" s="7" t="s">
        <v>169</v>
      </c>
      <c r="M67" s="7" t="s">
        <v>192</v>
      </c>
      <c r="N67" s="7" t="s">
        <v>161</v>
      </c>
    </row>
    <row r="68" spans="1:14" ht="14.25">
      <c r="A68" s="7" t="s">
        <v>410</v>
      </c>
      <c r="B68" s="7" t="s">
        <v>411</v>
      </c>
      <c r="C68" s="7" t="s">
        <v>412</v>
      </c>
      <c r="D68" s="7" t="s">
        <v>153</v>
      </c>
      <c r="E68" s="7" t="s">
        <v>154</v>
      </c>
      <c r="F68" s="7" t="s">
        <v>413</v>
      </c>
      <c r="G68" s="7" t="s">
        <v>414</v>
      </c>
      <c r="H68" s="7" t="s">
        <v>153</v>
      </c>
      <c r="I68" s="7">
        <v>4</v>
      </c>
      <c r="J68" s="7" t="s">
        <v>157</v>
      </c>
      <c r="K68" s="7" t="s">
        <v>168</v>
      </c>
      <c r="L68" s="7" t="s">
        <v>169</v>
      </c>
      <c r="M68" s="7" t="s">
        <v>192</v>
      </c>
      <c r="N68" s="7" t="s">
        <v>161</v>
      </c>
    </row>
    <row r="69" spans="1:14" ht="14.25">
      <c r="A69" s="7" t="s">
        <v>415</v>
      </c>
      <c r="B69" s="7" t="s">
        <v>416</v>
      </c>
      <c r="C69" s="7" t="s">
        <v>180</v>
      </c>
      <c r="D69" s="7" t="s">
        <v>417</v>
      </c>
      <c r="E69" s="7" t="s">
        <v>154</v>
      </c>
      <c r="F69" s="7" t="s">
        <v>418</v>
      </c>
      <c r="G69" s="7" t="s">
        <v>419</v>
      </c>
      <c r="H69" s="7" t="s">
        <v>153</v>
      </c>
      <c r="I69" s="7">
        <v>4</v>
      </c>
      <c r="J69" s="7" t="s">
        <v>157</v>
      </c>
      <c r="K69" s="7" t="s">
        <v>184</v>
      </c>
      <c r="L69" s="7" t="s">
        <v>420</v>
      </c>
      <c r="M69" s="7" t="s">
        <v>177</v>
      </c>
      <c r="N69" s="7" t="s">
        <v>161</v>
      </c>
    </row>
    <row r="70" spans="1:14" ht="14.25">
      <c r="A70" s="7" t="s">
        <v>421</v>
      </c>
      <c r="B70" s="7" t="s">
        <v>422</v>
      </c>
      <c r="C70" s="7" t="s">
        <v>423</v>
      </c>
      <c r="D70" s="7" t="s">
        <v>153</v>
      </c>
      <c r="E70" s="7" t="s">
        <v>154</v>
      </c>
      <c r="F70" s="7" t="s">
        <v>424</v>
      </c>
      <c r="G70" s="7" t="s">
        <v>425</v>
      </c>
      <c r="H70" s="7" t="s">
        <v>153</v>
      </c>
      <c r="I70" s="7">
        <v>4</v>
      </c>
      <c r="J70" s="7" t="s">
        <v>157</v>
      </c>
      <c r="K70" s="7" t="s">
        <v>168</v>
      </c>
      <c r="L70" s="7" t="s">
        <v>169</v>
      </c>
      <c r="M70" s="7" t="s">
        <v>192</v>
      </c>
      <c r="N70" s="7" t="s">
        <v>161</v>
      </c>
    </row>
    <row r="71" spans="1:14" ht="14.25">
      <c r="A71" s="7" t="s">
        <v>431</v>
      </c>
      <c r="B71" s="7" t="s">
        <v>432</v>
      </c>
      <c r="C71" s="7" t="s">
        <v>180</v>
      </c>
      <c r="D71" s="7" t="s">
        <v>153</v>
      </c>
      <c r="E71" s="7" t="s">
        <v>154</v>
      </c>
      <c r="F71" s="7" t="s">
        <v>433</v>
      </c>
      <c r="G71" s="7" t="s">
        <v>434</v>
      </c>
      <c r="H71" s="7" t="s">
        <v>153</v>
      </c>
      <c r="I71" s="7">
        <v>3</v>
      </c>
      <c r="J71" s="7" t="s">
        <v>157</v>
      </c>
      <c r="K71" s="7" t="s">
        <v>223</v>
      </c>
      <c r="L71" s="7" t="s">
        <v>169</v>
      </c>
      <c r="M71" s="7" t="s">
        <v>192</v>
      </c>
      <c r="N71" s="7" t="s">
        <v>161</v>
      </c>
    </row>
    <row r="72" spans="1:14" ht="14.25">
      <c r="A72" s="7" t="s">
        <v>435</v>
      </c>
      <c r="B72" s="7" t="s">
        <v>436</v>
      </c>
      <c r="C72" s="7" t="s">
        <v>238</v>
      </c>
      <c r="D72" s="7" t="s">
        <v>437</v>
      </c>
      <c r="E72" s="7" t="s">
        <v>154</v>
      </c>
      <c r="F72" s="7" t="s">
        <v>438</v>
      </c>
      <c r="G72" s="7" t="s">
        <v>439</v>
      </c>
      <c r="H72" s="7" t="s">
        <v>153</v>
      </c>
      <c r="I72" s="7">
        <v>4</v>
      </c>
      <c r="J72" s="7" t="s">
        <v>157</v>
      </c>
      <c r="K72" s="7" t="s">
        <v>184</v>
      </c>
      <c r="L72" s="7" t="s">
        <v>440</v>
      </c>
      <c r="M72" s="7" t="s">
        <v>177</v>
      </c>
      <c r="N72" s="7" t="s">
        <v>161</v>
      </c>
    </row>
    <row r="73" spans="1:14" ht="14.25">
      <c r="A73" s="7" t="s">
        <v>441</v>
      </c>
      <c r="B73" s="7" t="s">
        <v>385</v>
      </c>
      <c r="C73" s="7" t="s">
        <v>238</v>
      </c>
      <c r="D73" s="7" t="s">
        <v>442</v>
      </c>
      <c r="E73" s="7" t="s">
        <v>154</v>
      </c>
      <c r="F73" s="7" t="s">
        <v>443</v>
      </c>
      <c r="G73" s="7" t="s">
        <v>444</v>
      </c>
      <c r="H73" s="7" t="s">
        <v>153</v>
      </c>
      <c r="I73" s="7">
        <v>4</v>
      </c>
      <c r="J73" s="7" t="s">
        <v>445</v>
      </c>
      <c r="K73" s="7" t="s">
        <v>184</v>
      </c>
      <c r="L73" s="7" t="s">
        <v>446</v>
      </c>
      <c r="M73" s="7" t="s">
        <v>271</v>
      </c>
      <c r="N73" s="7" t="s">
        <v>161</v>
      </c>
    </row>
    <row r="74" spans="1:14" ht="14.25">
      <c r="A74" s="7" t="s">
        <v>447</v>
      </c>
      <c r="B74" s="7" t="s">
        <v>448</v>
      </c>
      <c r="C74" s="7" t="s">
        <v>449</v>
      </c>
      <c r="D74" s="7" t="s">
        <v>153</v>
      </c>
      <c r="E74" s="7" t="s">
        <v>154</v>
      </c>
      <c r="F74" s="7" t="s">
        <v>450</v>
      </c>
      <c r="G74" s="7" t="s">
        <v>451</v>
      </c>
      <c r="H74" s="7" t="s">
        <v>153</v>
      </c>
      <c r="I74" s="7">
        <v>3</v>
      </c>
      <c r="J74" s="7" t="s">
        <v>157</v>
      </c>
      <c r="K74" s="7" t="s">
        <v>168</v>
      </c>
      <c r="L74" s="7" t="s">
        <v>452</v>
      </c>
      <c r="M74" s="7" t="s">
        <v>177</v>
      </c>
      <c r="N74" s="7" t="s">
        <v>161</v>
      </c>
    </row>
    <row r="75" spans="1:14" ht="14.25">
      <c r="A75" s="7" t="s">
        <v>453</v>
      </c>
      <c r="B75" s="7" t="s">
        <v>454</v>
      </c>
      <c r="C75" s="7" t="s">
        <v>238</v>
      </c>
      <c r="D75" s="7" t="s">
        <v>153</v>
      </c>
      <c r="E75" s="7" t="s">
        <v>154</v>
      </c>
      <c r="F75" s="7" t="s">
        <v>455</v>
      </c>
      <c r="G75" s="7" t="s">
        <v>456</v>
      </c>
      <c r="H75" s="7" t="s">
        <v>153</v>
      </c>
      <c r="I75" s="7">
        <v>3</v>
      </c>
      <c r="J75" s="7" t="s">
        <v>157</v>
      </c>
      <c r="K75" s="7" t="s">
        <v>146</v>
      </c>
      <c r="L75" s="7" t="s">
        <v>169</v>
      </c>
      <c r="M75" s="7" t="s">
        <v>192</v>
      </c>
      <c r="N75" s="7" t="s">
        <v>161</v>
      </c>
    </row>
    <row r="76" spans="1:14" ht="14.25">
      <c r="A76" s="7" t="s">
        <v>461</v>
      </c>
      <c r="B76" s="7" t="s">
        <v>462</v>
      </c>
      <c r="C76" s="7" t="s">
        <v>463</v>
      </c>
      <c r="D76" s="7" t="s">
        <v>153</v>
      </c>
      <c r="E76" s="7" t="s">
        <v>154</v>
      </c>
      <c r="F76" s="7" t="s">
        <v>464</v>
      </c>
      <c r="G76" s="7" t="s">
        <v>465</v>
      </c>
      <c r="H76" s="7" t="s">
        <v>153</v>
      </c>
      <c r="I76" s="7">
        <v>3</v>
      </c>
      <c r="J76" s="7" t="s">
        <v>466</v>
      </c>
      <c r="K76" s="7" t="s">
        <v>146</v>
      </c>
      <c r="L76" s="7" t="s">
        <v>169</v>
      </c>
      <c r="M76" s="7" t="s">
        <v>338</v>
      </c>
      <c r="N76" s="7" t="s">
        <v>161</v>
      </c>
    </row>
    <row r="77" spans="1:14" ht="14.25">
      <c r="A77" s="7" t="s">
        <v>467</v>
      </c>
      <c r="B77" s="7" t="s">
        <v>468</v>
      </c>
      <c r="C77" s="7" t="s">
        <v>469</v>
      </c>
      <c r="D77" s="7" t="s">
        <v>470</v>
      </c>
      <c r="E77" s="7" t="s">
        <v>154</v>
      </c>
      <c r="F77" s="7" t="s">
        <v>471</v>
      </c>
      <c r="G77" s="7" t="s">
        <v>472</v>
      </c>
      <c r="H77" s="7" t="s">
        <v>153</v>
      </c>
      <c r="I77" s="7">
        <v>4</v>
      </c>
      <c r="J77" s="7" t="s">
        <v>157</v>
      </c>
      <c r="K77" s="7" t="s">
        <v>168</v>
      </c>
      <c r="L77" s="7" t="s">
        <v>473</v>
      </c>
      <c r="M77" s="7" t="s">
        <v>177</v>
      </c>
      <c r="N77" s="7" t="s">
        <v>161</v>
      </c>
    </row>
    <row r="78" spans="1:14" ht="14.25">
      <c r="A78" s="7" t="s">
        <v>474</v>
      </c>
      <c r="B78" s="7" t="s">
        <v>475</v>
      </c>
      <c r="C78" s="7" t="s">
        <v>476</v>
      </c>
      <c r="D78" s="7" t="s">
        <v>153</v>
      </c>
      <c r="E78" s="7" t="s">
        <v>154</v>
      </c>
      <c r="F78" s="7" t="s">
        <v>477</v>
      </c>
      <c r="G78" s="7" t="s">
        <v>478</v>
      </c>
      <c r="H78" s="7" t="s">
        <v>153</v>
      </c>
      <c r="I78" s="7">
        <v>3</v>
      </c>
      <c r="J78" s="7" t="s">
        <v>157</v>
      </c>
      <c r="K78" s="7" t="s">
        <v>168</v>
      </c>
      <c r="L78" s="7" t="s">
        <v>169</v>
      </c>
      <c r="M78" s="7" t="s">
        <v>192</v>
      </c>
      <c r="N78" s="7" t="s">
        <v>161</v>
      </c>
    </row>
    <row r="79" spans="1:14" ht="14.25">
      <c r="A79" s="7" t="s">
        <v>479</v>
      </c>
      <c r="B79" s="7" t="s">
        <v>480</v>
      </c>
      <c r="C79" s="7" t="s">
        <v>481</v>
      </c>
      <c r="D79" s="7" t="s">
        <v>153</v>
      </c>
      <c r="E79" s="7" t="s">
        <v>154</v>
      </c>
      <c r="F79" s="7" t="s">
        <v>482</v>
      </c>
      <c r="G79" s="7" t="s">
        <v>483</v>
      </c>
      <c r="H79" s="7" t="s">
        <v>153</v>
      </c>
      <c r="I79" s="7">
        <v>4</v>
      </c>
      <c r="J79" s="7" t="s">
        <v>157</v>
      </c>
      <c r="K79" s="7" t="s">
        <v>168</v>
      </c>
      <c r="L79" s="7" t="s">
        <v>169</v>
      </c>
      <c r="M79" s="7" t="s">
        <v>192</v>
      </c>
      <c r="N79" s="7" t="s">
        <v>161</v>
      </c>
    </row>
    <row r="80" spans="1:14" ht="14.25">
      <c r="A80" s="7" t="s">
        <v>484</v>
      </c>
      <c r="B80" s="7" t="s">
        <v>485</v>
      </c>
      <c r="C80" s="7" t="s">
        <v>486</v>
      </c>
      <c r="D80" s="7" t="s">
        <v>153</v>
      </c>
      <c r="E80" s="7" t="s">
        <v>154</v>
      </c>
      <c r="F80" s="7" t="s">
        <v>487</v>
      </c>
      <c r="G80" s="7" t="s">
        <v>488</v>
      </c>
      <c r="H80" s="7" t="s">
        <v>153</v>
      </c>
      <c r="I80" s="7">
        <v>4</v>
      </c>
      <c r="J80" s="7" t="s">
        <v>157</v>
      </c>
      <c r="K80" s="7" t="s">
        <v>168</v>
      </c>
      <c r="L80" s="7" t="s">
        <v>169</v>
      </c>
      <c r="M80" s="7" t="s">
        <v>192</v>
      </c>
      <c r="N80" s="7" t="s">
        <v>161</v>
      </c>
    </row>
    <row r="81" spans="1:14" ht="14.25">
      <c r="A81" s="7" t="s">
        <v>489</v>
      </c>
      <c r="B81" s="7" t="s">
        <v>490</v>
      </c>
      <c r="C81" s="7" t="s">
        <v>491</v>
      </c>
      <c r="D81" s="7" t="s">
        <v>153</v>
      </c>
      <c r="E81" s="7" t="s">
        <v>154</v>
      </c>
      <c r="F81" s="7" t="s">
        <v>492</v>
      </c>
      <c r="G81" s="7" t="s">
        <v>493</v>
      </c>
      <c r="H81" s="7" t="s">
        <v>153</v>
      </c>
      <c r="I81" s="7">
        <v>4</v>
      </c>
      <c r="J81" s="7" t="s">
        <v>157</v>
      </c>
      <c r="K81" s="7" t="s">
        <v>168</v>
      </c>
      <c r="L81" s="7" t="s">
        <v>169</v>
      </c>
      <c r="M81" s="7" t="s">
        <v>192</v>
      </c>
      <c r="N81" s="7" t="s">
        <v>161</v>
      </c>
    </row>
    <row r="82" spans="1:14" ht="14.25">
      <c r="A82" s="7" t="s">
        <v>499</v>
      </c>
      <c r="B82" s="7" t="s">
        <v>500</v>
      </c>
      <c r="C82" s="7" t="s">
        <v>501</v>
      </c>
      <c r="D82" s="7" t="s">
        <v>153</v>
      </c>
      <c r="E82" s="7" t="s">
        <v>154</v>
      </c>
      <c r="F82" s="7" t="s">
        <v>502</v>
      </c>
      <c r="G82" s="7" t="s">
        <v>503</v>
      </c>
      <c r="H82" s="7" t="s">
        <v>153</v>
      </c>
      <c r="I82" s="7">
        <v>3</v>
      </c>
      <c r="J82" s="7" t="s">
        <v>157</v>
      </c>
      <c r="K82" s="7" t="s">
        <v>191</v>
      </c>
      <c r="L82" s="7" t="s">
        <v>277</v>
      </c>
      <c r="M82" s="7" t="s">
        <v>177</v>
      </c>
      <c r="N82" s="7" t="s">
        <v>161</v>
      </c>
    </row>
    <row r="83" spans="1:14" ht="14.25">
      <c r="A83" s="7" t="s">
        <v>504</v>
      </c>
      <c r="B83" s="7" t="s">
        <v>505</v>
      </c>
      <c r="C83" s="7" t="s">
        <v>506</v>
      </c>
      <c r="D83" s="7" t="s">
        <v>153</v>
      </c>
      <c r="E83" s="7" t="s">
        <v>154</v>
      </c>
      <c r="F83" s="7" t="s">
        <v>507</v>
      </c>
      <c r="G83" s="7" t="s">
        <v>508</v>
      </c>
      <c r="H83" s="7" t="s">
        <v>153</v>
      </c>
      <c r="I83" s="7">
        <v>3</v>
      </c>
      <c r="J83" s="7" t="s">
        <v>157</v>
      </c>
      <c r="K83" s="7" t="s">
        <v>168</v>
      </c>
      <c r="L83" s="7" t="s">
        <v>169</v>
      </c>
      <c r="M83" s="7" t="s">
        <v>192</v>
      </c>
      <c r="N83" s="7" t="s">
        <v>161</v>
      </c>
    </row>
    <row r="84" spans="1:14" ht="14.25">
      <c r="A84" s="7" t="s">
        <v>509</v>
      </c>
      <c r="B84" s="7" t="s">
        <v>510</v>
      </c>
      <c r="C84" s="7" t="s">
        <v>180</v>
      </c>
      <c r="D84" s="7" t="s">
        <v>153</v>
      </c>
      <c r="E84" s="7" t="s">
        <v>154</v>
      </c>
      <c r="F84" s="7" t="s">
        <v>511</v>
      </c>
      <c r="G84" s="7" t="s">
        <v>512</v>
      </c>
      <c r="H84" s="7" t="s">
        <v>153</v>
      </c>
      <c r="I84" s="7">
        <v>3</v>
      </c>
      <c r="J84" s="7" t="s">
        <v>157</v>
      </c>
      <c r="K84" s="7" t="s">
        <v>184</v>
      </c>
      <c r="L84" s="7" t="s">
        <v>513</v>
      </c>
      <c r="M84" s="7" t="s">
        <v>177</v>
      </c>
      <c r="N84" s="7" t="s">
        <v>161</v>
      </c>
    </row>
    <row r="85" spans="1:14" ht="14.25">
      <c r="A85" s="7" t="s">
        <v>514</v>
      </c>
      <c r="B85" s="7" t="s">
        <v>505</v>
      </c>
      <c r="C85" s="7" t="s">
        <v>515</v>
      </c>
      <c r="D85" s="7" t="s">
        <v>153</v>
      </c>
      <c r="E85" s="7" t="s">
        <v>154</v>
      </c>
      <c r="F85" s="7" t="s">
        <v>516</v>
      </c>
      <c r="G85" s="7" t="s">
        <v>517</v>
      </c>
      <c r="H85" s="7" t="s">
        <v>153</v>
      </c>
      <c r="I85" s="7">
        <v>3</v>
      </c>
      <c r="J85" s="7" t="s">
        <v>157</v>
      </c>
      <c r="K85" s="7" t="s">
        <v>168</v>
      </c>
      <c r="L85" s="7" t="s">
        <v>169</v>
      </c>
      <c r="M85" s="7" t="s">
        <v>192</v>
      </c>
      <c r="N85" s="7" t="s">
        <v>161</v>
      </c>
    </row>
    <row r="86" spans="1:14" ht="14.25">
      <c r="A86" s="7" t="s">
        <v>518</v>
      </c>
      <c r="B86" s="7" t="s">
        <v>519</v>
      </c>
      <c r="C86" s="7" t="s">
        <v>520</v>
      </c>
      <c r="D86" s="7" t="s">
        <v>153</v>
      </c>
      <c r="E86" s="7" t="s">
        <v>154</v>
      </c>
      <c r="F86" s="7" t="s">
        <v>521</v>
      </c>
      <c r="G86" s="7" t="s">
        <v>522</v>
      </c>
      <c r="H86" s="7" t="s">
        <v>153</v>
      </c>
      <c r="I86" s="7">
        <v>3</v>
      </c>
      <c r="J86" s="7" t="s">
        <v>157</v>
      </c>
      <c r="K86" s="7" t="s">
        <v>223</v>
      </c>
      <c r="L86" s="7" t="s">
        <v>523</v>
      </c>
      <c r="M86" s="7" t="s">
        <v>177</v>
      </c>
      <c r="N86" s="7" t="s">
        <v>161</v>
      </c>
    </row>
    <row r="87" spans="1:14" ht="14.25">
      <c r="A87" s="7" t="s">
        <v>524</v>
      </c>
      <c r="B87" s="7" t="s">
        <v>525</v>
      </c>
      <c r="C87" s="7" t="s">
        <v>526</v>
      </c>
      <c r="D87" s="7" t="s">
        <v>153</v>
      </c>
      <c r="E87" s="7" t="s">
        <v>154</v>
      </c>
      <c r="F87" s="7" t="s">
        <v>527</v>
      </c>
      <c r="G87" s="7" t="s">
        <v>528</v>
      </c>
      <c r="H87" s="7" t="s">
        <v>153</v>
      </c>
      <c r="I87" s="7">
        <v>3</v>
      </c>
      <c r="J87" s="7" t="s">
        <v>157</v>
      </c>
      <c r="K87" s="7" t="s">
        <v>146</v>
      </c>
      <c r="L87" s="7" t="s">
        <v>529</v>
      </c>
      <c r="M87" s="7" t="s">
        <v>177</v>
      </c>
      <c r="N87" s="7" t="s">
        <v>161</v>
      </c>
    </row>
    <row r="88" spans="1:14" ht="14.25">
      <c r="A88" s="7" t="s">
        <v>530</v>
      </c>
      <c r="B88" s="7" t="s">
        <v>531</v>
      </c>
      <c r="C88" s="7" t="s">
        <v>532</v>
      </c>
      <c r="D88" s="7" t="s">
        <v>153</v>
      </c>
      <c r="E88" s="7" t="s">
        <v>154</v>
      </c>
      <c r="F88" s="7" t="s">
        <v>533</v>
      </c>
      <c r="G88" s="7" t="s">
        <v>534</v>
      </c>
      <c r="H88" s="7" t="s">
        <v>153</v>
      </c>
      <c r="I88" s="7">
        <v>4</v>
      </c>
      <c r="J88" s="7" t="s">
        <v>157</v>
      </c>
      <c r="K88" s="7" t="s">
        <v>146</v>
      </c>
      <c r="L88" s="7" t="s">
        <v>169</v>
      </c>
      <c r="M88" s="7" t="s">
        <v>192</v>
      </c>
      <c r="N88" s="7" t="s">
        <v>161</v>
      </c>
    </row>
    <row r="89" spans="1:14" ht="14.25">
      <c r="A89" s="7" t="s">
        <v>535</v>
      </c>
      <c r="B89" s="7" t="s">
        <v>536</v>
      </c>
      <c r="C89" s="7" t="s">
        <v>537</v>
      </c>
      <c r="D89" s="7" t="s">
        <v>153</v>
      </c>
      <c r="E89" s="7" t="s">
        <v>154</v>
      </c>
      <c r="F89" s="7" t="s">
        <v>538</v>
      </c>
      <c r="G89" s="7" t="s">
        <v>539</v>
      </c>
      <c r="H89" s="7" t="s">
        <v>153</v>
      </c>
      <c r="I89" s="7">
        <v>3</v>
      </c>
      <c r="J89" s="7" t="s">
        <v>157</v>
      </c>
      <c r="K89" s="7" t="s">
        <v>168</v>
      </c>
      <c r="L89" s="7" t="s">
        <v>169</v>
      </c>
      <c r="M89" s="7" t="s">
        <v>192</v>
      </c>
      <c r="N89" s="7" t="s">
        <v>161</v>
      </c>
    </row>
    <row r="90" spans="1:14" ht="14.25">
      <c r="A90" s="7" t="s">
        <v>545</v>
      </c>
      <c r="B90" s="7" t="s">
        <v>546</v>
      </c>
      <c r="C90" s="7" t="s">
        <v>547</v>
      </c>
      <c r="D90" s="7" t="s">
        <v>153</v>
      </c>
      <c r="E90" s="7" t="s">
        <v>154</v>
      </c>
      <c r="F90" s="7" t="s">
        <v>548</v>
      </c>
      <c r="G90" s="7" t="s">
        <v>549</v>
      </c>
      <c r="H90" s="7" t="s">
        <v>153</v>
      </c>
      <c r="I90" s="7">
        <v>4</v>
      </c>
      <c r="J90" s="7" t="s">
        <v>157</v>
      </c>
      <c r="K90" s="7" t="s">
        <v>223</v>
      </c>
      <c r="L90" s="7" t="s">
        <v>169</v>
      </c>
      <c r="M90" s="7" t="s">
        <v>192</v>
      </c>
      <c r="N90" s="7" t="s">
        <v>161</v>
      </c>
    </row>
    <row r="91" spans="1:14" ht="14.25">
      <c r="A91" s="7" t="s">
        <v>550</v>
      </c>
      <c r="B91" s="7" t="s">
        <v>551</v>
      </c>
      <c r="C91" s="7" t="s">
        <v>247</v>
      </c>
      <c r="D91" s="7" t="s">
        <v>552</v>
      </c>
      <c r="E91" s="7" t="s">
        <v>154</v>
      </c>
      <c r="F91" s="7" t="s">
        <v>553</v>
      </c>
      <c r="G91" s="7" t="s">
        <v>554</v>
      </c>
      <c r="H91" s="7" t="s">
        <v>153</v>
      </c>
      <c r="I91" s="7">
        <v>3</v>
      </c>
      <c r="J91" s="7" t="s">
        <v>157</v>
      </c>
      <c r="K91" s="7" t="s">
        <v>184</v>
      </c>
      <c r="L91" s="7" t="s">
        <v>555</v>
      </c>
      <c r="M91" s="7" t="s">
        <v>177</v>
      </c>
      <c r="N91" s="7" t="s">
        <v>161</v>
      </c>
    </row>
    <row r="92" spans="1:14" ht="14.25">
      <c r="A92" s="7" t="s">
        <v>561</v>
      </c>
      <c r="B92" s="7" t="s">
        <v>562</v>
      </c>
      <c r="C92" s="7" t="s">
        <v>563</v>
      </c>
      <c r="D92" s="7" t="s">
        <v>153</v>
      </c>
      <c r="E92" s="7" t="s">
        <v>154</v>
      </c>
      <c r="F92" s="7" t="s">
        <v>564</v>
      </c>
      <c r="G92" s="7" t="s">
        <v>565</v>
      </c>
      <c r="H92" s="7" t="s">
        <v>153</v>
      </c>
      <c r="I92" s="7">
        <v>3</v>
      </c>
      <c r="J92" s="7" t="s">
        <v>157</v>
      </c>
      <c r="K92" s="7" t="s">
        <v>146</v>
      </c>
      <c r="L92" s="7" t="s">
        <v>169</v>
      </c>
      <c r="M92" s="7" t="s">
        <v>192</v>
      </c>
      <c r="N92" s="7" t="s">
        <v>161</v>
      </c>
    </row>
    <row r="93" spans="1:14" ht="14.25">
      <c r="A93" s="7" t="s">
        <v>566</v>
      </c>
      <c r="B93" s="7" t="s">
        <v>567</v>
      </c>
      <c r="C93" s="7" t="s">
        <v>226</v>
      </c>
      <c r="D93" s="7" t="s">
        <v>568</v>
      </c>
      <c r="E93" s="7" t="s">
        <v>154</v>
      </c>
      <c r="F93" s="7" t="s">
        <v>569</v>
      </c>
      <c r="G93" s="7" t="s">
        <v>570</v>
      </c>
      <c r="H93" s="7" t="s">
        <v>153</v>
      </c>
      <c r="I93" s="7">
        <v>5</v>
      </c>
      <c r="J93" s="7" t="s">
        <v>157</v>
      </c>
      <c r="K93" s="7" t="s">
        <v>184</v>
      </c>
      <c r="L93" s="7" t="s">
        <v>571</v>
      </c>
      <c r="M93" s="7" t="s">
        <v>177</v>
      </c>
      <c r="N93" s="7" t="s">
        <v>161</v>
      </c>
    </row>
    <row r="94" spans="1:14" ht="14.25">
      <c r="A94" s="7" t="s">
        <v>572</v>
      </c>
      <c r="B94" s="7" t="s">
        <v>573</v>
      </c>
      <c r="C94" s="7" t="s">
        <v>574</v>
      </c>
      <c r="D94" s="7" t="s">
        <v>153</v>
      </c>
      <c r="E94" s="7" t="s">
        <v>154</v>
      </c>
      <c r="F94" s="7" t="s">
        <v>575</v>
      </c>
      <c r="G94" s="7" t="s">
        <v>576</v>
      </c>
      <c r="H94" s="7" t="s">
        <v>153</v>
      </c>
      <c r="I94" s="7">
        <v>4</v>
      </c>
      <c r="J94" s="7" t="s">
        <v>157</v>
      </c>
      <c r="K94" s="7" t="s">
        <v>168</v>
      </c>
      <c r="L94" s="7" t="s">
        <v>169</v>
      </c>
      <c r="M94" s="7" t="s">
        <v>192</v>
      </c>
      <c r="N94" s="7" t="s">
        <v>161</v>
      </c>
    </row>
    <row r="95" spans="1:14" ht="14.25">
      <c r="A95" s="7" t="s">
        <v>577</v>
      </c>
      <c r="B95" s="7" t="s">
        <v>578</v>
      </c>
      <c r="C95" s="7" t="s">
        <v>579</v>
      </c>
      <c r="D95" s="7" t="s">
        <v>153</v>
      </c>
      <c r="E95" s="7" t="s">
        <v>154</v>
      </c>
      <c r="F95" s="7" t="s">
        <v>580</v>
      </c>
      <c r="G95" s="7" t="s">
        <v>581</v>
      </c>
      <c r="H95" s="7" t="s">
        <v>153</v>
      </c>
      <c r="I95" s="7">
        <v>4</v>
      </c>
      <c r="J95" s="7" t="s">
        <v>157</v>
      </c>
      <c r="K95" s="7" t="s">
        <v>168</v>
      </c>
      <c r="L95" s="7" t="s">
        <v>169</v>
      </c>
      <c r="M95" s="7" t="s">
        <v>192</v>
      </c>
      <c r="N95" s="7" t="s">
        <v>161</v>
      </c>
    </row>
    <row r="96" spans="1:14" ht="14.25">
      <c r="A96" s="7" t="s">
        <v>582</v>
      </c>
      <c r="B96" s="7" t="s">
        <v>583</v>
      </c>
      <c r="C96" s="7" t="s">
        <v>238</v>
      </c>
      <c r="D96" s="7" t="s">
        <v>584</v>
      </c>
      <c r="E96" s="7" t="s">
        <v>154</v>
      </c>
      <c r="F96" s="7" t="s">
        <v>585</v>
      </c>
      <c r="G96" s="7" t="s">
        <v>586</v>
      </c>
      <c r="H96" s="7" t="s">
        <v>153</v>
      </c>
      <c r="I96" s="7">
        <v>4</v>
      </c>
      <c r="J96" s="7" t="s">
        <v>157</v>
      </c>
      <c r="K96" s="7" t="s">
        <v>223</v>
      </c>
      <c r="L96" s="7" t="s">
        <v>169</v>
      </c>
      <c r="M96" s="7" t="s">
        <v>192</v>
      </c>
      <c r="N96" s="7" t="s">
        <v>161</v>
      </c>
    </row>
    <row r="97" spans="1:14" ht="14.25">
      <c r="A97" s="7" t="s">
        <v>587</v>
      </c>
      <c r="B97" s="7" t="s">
        <v>588</v>
      </c>
      <c r="C97" s="7" t="s">
        <v>589</v>
      </c>
      <c r="D97" s="7" t="s">
        <v>153</v>
      </c>
      <c r="E97" s="7" t="s">
        <v>154</v>
      </c>
      <c r="F97" s="7" t="s">
        <v>590</v>
      </c>
      <c r="G97" s="7" t="s">
        <v>591</v>
      </c>
      <c r="H97" s="7" t="s">
        <v>153</v>
      </c>
      <c r="I97" s="7">
        <v>4</v>
      </c>
      <c r="J97" s="7" t="s">
        <v>157</v>
      </c>
      <c r="K97" s="7" t="s">
        <v>146</v>
      </c>
      <c r="L97" s="7" t="s">
        <v>473</v>
      </c>
      <c r="M97" s="7" t="s">
        <v>177</v>
      </c>
      <c r="N97" s="7" t="s">
        <v>161</v>
      </c>
    </row>
    <row r="98" spans="1:14" ht="14.25">
      <c r="A98" s="7" t="s">
        <v>592</v>
      </c>
      <c r="B98" s="7" t="s">
        <v>593</v>
      </c>
      <c r="C98" s="7" t="s">
        <v>594</v>
      </c>
      <c r="D98" s="7" t="s">
        <v>595</v>
      </c>
      <c r="E98" s="7" t="s">
        <v>154</v>
      </c>
      <c r="F98" s="7" t="s">
        <v>596</v>
      </c>
      <c r="G98" s="7" t="s">
        <v>597</v>
      </c>
      <c r="H98" s="7" t="s">
        <v>153</v>
      </c>
      <c r="I98" s="7">
        <v>3</v>
      </c>
      <c r="J98" s="7" t="s">
        <v>157</v>
      </c>
      <c r="K98" s="7" t="s">
        <v>168</v>
      </c>
      <c r="L98" s="7" t="s">
        <v>169</v>
      </c>
      <c r="M98" s="7" t="s">
        <v>192</v>
      </c>
      <c r="N98" s="7" t="s">
        <v>161</v>
      </c>
    </row>
    <row r="99" spans="1:14" ht="14.25">
      <c r="A99" s="7" t="s">
        <v>602</v>
      </c>
      <c r="B99" s="7" t="s">
        <v>603</v>
      </c>
      <c r="C99" s="7" t="s">
        <v>604</v>
      </c>
      <c r="D99" s="7" t="s">
        <v>153</v>
      </c>
      <c r="E99" s="7" t="s">
        <v>154</v>
      </c>
      <c r="F99" s="7" t="s">
        <v>605</v>
      </c>
      <c r="G99" s="7" t="s">
        <v>606</v>
      </c>
      <c r="H99" s="7" t="s">
        <v>153</v>
      </c>
      <c r="I99" s="7">
        <v>4</v>
      </c>
      <c r="J99" s="7" t="s">
        <v>157</v>
      </c>
      <c r="K99" s="7" t="s">
        <v>146</v>
      </c>
      <c r="L99" s="7" t="s">
        <v>169</v>
      </c>
      <c r="M99" s="7" t="s">
        <v>192</v>
      </c>
      <c r="N99" s="7" t="s">
        <v>161</v>
      </c>
    </row>
    <row r="100" spans="1:14" ht="14.25">
      <c r="A100" s="7" t="s">
        <v>607</v>
      </c>
      <c r="B100" s="7" t="s">
        <v>608</v>
      </c>
      <c r="C100" s="7" t="s">
        <v>195</v>
      </c>
      <c r="D100" s="7" t="s">
        <v>153</v>
      </c>
      <c r="E100" s="7" t="s">
        <v>154</v>
      </c>
      <c r="F100" s="7" t="s">
        <v>609</v>
      </c>
      <c r="G100" s="7" t="s">
        <v>610</v>
      </c>
      <c r="H100" s="7" t="s">
        <v>153</v>
      </c>
      <c r="I100" s="7">
        <v>3</v>
      </c>
      <c r="J100" s="7" t="s">
        <v>157</v>
      </c>
      <c r="K100" s="7" t="s">
        <v>223</v>
      </c>
      <c r="L100" s="7" t="s">
        <v>169</v>
      </c>
      <c r="M100" s="7" t="s">
        <v>192</v>
      </c>
      <c r="N100" s="7" t="s">
        <v>161</v>
      </c>
    </row>
    <row r="101" spans="1:14" ht="14.25">
      <c r="A101" s="7" t="s">
        <v>611</v>
      </c>
      <c r="B101" s="7" t="s">
        <v>612</v>
      </c>
      <c r="C101" s="7" t="s">
        <v>613</v>
      </c>
      <c r="D101" s="7" t="s">
        <v>153</v>
      </c>
      <c r="E101" s="7" t="s">
        <v>154</v>
      </c>
      <c r="F101" s="7" t="s">
        <v>614</v>
      </c>
      <c r="G101" s="7" t="s">
        <v>615</v>
      </c>
      <c r="H101" s="7" t="s">
        <v>153</v>
      </c>
      <c r="I101" s="7">
        <v>4</v>
      </c>
      <c r="J101" s="7" t="s">
        <v>157</v>
      </c>
      <c r="K101" s="7" t="s">
        <v>146</v>
      </c>
      <c r="L101" s="7" t="s">
        <v>616</v>
      </c>
      <c r="M101" s="7" t="s">
        <v>160</v>
      </c>
      <c r="N101" s="7" t="s">
        <v>161</v>
      </c>
    </row>
    <row r="102" spans="1:14" ht="14.25">
      <c r="A102" s="7" t="s">
        <v>617</v>
      </c>
      <c r="B102" s="7" t="s">
        <v>618</v>
      </c>
      <c r="C102" s="7" t="s">
        <v>619</v>
      </c>
      <c r="D102" s="7" t="s">
        <v>153</v>
      </c>
      <c r="E102" s="7" t="s">
        <v>154</v>
      </c>
      <c r="F102" s="7" t="s">
        <v>620</v>
      </c>
      <c r="G102" s="7" t="s">
        <v>621</v>
      </c>
      <c r="H102" s="7" t="s">
        <v>153</v>
      </c>
      <c r="I102" s="7">
        <v>3</v>
      </c>
      <c r="J102" s="7" t="s">
        <v>157</v>
      </c>
      <c r="K102" s="7" t="s">
        <v>146</v>
      </c>
      <c r="L102" s="7" t="s">
        <v>169</v>
      </c>
      <c r="M102" s="7" t="s">
        <v>192</v>
      </c>
      <c r="N102" s="7" t="s">
        <v>161</v>
      </c>
    </row>
    <row r="103" spans="1:14" ht="14.25">
      <c r="A103" s="7" t="s">
        <v>622</v>
      </c>
      <c r="B103" s="7" t="s">
        <v>623</v>
      </c>
      <c r="C103" s="7" t="s">
        <v>624</v>
      </c>
      <c r="D103" s="7" t="s">
        <v>153</v>
      </c>
      <c r="E103" s="7" t="s">
        <v>154</v>
      </c>
      <c r="F103" s="7" t="s">
        <v>625</v>
      </c>
      <c r="G103" s="7" t="s">
        <v>626</v>
      </c>
      <c r="H103" s="7" t="s">
        <v>153</v>
      </c>
      <c r="I103" s="7">
        <v>3</v>
      </c>
      <c r="J103" s="7" t="s">
        <v>157</v>
      </c>
      <c r="K103" s="7" t="s">
        <v>168</v>
      </c>
      <c r="L103" s="7" t="s">
        <v>169</v>
      </c>
      <c r="M103" s="7" t="s">
        <v>192</v>
      </c>
      <c r="N103" s="7" t="s">
        <v>161</v>
      </c>
    </row>
    <row r="104" spans="1:14" ht="14.25">
      <c r="A104" s="7" t="s">
        <v>627</v>
      </c>
      <c r="B104" s="7" t="s">
        <v>628</v>
      </c>
      <c r="C104" s="7" t="s">
        <v>629</v>
      </c>
      <c r="D104" s="7" t="s">
        <v>153</v>
      </c>
      <c r="E104" s="7" t="s">
        <v>154</v>
      </c>
      <c r="F104" s="7" t="s">
        <v>630</v>
      </c>
      <c r="G104" s="7" t="s">
        <v>631</v>
      </c>
      <c r="H104" s="7" t="s">
        <v>153</v>
      </c>
      <c r="I104" s="7">
        <v>3</v>
      </c>
      <c r="J104" s="7" t="s">
        <v>157</v>
      </c>
      <c r="K104" s="7" t="s">
        <v>146</v>
      </c>
      <c r="L104" s="7" t="s">
        <v>169</v>
      </c>
      <c r="M104" s="7" t="s">
        <v>632</v>
      </c>
      <c r="N104" s="7" t="s">
        <v>161</v>
      </c>
    </row>
    <row r="105" spans="1:14" ht="14.25">
      <c r="A105" s="7" t="s">
        <v>633</v>
      </c>
      <c r="B105" s="7" t="s">
        <v>634</v>
      </c>
      <c r="C105" s="7" t="s">
        <v>635</v>
      </c>
      <c r="D105" s="7">
        <v>2.2080000000000002</v>
      </c>
      <c r="E105" s="7" t="s">
        <v>154</v>
      </c>
      <c r="F105" s="7" t="s">
        <v>636</v>
      </c>
      <c r="G105" s="7" t="s">
        <v>637</v>
      </c>
      <c r="H105" s="7" t="s">
        <v>153</v>
      </c>
      <c r="I105" s="7">
        <v>3</v>
      </c>
      <c r="J105" s="7" t="s">
        <v>157</v>
      </c>
      <c r="K105" s="7" t="s">
        <v>223</v>
      </c>
      <c r="L105" s="7" t="s">
        <v>169</v>
      </c>
      <c r="M105" s="7" t="s">
        <v>192</v>
      </c>
      <c r="N105" s="7" t="s">
        <v>161</v>
      </c>
    </row>
    <row r="106" spans="1:14" ht="14.25">
      <c r="A106" s="7" t="s">
        <v>638</v>
      </c>
      <c r="B106" s="7" t="s">
        <v>639</v>
      </c>
      <c r="C106" s="7" t="s">
        <v>274</v>
      </c>
      <c r="D106" s="7" t="s">
        <v>153</v>
      </c>
      <c r="E106" s="7" t="s">
        <v>154</v>
      </c>
      <c r="F106" s="7" t="s">
        <v>640</v>
      </c>
      <c r="G106" s="7" t="s">
        <v>641</v>
      </c>
      <c r="H106" s="7" t="s">
        <v>153</v>
      </c>
      <c r="I106" s="7">
        <v>3</v>
      </c>
      <c r="J106" s="7" t="s">
        <v>157</v>
      </c>
      <c r="K106" s="7" t="s">
        <v>184</v>
      </c>
      <c r="L106" s="7" t="s">
        <v>169</v>
      </c>
      <c r="M106" s="7" t="s">
        <v>192</v>
      </c>
      <c r="N106" s="7" t="s">
        <v>161</v>
      </c>
    </row>
    <row r="107" spans="1:14" ht="14.25">
      <c r="A107" s="7" t="s">
        <v>648</v>
      </c>
      <c r="B107" s="7" t="s">
        <v>649</v>
      </c>
      <c r="C107" s="7" t="s">
        <v>650</v>
      </c>
      <c r="D107" s="7">
        <v>6.0830000000000002</v>
      </c>
      <c r="E107" s="7" t="s">
        <v>154</v>
      </c>
      <c r="F107" s="7" t="s">
        <v>651</v>
      </c>
      <c r="G107" s="7" t="s">
        <v>652</v>
      </c>
      <c r="H107" s="7" t="s">
        <v>153</v>
      </c>
      <c r="I107" s="7">
        <v>4</v>
      </c>
      <c r="J107" s="7" t="s">
        <v>157</v>
      </c>
      <c r="K107" s="7" t="s">
        <v>223</v>
      </c>
      <c r="L107" s="7" t="s">
        <v>653</v>
      </c>
      <c r="M107" s="7" t="s">
        <v>177</v>
      </c>
      <c r="N107" s="7" t="s">
        <v>161</v>
      </c>
    </row>
    <row r="108" spans="1:14" ht="14.25">
      <c r="A108" s="7" t="s">
        <v>659</v>
      </c>
      <c r="B108" s="7" t="s">
        <v>660</v>
      </c>
      <c r="C108" s="7" t="s">
        <v>661</v>
      </c>
      <c r="D108" s="7" t="s">
        <v>153</v>
      </c>
      <c r="E108" s="7" t="s">
        <v>154</v>
      </c>
      <c r="F108" s="7" t="s">
        <v>662</v>
      </c>
      <c r="G108" s="7" t="s">
        <v>663</v>
      </c>
      <c r="H108" s="7" t="s">
        <v>153</v>
      </c>
      <c r="I108" s="7">
        <v>4</v>
      </c>
      <c r="J108" s="7" t="s">
        <v>157</v>
      </c>
      <c r="K108" s="7" t="s">
        <v>146</v>
      </c>
      <c r="L108" s="7" t="s">
        <v>664</v>
      </c>
      <c r="M108" s="7" t="s">
        <v>177</v>
      </c>
      <c r="N108" s="7" t="s">
        <v>161</v>
      </c>
    </row>
    <row r="109" spans="1:14" ht="14.25">
      <c r="A109" s="7" t="s">
        <v>665</v>
      </c>
      <c r="B109" s="7" t="s">
        <v>666</v>
      </c>
      <c r="C109" s="7" t="s">
        <v>667</v>
      </c>
      <c r="D109" s="7" t="s">
        <v>153</v>
      </c>
      <c r="E109" s="7" t="s">
        <v>154</v>
      </c>
      <c r="F109" s="7" t="s">
        <v>668</v>
      </c>
      <c r="G109" s="7" t="s">
        <v>669</v>
      </c>
      <c r="H109" s="7" t="s">
        <v>153</v>
      </c>
      <c r="I109" s="7">
        <v>4</v>
      </c>
      <c r="J109" s="7" t="s">
        <v>157</v>
      </c>
      <c r="K109" s="7" t="s">
        <v>146</v>
      </c>
      <c r="L109" s="7" t="s">
        <v>670</v>
      </c>
      <c r="M109" s="7" t="s">
        <v>177</v>
      </c>
      <c r="N109" s="7" t="s">
        <v>161</v>
      </c>
    </row>
    <row r="110" spans="1:14" ht="14.25">
      <c r="A110" s="7" t="s">
        <v>671</v>
      </c>
      <c r="B110" s="7" t="s">
        <v>672</v>
      </c>
      <c r="C110" s="7" t="s">
        <v>673</v>
      </c>
      <c r="D110" s="7" t="s">
        <v>153</v>
      </c>
      <c r="E110" s="7" t="s">
        <v>154</v>
      </c>
      <c r="F110" s="7" t="s">
        <v>674</v>
      </c>
      <c r="G110" s="7" t="s">
        <v>675</v>
      </c>
      <c r="H110" s="7" t="s">
        <v>153</v>
      </c>
      <c r="I110" s="7">
        <v>4</v>
      </c>
      <c r="J110" s="7" t="s">
        <v>157</v>
      </c>
      <c r="K110" s="7" t="s">
        <v>146</v>
      </c>
      <c r="L110" s="7" t="s">
        <v>169</v>
      </c>
      <c r="M110" s="7" t="s">
        <v>192</v>
      </c>
      <c r="N110" s="7" t="s">
        <v>161</v>
      </c>
    </row>
    <row r="111" spans="1:14" ht="14.25">
      <c r="A111" s="7" t="s">
        <v>676</v>
      </c>
      <c r="B111" s="7" t="s">
        <v>677</v>
      </c>
      <c r="C111" s="7" t="s">
        <v>678</v>
      </c>
      <c r="D111" s="7" t="s">
        <v>153</v>
      </c>
      <c r="E111" s="7" t="s">
        <v>154</v>
      </c>
      <c r="F111" s="7" t="s">
        <v>679</v>
      </c>
      <c r="G111" s="7" t="s">
        <v>680</v>
      </c>
      <c r="H111" s="7" t="s">
        <v>153</v>
      </c>
      <c r="I111" s="7">
        <v>4</v>
      </c>
      <c r="J111" s="7" t="s">
        <v>157</v>
      </c>
      <c r="K111" s="7" t="s">
        <v>168</v>
      </c>
      <c r="L111" s="7" t="s">
        <v>169</v>
      </c>
      <c r="M111" s="7" t="s">
        <v>192</v>
      </c>
      <c r="N111" s="7" t="s">
        <v>161</v>
      </c>
    </row>
    <row r="112" spans="1:14" ht="14.25">
      <c r="A112" s="7" t="s">
        <v>681</v>
      </c>
      <c r="B112" s="7" t="s">
        <v>682</v>
      </c>
      <c r="C112" s="7" t="s">
        <v>262</v>
      </c>
      <c r="D112" s="7" t="s">
        <v>153</v>
      </c>
      <c r="E112" s="7" t="s">
        <v>154</v>
      </c>
      <c r="F112" s="7" t="s">
        <v>683</v>
      </c>
      <c r="G112" s="7" t="s">
        <v>684</v>
      </c>
      <c r="H112" s="7" t="s">
        <v>153</v>
      </c>
      <c r="I112" s="7">
        <v>5</v>
      </c>
      <c r="J112" s="7" t="s">
        <v>157</v>
      </c>
      <c r="K112" s="7" t="s">
        <v>168</v>
      </c>
      <c r="L112" s="7" t="s">
        <v>169</v>
      </c>
      <c r="M112" s="7" t="s">
        <v>192</v>
      </c>
      <c r="N112" s="7" t="s">
        <v>161</v>
      </c>
    </row>
    <row r="113" spans="1:14" ht="14.25">
      <c r="A113" s="7" t="s">
        <v>685</v>
      </c>
      <c r="B113" s="7" t="s">
        <v>686</v>
      </c>
      <c r="C113" s="7" t="s">
        <v>687</v>
      </c>
      <c r="D113" s="7" t="s">
        <v>153</v>
      </c>
      <c r="E113" s="7" t="s">
        <v>154</v>
      </c>
      <c r="F113" s="7" t="s">
        <v>688</v>
      </c>
      <c r="G113" s="7" t="s">
        <v>689</v>
      </c>
      <c r="H113" s="7" t="s">
        <v>153</v>
      </c>
      <c r="I113" s="7">
        <v>4</v>
      </c>
      <c r="J113" s="7" t="s">
        <v>157</v>
      </c>
      <c r="K113" s="7" t="s">
        <v>168</v>
      </c>
      <c r="L113" s="7" t="s">
        <v>169</v>
      </c>
      <c r="M113" s="7" t="s">
        <v>192</v>
      </c>
      <c r="N113" s="7" t="s">
        <v>161</v>
      </c>
    </row>
    <row r="114" spans="1:14" ht="14.25">
      <c r="A114" s="7" t="s">
        <v>690</v>
      </c>
      <c r="B114" s="7" t="s">
        <v>691</v>
      </c>
      <c r="C114" s="7" t="s">
        <v>226</v>
      </c>
      <c r="D114" s="7" t="s">
        <v>692</v>
      </c>
      <c r="E114" s="7" t="s">
        <v>154</v>
      </c>
      <c r="F114" s="7" t="s">
        <v>693</v>
      </c>
      <c r="G114" s="7" t="s">
        <v>694</v>
      </c>
      <c r="H114" s="7" t="s">
        <v>153</v>
      </c>
      <c r="I114" s="7">
        <v>4</v>
      </c>
      <c r="J114" s="7" t="s">
        <v>157</v>
      </c>
      <c r="K114" s="7" t="s">
        <v>223</v>
      </c>
      <c r="L114" s="7" t="s">
        <v>523</v>
      </c>
      <c r="M114" s="7" t="s">
        <v>177</v>
      </c>
      <c r="N114" s="7" t="s">
        <v>161</v>
      </c>
    </row>
    <row r="115" spans="1:14" ht="14.25">
      <c r="A115" s="7" t="s">
        <v>695</v>
      </c>
      <c r="B115" s="7" t="s">
        <v>696</v>
      </c>
      <c r="C115" s="7" t="s">
        <v>247</v>
      </c>
      <c r="D115" s="7" t="s">
        <v>153</v>
      </c>
      <c r="E115" s="7" t="s">
        <v>154</v>
      </c>
      <c r="F115" s="7" t="s">
        <v>697</v>
      </c>
      <c r="G115" s="7" t="s">
        <v>698</v>
      </c>
      <c r="H115" s="7" t="s">
        <v>153</v>
      </c>
      <c r="I115" s="7">
        <v>4</v>
      </c>
      <c r="J115" s="7" t="s">
        <v>157</v>
      </c>
      <c r="K115" s="7" t="s">
        <v>223</v>
      </c>
      <c r="L115" s="7" t="s">
        <v>169</v>
      </c>
      <c r="M115" s="7" t="s">
        <v>192</v>
      </c>
      <c r="N115" s="7" t="s">
        <v>161</v>
      </c>
    </row>
    <row r="116" spans="1:14" ht="14.25">
      <c r="A116" s="7" t="s">
        <v>699</v>
      </c>
      <c r="B116" s="7" t="s">
        <v>700</v>
      </c>
      <c r="C116" s="7" t="s">
        <v>701</v>
      </c>
      <c r="D116" s="7" t="s">
        <v>153</v>
      </c>
      <c r="E116" s="7" t="s">
        <v>154</v>
      </c>
      <c r="F116" s="7" t="s">
        <v>702</v>
      </c>
      <c r="G116" s="7" t="s">
        <v>703</v>
      </c>
      <c r="H116" s="7" t="s">
        <v>153</v>
      </c>
      <c r="I116" s="7">
        <v>4</v>
      </c>
      <c r="J116" s="7" t="s">
        <v>157</v>
      </c>
      <c r="K116" s="7" t="s">
        <v>184</v>
      </c>
      <c r="L116" s="7" t="s">
        <v>169</v>
      </c>
      <c r="M116" s="7" t="s">
        <v>192</v>
      </c>
      <c r="N116" s="7" t="s">
        <v>161</v>
      </c>
    </row>
    <row r="117" spans="1:14" ht="14.25">
      <c r="A117" s="7" t="s">
        <v>704</v>
      </c>
      <c r="B117" s="7" t="s">
        <v>705</v>
      </c>
      <c r="C117" s="7" t="s">
        <v>706</v>
      </c>
      <c r="D117" s="7" t="s">
        <v>153</v>
      </c>
      <c r="E117" s="7" t="s">
        <v>154</v>
      </c>
      <c r="F117" s="7" t="s">
        <v>707</v>
      </c>
      <c r="G117" s="7" t="s">
        <v>708</v>
      </c>
      <c r="H117" s="7" t="s">
        <v>153</v>
      </c>
      <c r="I117" s="7">
        <v>4</v>
      </c>
      <c r="J117" s="7" t="s">
        <v>157</v>
      </c>
      <c r="K117" s="7" t="s">
        <v>168</v>
      </c>
      <c r="L117" s="7" t="s">
        <v>169</v>
      </c>
      <c r="M117" s="7" t="s">
        <v>192</v>
      </c>
      <c r="N117" s="7" t="s">
        <v>161</v>
      </c>
    </row>
    <row r="118" spans="1:14" ht="14.25">
      <c r="A118" s="7" t="s">
        <v>709</v>
      </c>
      <c r="B118" s="7" t="s">
        <v>710</v>
      </c>
      <c r="C118" s="7" t="s">
        <v>711</v>
      </c>
      <c r="D118" s="7" t="s">
        <v>153</v>
      </c>
      <c r="E118" s="7" t="s">
        <v>154</v>
      </c>
      <c r="F118" s="7" t="s">
        <v>712</v>
      </c>
      <c r="G118" s="7" t="s">
        <v>713</v>
      </c>
      <c r="H118" s="7" t="s">
        <v>153</v>
      </c>
      <c r="I118" s="7">
        <v>4</v>
      </c>
      <c r="J118" s="7" t="s">
        <v>157</v>
      </c>
      <c r="K118" s="7" t="s">
        <v>168</v>
      </c>
      <c r="L118" s="7" t="s">
        <v>169</v>
      </c>
      <c r="M118" s="7" t="s">
        <v>192</v>
      </c>
      <c r="N118" s="7" t="s">
        <v>161</v>
      </c>
    </row>
    <row r="119" spans="1:14" ht="14.25">
      <c r="A119" s="7" t="s">
        <v>714</v>
      </c>
      <c r="B119" s="7" t="s">
        <v>715</v>
      </c>
      <c r="C119" s="7" t="s">
        <v>716</v>
      </c>
      <c r="D119" s="7" t="s">
        <v>153</v>
      </c>
      <c r="E119" s="7" t="s">
        <v>154</v>
      </c>
      <c r="F119" s="7" t="s">
        <v>717</v>
      </c>
      <c r="G119" s="7" t="s">
        <v>718</v>
      </c>
      <c r="H119" s="7" t="s">
        <v>153</v>
      </c>
      <c r="I119" s="7">
        <v>4</v>
      </c>
      <c r="J119" s="7" t="s">
        <v>157</v>
      </c>
      <c r="K119" s="7" t="s">
        <v>209</v>
      </c>
      <c r="L119" s="7" t="s">
        <v>169</v>
      </c>
      <c r="M119" s="7" t="s">
        <v>719</v>
      </c>
      <c r="N119" s="7" t="s">
        <v>161</v>
      </c>
    </row>
    <row r="120" spans="1:14" ht="14.25">
      <c r="A120" s="7" t="s">
        <v>720</v>
      </c>
      <c r="B120" s="7" t="s">
        <v>721</v>
      </c>
      <c r="C120" s="7" t="s">
        <v>722</v>
      </c>
      <c r="D120" s="7" t="s">
        <v>153</v>
      </c>
      <c r="E120" s="7" t="s">
        <v>154</v>
      </c>
      <c r="F120" s="7" t="s">
        <v>723</v>
      </c>
      <c r="G120" s="7" t="s">
        <v>724</v>
      </c>
      <c r="H120" s="7" t="s">
        <v>153</v>
      </c>
      <c r="I120" s="7">
        <v>4</v>
      </c>
      <c r="J120" s="7" t="s">
        <v>157</v>
      </c>
      <c r="K120" s="7" t="s">
        <v>146</v>
      </c>
      <c r="L120" s="7" t="s">
        <v>169</v>
      </c>
      <c r="M120" s="7" t="s">
        <v>192</v>
      </c>
      <c r="N120" s="7" t="s">
        <v>161</v>
      </c>
    </row>
    <row r="121" spans="1:14" ht="14.25">
      <c r="A121" s="7" t="s">
        <v>725</v>
      </c>
      <c r="B121" s="7" t="s">
        <v>726</v>
      </c>
      <c r="C121" s="7" t="s">
        <v>727</v>
      </c>
      <c r="D121" s="7" t="s">
        <v>153</v>
      </c>
      <c r="E121" s="7" t="s">
        <v>154</v>
      </c>
      <c r="F121" s="7" t="s">
        <v>728</v>
      </c>
      <c r="G121" s="7" t="s">
        <v>729</v>
      </c>
      <c r="H121" s="7" t="s">
        <v>153</v>
      </c>
      <c r="I121" s="7">
        <v>4</v>
      </c>
      <c r="J121" s="7" t="s">
        <v>157</v>
      </c>
      <c r="K121" s="7" t="s">
        <v>168</v>
      </c>
      <c r="L121" s="7" t="s">
        <v>169</v>
      </c>
      <c r="M121" s="7" t="s">
        <v>192</v>
      </c>
      <c r="N121" s="7" t="s">
        <v>161</v>
      </c>
    </row>
    <row r="122" spans="1:14" ht="14.25">
      <c r="A122" s="7" t="s">
        <v>730</v>
      </c>
      <c r="B122" s="7" t="s">
        <v>731</v>
      </c>
      <c r="C122" s="7" t="s">
        <v>732</v>
      </c>
      <c r="D122" s="7" t="s">
        <v>153</v>
      </c>
      <c r="E122" s="7" t="s">
        <v>154</v>
      </c>
      <c r="F122" s="7" t="s">
        <v>733</v>
      </c>
      <c r="G122" s="7" t="s">
        <v>734</v>
      </c>
      <c r="H122" s="7" t="s">
        <v>153</v>
      </c>
      <c r="I122" s="7">
        <v>4</v>
      </c>
      <c r="J122" s="7" t="s">
        <v>157</v>
      </c>
      <c r="K122" s="7" t="s">
        <v>168</v>
      </c>
      <c r="L122" s="7" t="s">
        <v>169</v>
      </c>
      <c r="M122" s="7" t="s">
        <v>192</v>
      </c>
      <c r="N122" s="7" t="s">
        <v>161</v>
      </c>
    </row>
    <row r="123" spans="1:14" ht="14.25">
      <c r="A123" s="7" t="s">
        <v>735</v>
      </c>
      <c r="B123" s="7" t="s">
        <v>715</v>
      </c>
      <c r="C123" s="7" t="s">
        <v>736</v>
      </c>
      <c r="D123" s="7" t="s">
        <v>153</v>
      </c>
      <c r="E123" s="7" t="s">
        <v>154</v>
      </c>
      <c r="F123" s="7" t="s">
        <v>737</v>
      </c>
      <c r="G123" s="7" t="s">
        <v>738</v>
      </c>
      <c r="H123" s="7" t="s">
        <v>153</v>
      </c>
      <c r="I123" s="7">
        <v>4</v>
      </c>
      <c r="J123" s="7" t="s">
        <v>157</v>
      </c>
      <c r="K123" s="7" t="s">
        <v>168</v>
      </c>
      <c r="L123" s="7" t="s">
        <v>169</v>
      </c>
      <c r="M123" s="7" t="s">
        <v>192</v>
      </c>
      <c r="N123" s="7" t="s">
        <v>161</v>
      </c>
    </row>
    <row r="124" spans="1:14" ht="14.25">
      <c r="A124" s="7" t="s">
        <v>739</v>
      </c>
      <c r="B124" s="7" t="s">
        <v>740</v>
      </c>
      <c r="C124" s="7" t="s">
        <v>741</v>
      </c>
      <c r="D124" s="7" t="s">
        <v>742</v>
      </c>
      <c r="E124" s="7" t="s">
        <v>154</v>
      </c>
      <c r="F124" s="7" t="s">
        <v>743</v>
      </c>
      <c r="G124" s="7" t="s">
        <v>744</v>
      </c>
      <c r="H124" s="7" t="s">
        <v>153</v>
      </c>
      <c r="I124" s="7">
        <v>4</v>
      </c>
      <c r="J124" s="7" t="s">
        <v>157</v>
      </c>
      <c r="K124" s="7" t="s">
        <v>168</v>
      </c>
      <c r="L124" s="7" t="s">
        <v>745</v>
      </c>
      <c r="M124" s="7" t="s">
        <v>177</v>
      </c>
      <c r="N124" s="7" t="s">
        <v>161</v>
      </c>
    </row>
    <row r="125" spans="1:14" ht="14.25">
      <c r="A125" s="7" t="s">
        <v>746</v>
      </c>
      <c r="B125" s="7" t="s">
        <v>747</v>
      </c>
      <c r="C125" s="7" t="s">
        <v>716</v>
      </c>
      <c r="D125" s="7" t="s">
        <v>153</v>
      </c>
      <c r="E125" s="7" t="s">
        <v>154</v>
      </c>
      <c r="F125" s="7" t="s">
        <v>748</v>
      </c>
      <c r="G125" s="7" t="s">
        <v>749</v>
      </c>
      <c r="H125" s="7" t="s">
        <v>153</v>
      </c>
      <c r="I125" s="7">
        <v>4</v>
      </c>
      <c r="J125" s="7" t="s">
        <v>157</v>
      </c>
      <c r="K125" s="7" t="s">
        <v>209</v>
      </c>
      <c r="L125" s="7" t="s">
        <v>169</v>
      </c>
      <c r="M125" s="7" t="s">
        <v>750</v>
      </c>
      <c r="N125" s="7" t="s">
        <v>161</v>
      </c>
    </row>
    <row r="126" spans="1:14" ht="14.25">
      <c r="A126" s="7" t="s">
        <v>751</v>
      </c>
      <c r="B126" s="7" t="s">
        <v>752</v>
      </c>
      <c r="C126" s="7" t="s">
        <v>753</v>
      </c>
      <c r="D126" s="7" t="s">
        <v>153</v>
      </c>
      <c r="E126" s="7" t="s">
        <v>154</v>
      </c>
      <c r="F126" s="7" t="s">
        <v>754</v>
      </c>
      <c r="G126" s="7" t="s">
        <v>755</v>
      </c>
      <c r="H126" s="7" t="s">
        <v>153</v>
      </c>
      <c r="I126" s="7">
        <v>3</v>
      </c>
      <c r="J126" s="7" t="s">
        <v>157</v>
      </c>
      <c r="K126" s="7" t="s">
        <v>168</v>
      </c>
      <c r="L126" s="7" t="s">
        <v>169</v>
      </c>
      <c r="M126" s="7" t="s">
        <v>192</v>
      </c>
      <c r="N126" s="7" t="s">
        <v>161</v>
      </c>
    </row>
    <row r="127" spans="1:14" ht="14.25">
      <c r="A127" s="7" t="s">
        <v>760</v>
      </c>
      <c r="B127" s="7" t="s">
        <v>761</v>
      </c>
      <c r="C127" s="7" t="s">
        <v>762</v>
      </c>
      <c r="D127" s="7" t="s">
        <v>153</v>
      </c>
      <c r="E127" s="7" t="s">
        <v>154</v>
      </c>
      <c r="F127" s="7" t="s">
        <v>763</v>
      </c>
      <c r="G127" s="7" t="s">
        <v>764</v>
      </c>
      <c r="H127" s="7" t="s">
        <v>153</v>
      </c>
      <c r="I127" s="7">
        <v>4</v>
      </c>
      <c r="J127" s="7" t="s">
        <v>157</v>
      </c>
      <c r="K127" s="7" t="s">
        <v>203</v>
      </c>
      <c r="L127" s="7" t="s">
        <v>169</v>
      </c>
      <c r="M127" s="7" t="s">
        <v>192</v>
      </c>
      <c r="N127" s="7" t="s">
        <v>161</v>
      </c>
    </row>
    <row r="128" spans="1:14" ht="14.25">
      <c r="A128" s="7" t="s">
        <v>765</v>
      </c>
      <c r="B128" s="7" t="s">
        <v>766</v>
      </c>
      <c r="C128" s="7" t="s">
        <v>767</v>
      </c>
      <c r="D128" s="7" t="s">
        <v>153</v>
      </c>
      <c r="E128" s="7" t="s">
        <v>154</v>
      </c>
      <c r="F128" s="7" t="s">
        <v>768</v>
      </c>
      <c r="G128" s="7" t="s">
        <v>769</v>
      </c>
      <c r="H128" s="7" t="s">
        <v>153</v>
      </c>
      <c r="I128" s="7">
        <v>4</v>
      </c>
      <c r="J128" s="7" t="s">
        <v>157</v>
      </c>
      <c r="K128" s="7" t="s">
        <v>146</v>
      </c>
      <c r="L128" s="7" t="s">
        <v>169</v>
      </c>
      <c r="M128" s="7" t="s">
        <v>192</v>
      </c>
      <c r="N128" s="7" t="s">
        <v>161</v>
      </c>
    </row>
    <row r="129" spans="1:14" ht="14.25">
      <c r="A129" s="7" t="s">
        <v>770</v>
      </c>
      <c r="B129" s="7" t="s">
        <v>771</v>
      </c>
      <c r="C129" s="7" t="s">
        <v>772</v>
      </c>
      <c r="D129" s="7" t="s">
        <v>153</v>
      </c>
      <c r="E129" s="7" t="s">
        <v>154</v>
      </c>
      <c r="F129" s="7" t="s">
        <v>773</v>
      </c>
      <c r="G129" s="7" t="s">
        <v>774</v>
      </c>
      <c r="H129" s="7" t="s">
        <v>153</v>
      </c>
      <c r="I129" s="7">
        <v>5</v>
      </c>
      <c r="J129" s="7" t="s">
        <v>157</v>
      </c>
      <c r="K129" s="7" t="s">
        <v>203</v>
      </c>
      <c r="L129" s="7" t="s">
        <v>169</v>
      </c>
      <c r="M129" s="7" t="s">
        <v>192</v>
      </c>
      <c r="N129" s="7" t="s">
        <v>161</v>
      </c>
    </row>
    <row r="130" spans="1:14" ht="14.25">
      <c r="A130" s="7" t="s">
        <v>779</v>
      </c>
      <c r="B130" s="7" t="s">
        <v>780</v>
      </c>
      <c r="C130" s="7" t="s">
        <v>781</v>
      </c>
      <c r="D130" s="7" t="s">
        <v>153</v>
      </c>
      <c r="E130" s="7" t="s">
        <v>154</v>
      </c>
      <c r="F130" s="7" t="s">
        <v>782</v>
      </c>
      <c r="G130" s="7" t="s">
        <v>783</v>
      </c>
      <c r="H130" s="7" t="s">
        <v>153</v>
      </c>
      <c r="I130" s="7">
        <v>3</v>
      </c>
      <c r="J130" s="7" t="s">
        <v>157</v>
      </c>
      <c r="K130" s="7" t="s">
        <v>223</v>
      </c>
      <c r="L130" s="7" t="s">
        <v>169</v>
      </c>
      <c r="M130" s="7" t="s">
        <v>192</v>
      </c>
      <c r="N130" s="7" t="s">
        <v>161</v>
      </c>
    </row>
    <row r="131" spans="1:14" ht="14.25">
      <c r="A131" s="7" t="s">
        <v>784</v>
      </c>
      <c r="B131" s="7" t="s">
        <v>785</v>
      </c>
      <c r="C131" s="7" t="s">
        <v>786</v>
      </c>
      <c r="D131" s="7" t="s">
        <v>153</v>
      </c>
      <c r="E131" s="7" t="s">
        <v>154</v>
      </c>
      <c r="F131" s="7" t="s">
        <v>787</v>
      </c>
      <c r="G131" s="7" t="s">
        <v>788</v>
      </c>
      <c r="H131" s="7" t="s">
        <v>153</v>
      </c>
      <c r="I131" s="7">
        <v>3</v>
      </c>
      <c r="J131" s="7" t="s">
        <v>157</v>
      </c>
      <c r="K131" s="7" t="s">
        <v>168</v>
      </c>
      <c r="L131" s="7" t="s">
        <v>169</v>
      </c>
      <c r="M131" s="7" t="s">
        <v>192</v>
      </c>
      <c r="N131" s="7" t="s">
        <v>161</v>
      </c>
    </row>
    <row r="132" spans="1:14" ht="14.25">
      <c r="A132" s="7" t="s">
        <v>789</v>
      </c>
      <c r="B132" s="7" t="s">
        <v>790</v>
      </c>
      <c r="C132" s="7" t="s">
        <v>791</v>
      </c>
      <c r="D132" s="7" t="s">
        <v>153</v>
      </c>
      <c r="E132" s="7" t="s">
        <v>154</v>
      </c>
      <c r="F132" s="7" t="s">
        <v>792</v>
      </c>
      <c r="G132" s="7" t="s">
        <v>793</v>
      </c>
      <c r="H132" s="7" t="s">
        <v>153</v>
      </c>
      <c r="I132" s="7">
        <v>4</v>
      </c>
      <c r="J132" s="7" t="s">
        <v>157</v>
      </c>
      <c r="K132" s="7" t="s">
        <v>146</v>
      </c>
      <c r="L132" s="7" t="s">
        <v>169</v>
      </c>
      <c r="M132" s="7" t="s">
        <v>170</v>
      </c>
      <c r="N132" s="7" t="s">
        <v>161</v>
      </c>
    </row>
    <row r="133" spans="1:14" ht="14.25">
      <c r="A133" s="7" t="s">
        <v>817</v>
      </c>
      <c r="B133" s="7" t="s">
        <v>818</v>
      </c>
      <c r="C133" s="7" t="s">
        <v>819</v>
      </c>
      <c r="D133" s="7" t="s">
        <v>153</v>
      </c>
      <c r="E133" s="7" t="s">
        <v>154</v>
      </c>
      <c r="F133" s="7" t="s">
        <v>820</v>
      </c>
      <c r="G133" s="7" t="s">
        <v>821</v>
      </c>
      <c r="H133" s="7" t="s">
        <v>153</v>
      </c>
      <c r="I133" s="7">
        <v>4</v>
      </c>
      <c r="J133" s="7" t="s">
        <v>157</v>
      </c>
      <c r="K133" s="7" t="s">
        <v>146</v>
      </c>
      <c r="L133" s="7" t="s">
        <v>169</v>
      </c>
      <c r="M133" s="7" t="s">
        <v>192</v>
      </c>
      <c r="N133" s="7" t="s">
        <v>161</v>
      </c>
    </row>
    <row r="134" spans="1:14" ht="14.25">
      <c r="A134" s="7" t="s">
        <v>822</v>
      </c>
      <c r="B134" s="7" t="s">
        <v>823</v>
      </c>
      <c r="C134" s="7" t="s">
        <v>180</v>
      </c>
      <c r="D134" s="7" t="s">
        <v>153</v>
      </c>
      <c r="E134" s="7" t="s">
        <v>154</v>
      </c>
      <c r="F134" s="7" t="s">
        <v>824</v>
      </c>
      <c r="G134" s="7" t="s">
        <v>825</v>
      </c>
      <c r="H134" s="7" t="s">
        <v>153</v>
      </c>
      <c r="I134" s="7">
        <v>5</v>
      </c>
      <c r="J134" s="7" t="s">
        <v>157</v>
      </c>
      <c r="K134" s="7" t="s">
        <v>184</v>
      </c>
      <c r="L134" s="7" t="s">
        <v>555</v>
      </c>
      <c r="M134" s="7" t="s">
        <v>177</v>
      </c>
      <c r="N134" s="7" t="s">
        <v>161</v>
      </c>
    </row>
    <row r="135" spans="1:14" ht="14.25">
      <c r="A135" s="7" t="s">
        <v>826</v>
      </c>
      <c r="B135" s="7" t="s">
        <v>826</v>
      </c>
      <c r="C135" s="7" t="s">
        <v>827</v>
      </c>
      <c r="D135" s="7" t="s">
        <v>153</v>
      </c>
      <c r="E135" s="7" t="s">
        <v>154</v>
      </c>
      <c r="F135" s="7" t="s">
        <v>828</v>
      </c>
      <c r="G135" s="7" t="s">
        <v>829</v>
      </c>
      <c r="H135" s="7" t="s">
        <v>153</v>
      </c>
      <c r="I135" s="7">
        <v>4</v>
      </c>
      <c r="J135" s="7" t="s">
        <v>157</v>
      </c>
      <c r="K135" s="7" t="s">
        <v>146</v>
      </c>
      <c r="L135" s="7" t="s">
        <v>169</v>
      </c>
      <c r="M135" s="7" t="s">
        <v>192</v>
      </c>
      <c r="N135" s="7" t="s">
        <v>161</v>
      </c>
    </row>
    <row r="136" spans="1:14" ht="14.25">
      <c r="A136" s="7" t="s">
        <v>830</v>
      </c>
      <c r="B136" s="7" t="s">
        <v>831</v>
      </c>
      <c r="C136" s="7" t="s">
        <v>195</v>
      </c>
      <c r="D136" s="7" t="s">
        <v>832</v>
      </c>
      <c r="E136" s="7" t="s">
        <v>154</v>
      </c>
      <c r="F136" s="7" t="s">
        <v>833</v>
      </c>
      <c r="G136" s="7" t="s">
        <v>834</v>
      </c>
      <c r="H136" s="7" t="s">
        <v>153</v>
      </c>
      <c r="I136" s="7">
        <v>3</v>
      </c>
      <c r="J136" s="7" t="s">
        <v>157</v>
      </c>
      <c r="K136" s="7" t="s">
        <v>184</v>
      </c>
      <c r="L136" s="7" t="s">
        <v>169</v>
      </c>
      <c r="M136" s="7" t="s">
        <v>192</v>
      </c>
      <c r="N136" s="7" t="s">
        <v>161</v>
      </c>
    </row>
    <row r="137" spans="1:14" ht="14.25">
      <c r="A137" s="7" t="s">
        <v>835</v>
      </c>
      <c r="B137" s="7" t="s">
        <v>612</v>
      </c>
      <c r="C137" s="7" t="s">
        <v>613</v>
      </c>
      <c r="D137" s="7" t="s">
        <v>153</v>
      </c>
      <c r="E137" s="7" t="s">
        <v>154</v>
      </c>
      <c r="F137" s="7" t="s">
        <v>836</v>
      </c>
      <c r="G137" s="7" t="s">
        <v>615</v>
      </c>
      <c r="H137" s="7" t="s">
        <v>153</v>
      </c>
      <c r="I137" s="7">
        <v>4</v>
      </c>
      <c r="J137" s="7" t="s">
        <v>157</v>
      </c>
      <c r="K137" s="7" t="s">
        <v>146</v>
      </c>
      <c r="L137" s="7" t="s">
        <v>616</v>
      </c>
      <c r="M137" s="7" t="s">
        <v>160</v>
      </c>
      <c r="N137" s="7" t="s">
        <v>161</v>
      </c>
    </row>
    <row r="138" spans="1:14" ht="14.25">
      <c r="A138" s="7" t="s">
        <v>837</v>
      </c>
      <c r="B138" s="7" t="s">
        <v>838</v>
      </c>
      <c r="C138" s="7" t="s">
        <v>839</v>
      </c>
      <c r="D138" s="7" t="s">
        <v>840</v>
      </c>
      <c r="E138" s="7" t="s">
        <v>154</v>
      </c>
      <c r="F138" s="7" t="s">
        <v>841</v>
      </c>
      <c r="G138" s="7" t="s">
        <v>842</v>
      </c>
      <c r="H138" s="7" t="s">
        <v>153</v>
      </c>
      <c r="I138" s="7">
        <v>4</v>
      </c>
      <c r="J138" s="7" t="s">
        <v>157</v>
      </c>
      <c r="K138" s="7" t="s">
        <v>223</v>
      </c>
      <c r="L138" s="7" t="s">
        <v>169</v>
      </c>
      <c r="M138" s="7" t="s">
        <v>192</v>
      </c>
      <c r="N138" s="7" t="s">
        <v>161</v>
      </c>
    </row>
    <row r="139" spans="1:14" ht="14.25">
      <c r="A139" s="7" t="s">
        <v>843</v>
      </c>
      <c r="B139" s="7" t="s">
        <v>844</v>
      </c>
      <c r="C139" s="7" t="s">
        <v>845</v>
      </c>
      <c r="D139" s="7" t="s">
        <v>846</v>
      </c>
      <c r="E139" s="7" t="s">
        <v>154</v>
      </c>
      <c r="F139" s="7" t="s">
        <v>847</v>
      </c>
      <c r="G139" s="7" t="s">
        <v>848</v>
      </c>
      <c r="H139" s="7" t="s">
        <v>153</v>
      </c>
      <c r="I139" s="7">
        <v>4</v>
      </c>
      <c r="J139" s="7" t="s">
        <v>157</v>
      </c>
      <c r="K139" s="7" t="s">
        <v>184</v>
      </c>
      <c r="L139" s="7" t="s">
        <v>849</v>
      </c>
      <c r="M139" s="7" t="s">
        <v>177</v>
      </c>
      <c r="N139" s="7" t="s">
        <v>161</v>
      </c>
    </row>
    <row r="140" spans="1:14" ht="14.25">
      <c r="A140" s="7" t="s">
        <v>850</v>
      </c>
      <c r="B140" s="7" t="s">
        <v>315</v>
      </c>
      <c r="C140" s="7" t="s">
        <v>850</v>
      </c>
      <c r="D140" s="7" t="s">
        <v>153</v>
      </c>
      <c r="E140" s="7" t="s">
        <v>154</v>
      </c>
      <c r="F140" s="7" t="s">
        <v>851</v>
      </c>
      <c r="G140" s="7" t="s">
        <v>852</v>
      </c>
      <c r="H140" s="7" t="s">
        <v>153</v>
      </c>
      <c r="I140" s="7">
        <v>3</v>
      </c>
      <c r="J140" s="7" t="s">
        <v>157</v>
      </c>
      <c r="K140" s="7" t="s">
        <v>168</v>
      </c>
      <c r="L140" s="7" t="s">
        <v>169</v>
      </c>
      <c r="M140" s="7" t="s">
        <v>192</v>
      </c>
      <c r="N140" s="7" t="s">
        <v>161</v>
      </c>
    </row>
    <row r="141" spans="1:14" ht="14.25">
      <c r="A141" s="7" t="s">
        <v>857</v>
      </c>
      <c r="B141" s="7" t="s">
        <v>858</v>
      </c>
      <c r="C141" s="7" t="s">
        <v>187</v>
      </c>
      <c r="D141" s="7">
        <v>13.551</v>
      </c>
      <c r="E141" s="7" t="s">
        <v>154</v>
      </c>
      <c r="F141" s="7" t="s">
        <v>859</v>
      </c>
      <c r="G141" s="7" t="s">
        <v>860</v>
      </c>
      <c r="H141" s="7" t="s">
        <v>153</v>
      </c>
      <c r="I141" s="7">
        <v>3</v>
      </c>
      <c r="J141" s="7" t="s">
        <v>157</v>
      </c>
      <c r="K141" s="7" t="s">
        <v>184</v>
      </c>
      <c r="L141" s="7" t="s">
        <v>169</v>
      </c>
      <c r="M141" s="7" t="s">
        <v>192</v>
      </c>
      <c r="N141" s="7" t="s">
        <v>161</v>
      </c>
    </row>
    <row r="142" spans="1:14" ht="14.25">
      <c r="A142" s="7" t="s">
        <v>861</v>
      </c>
      <c r="B142" s="7" t="s">
        <v>862</v>
      </c>
      <c r="C142" s="7" t="s">
        <v>187</v>
      </c>
      <c r="D142" s="7" t="s">
        <v>863</v>
      </c>
      <c r="E142" s="7" t="s">
        <v>154</v>
      </c>
      <c r="F142" s="7" t="s">
        <v>864</v>
      </c>
      <c r="G142" s="7" t="s">
        <v>865</v>
      </c>
      <c r="H142" s="7" t="s">
        <v>153</v>
      </c>
      <c r="I142" s="7">
        <v>3</v>
      </c>
      <c r="J142" s="7" t="s">
        <v>157</v>
      </c>
      <c r="K142" s="7" t="s">
        <v>184</v>
      </c>
      <c r="L142" s="7" t="s">
        <v>169</v>
      </c>
      <c r="M142" s="7" t="s">
        <v>192</v>
      </c>
      <c r="N142" s="7" t="s">
        <v>161</v>
      </c>
    </row>
    <row r="143" spans="1:14" ht="14.25">
      <c r="A143" s="7" t="s">
        <v>870</v>
      </c>
      <c r="B143" s="7" t="s">
        <v>612</v>
      </c>
      <c r="C143" s="7" t="s">
        <v>871</v>
      </c>
      <c r="D143" s="7" t="s">
        <v>153</v>
      </c>
      <c r="E143" s="7" t="s">
        <v>154</v>
      </c>
      <c r="F143" s="7" t="s">
        <v>872</v>
      </c>
      <c r="G143" s="7" t="s">
        <v>873</v>
      </c>
      <c r="H143" s="7" t="s">
        <v>153</v>
      </c>
      <c r="I143" s="7">
        <v>4</v>
      </c>
      <c r="J143" s="7" t="s">
        <v>157</v>
      </c>
      <c r="K143" s="7" t="s">
        <v>168</v>
      </c>
      <c r="L143" s="7" t="s">
        <v>169</v>
      </c>
      <c r="M143" s="7" t="s">
        <v>192</v>
      </c>
      <c r="N143" s="7" t="s">
        <v>161</v>
      </c>
    </row>
    <row r="144" spans="1:14" ht="14.25">
      <c r="A144" s="7" t="s">
        <v>874</v>
      </c>
      <c r="B144" s="7" t="s">
        <v>875</v>
      </c>
      <c r="C144" s="7" t="s">
        <v>876</v>
      </c>
      <c r="D144" s="7" t="s">
        <v>153</v>
      </c>
      <c r="E144" s="7" t="s">
        <v>154</v>
      </c>
      <c r="F144" s="7" t="s">
        <v>877</v>
      </c>
      <c r="G144" s="7" t="s">
        <v>878</v>
      </c>
      <c r="H144" s="7" t="s">
        <v>153</v>
      </c>
      <c r="I144" s="7">
        <v>5</v>
      </c>
      <c r="J144" s="7" t="s">
        <v>157</v>
      </c>
      <c r="K144" s="7" t="s">
        <v>168</v>
      </c>
      <c r="L144" s="7" t="s">
        <v>169</v>
      </c>
      <c r="M144" s="7" t="s">
        <v>170</v>
      </c>
      <c r="N144" s="7" t="s">
        <v>161</v>
      </c>
    </row>
    <row r="145" spans="1:14" ht="14.25">
      <c r="A145" s="7" t="s">
        <v>879</v>
      </c>
      <c r="B145" s="7" t="s">
        <v>880</v>
      </c>
      <c r="C145" s="7" t="s">
        <v>876</v>
      </c>
      <c r="D145" s="7" t="s">
        <v>153</v>
      </c>
      <c r="E145" s="7" t="s">
        <v>154</v>
      </c>
      <c r="F145" s="7" t="s">
        <v>881</v>
      </c>
      <c r="G145" s="7" t="s">
        <v>882</v>
      </c>
      <c r="H145" s="7" t="s">
        <v>883</v>
      </c>
      <c r="I145" s="7">
        <v>5</v>
      </c>
      <c r="J145" s="7" t="s">
        <v>157</v>
      </c>
      <c r="K145" s="7" t="s">
        <v>168</v>
      </c>
      <c r="L145" s="7" t="s">
        <v>169</v>
      </c>
      <c r="M145" s="7" t="s">
        <v>170</v>
      </c>
      <c r="N145" s="7" t="s">
        <v>161</v>
      </c>
    </row>
    <row r="146" spans="1:14" ht="14.25">
      <c r="A146" s="7" t="s">
        <v>884</v>
      </c>
      <c r="B146" s="7" t="s">
        <v>884</v>
      </c>
      <c r="C146" s="7" t="s">
        <v>885</v>
      </c>
      <c r="D146" s="7" t="s">
        <v>153</v>
      </c>
      <c r="E146" s="7" t="s">
        <v>154</v>
      </c>
      <c r="F146" s="7" t="s">
        <v>886</v>
      </c>
      <c r="G146" s="7" t="s">
        <v>887</v>
      </c>
      <c r="H146" s="7" t="s">
        <v>153</v>
      </c>
      <c r="I146" s="7">
        <v>5</v>
      </c>
      <c r="J146" s="7" t="s">
        <v>157</v>
      </c>
      <c r="K146" s="7" t="s">
        <v>168</v>
      </c>
      <c r="L146" s="7" t="s">
        <v>169</v>
      </c>
      <c r="M146" s="7" t="s">
        <v>192</v>
      </c>
      <c r="N146" s="7" t="s">
        <v>161</v>
      </c>
    </row>
    <row r="147" spans="1:14" ht="14.25">
      <c r="A147" s="7" t="s">
        <v>888</v>
      </c>
      <c r="B147" s="7" t="s">
        <v>889</v>
      </c>
      <c r="C147" s="7" t="s">
        <v>890</v>
      </c>
      <c r="D147" s="7" t="s">
        <v>891</v>
      </c>
      <c r="E147" s="7" t="s">
        <v>154</v>
      </c>
      <c r="F147" s="7" t="s">
        <v>892</v>
      </c>
      <c r="G147" s="7" t="s">
        <v>893</v>
      </c>
      <c r="H147" s="7" t="s">
        <v>153</v>
      </c>
      <c r="I147" s="7">
        <v>3</v>
      </c>
      <c r="J147" s="7" t="s">
        <v>894</v>
      </c>
      <c r="K147" s="7" t="s">
        <v>184</v>
      </c>
      <c r="L147" s="7" t="s">
        <v>523</v>
      </c>
      <c r="M147" s="7" t="s">
        <v>895</v>
      </c>
      <c r="N147" s="7" t="s">
        <v>161</v>
      </c>
    </row>
    <row r="148" spans="1:14" ht="14.25">
      <c r="A148" s="7" t="s">
        <v>900</v>
      </c>
      <c r="B148" s="7" t="s">
        <v>901</v>
      </c>
      <c r="C148" s="7" t="s">
        <v>226</v>
      </c>
      <c r="D148" s="7">
        <v>3.1429999999999998</v>
      </c>
      <c r="E148" s="7" t="s">
        <v>154</v>
      </c>
      <c r="F148" s="7" t="s">
        <v>902</v>
      </c>
      <c r="G148" s="7" t="s">
        <v>903</v>
      </c>
      <c r="H148" s="7" t="s">
        <v>153</v>
      </c>
      <c r="I148" s="7">
        <v>3</v>
      </c>
      <c r="J148" s="7" t="s">
        <v>157</v>
      </c>
      <c r="K148" s="7" t="s">
        <v>191</v>
      </c>
      <c r="L148" s="7" t="s">
        <v>169</v>
      </c>
      <c r="M148" s="7" t="s">
        <v>192</v>
      </c>
      <c r="N148" s="7" t="s">
        <v>161</v>
      </c>
    </row>
    <row r="149" spans="1:14" ht="14.25">
      <c r="A149" s="7" t="s">
        <v>904</v>
      </c>
      <c r="B149" s="7" t="s">
        <v>905</v>
      </c>
      <c r="C149" s="7" t="s">
        <v>906</v>
      </c>
      <c r="D149" s="7" t="s">
        <v>153</v>
      </c>
      <c r="E149" s="7" t="s">
        <v>154</v>
      </c>
      <c r="F149" s="7" t="s">
        <v>907</v>
      </c>
      <c r="G149" s="7" t="s">
        <v>908</v>
      </c>
      <c r="H149" s="7" t="s">
        <v>153</v>
      </c>
      <c r="I149" s="7">
        <v>3</v>
      </c>
      <c r="J149" s="7" t="s">
        <v>157</v>
      </c>
      <c r="K149" s="7" t="s">
        <v>146</v>
      </c>
      <c r="L149" s="7" t="s">
        <v>169</v>
      </c>
      <c r="M149" s="7" t="s">
        <v>192</v>
      </c>
      <c r="N149" s="7" t="s">
        <v>161</v>
      </c>
    </row>
    <row r="150" spans="1:14" ht="14.25">
      <c r="A150" s="7" t="s">
        <v>909</v>
      </c>
      <c r="B150" s="7" t="s">
        <v>910</v>
      </c>
      <c r="C150" s="7" t="s">
        <v>247</v>
      </c>
      <c r="D150" s="7" t="s">
        <v>911</v>
      </c>
      <c r="E150" s="7" t="s">
        <v>154</v>
      </c>
      <c r="F150" s="7" t="s">
        <v>912</v>
      </c>
      <c r="G150" s="7" t="s">
        <v>913</v>
      </c>
      <c r="H150" s="7" t="s">
        <v>153</v>
      </c>
      <c r="I150" s="7">
        <v>3</v>
      </c>
      <c r="J150" s="7" t="s">
        <v>914</v>
      </c>
      <c r="K150" s="7" t="s">
        <v>184</v>
      </c>
      <c r="L150" s="7" t="s">
        <v>915</v>
      </c>
      <c r="M150" s="7" t="s">
        <v>895</v>
      </c>
      <c r="N150" s="7" t="s">
        <v>161</v>
      </c>
    </row>
    <row r="151" spans="1:14" ht="14.25">
      <c r="A151" s="7" t="s">
        <v>916</v>
      </c>
      <c r="B151" s="7" t="s">
        <v>917</v>
      </c>
      <c r="C151" s="7" t="s">
        <v>732</v>
      </c>
      <c r="D151" s="7" t="s">
        <v>153</v>
      </c>
      <c r="E151" s="7" t="s">
        <v>154</v>
      </c>
      <c r="F151" s="7" t="s">
        <v>918</v>
      </c>
      <c r="G151" s="7" t="s">
        <v>919</v>
      </c>
      <c r="H151" s="7" t="s">
        <v>153</v>
      </c>
      <c r="I151" s="7">
        <v>3</v>
      </c>
      <c r="J151" s="7" t="s">
        <v>157</v>
      </c>
      <c r="K151" s="7" t="s">
        <v>209</v>
      </c>
      <c r="L151" s="7" t="s">
        <v>169</v>
      </c>
      <c r="M151" s="7" t="s">
        <v>750</v>
      </c>
      <c r="N151" s="7" t="s">
        <v>161</v>
      </c>
    </row>
    <row r="152" spans="1:14" ht="14.25">
      <c r="A152" s="7" t="s">
        <v>920</v>
      </c>
      <c r="B152" s="7" t="s">
        <v>921</v>
      </c>
      <c r="C152" s="7" t="s">
        <v>922</v>
      </c>
      <c r="D152" s="7" t="s">
        <v>153</v>
      </c>
      <c r="E152" s="7" t="s">
        <v>154</v>
      </c>
      <c r="F152" s="7" t="s">
        <v>923</v>
      </c>
      <c r="G152" s="7" t="s">
        <v>924</v>
      </c>
      <c r="H152" s="7" t="s">
        <v>153</v>
      </c>
      <c r="I152" s="7">
        <v>4</v>
      </c>
      <c r="J152" s="7" t="s">
        <v>157</v>
      </c>
      <c r="K152" s="7" t="s">
        <v>168</v>
      </c>
      <c r="L152" s="7" t="s">
        <v>169</v>
      </c>
      <c r="M152" s="7" t="s">
        <v>192</v>
      </c>
      <c r="N152" s="7" t="s">
        <v>161</v>
      </c>
    </row>
    <row r="153" spans="1:14" ht="14.25">
      <c r="A153" s="7" t="s">
        <v>925</v>
      </c>
      <c r="B153" s="7" t="s">
        <v>926</v>
      </c>
      <c r="C153" s="7" t="s">
        <v>927</v>
      </c>
      <c r="D153" s="7" t="s">
        <v>891</v>
      </c>
      <c r="E153" s="7" t="s">
        <v>154</v>
      </c>
      <c r="F153" s="7" t="s">
        <v>928</v>
      </c>
      <c r="G153" s="7" t="s">
        <v>929</v>
      </c>
      <c r="H153" s="7" t="s">
        <v>153</v>
      </c>
      <c r="I153" s="7">
        <v>5</v>
      </c>
      <c r="J153" s="7" t="s">
        <v>157</v>
      </c>
      <c r="K153" s="7" t="s">
        <v>146</v>
      </c>
      <c r="L153" s="7" t="s">
        <v>169</v>
      </c>
      <c r="M153" s="7" t="s">
        <v>192</v>
      </c>
      <c r="N153" s="7" t="s">
        <v>161</v>
      </c>
    </row>
    <row r="154" spans="1:14" ht="14.25">
      <c r="A154" s="7" t="s">
        <v>930</v>
      </c>
      <c r="B154" s="7" t="s">
        <v>931</v>
      </c>
      <c r="C154" s="7" t="s">
        <v>932</v>
      </c>
      <c r="D154" s="7" t="s">
        <v>153</v>
      </c>
      <c r="E154" s="7" t="s">
        <v>154</v>
      </c>
      <c r="F154" s="7" t="s">
        <v>933</v>
      </c>
      <c r="G154" s="7" t="s">
        <v>934</v>
      </c>
      <c r="H154" s="7" t="s">
        <v>153</v>
      </c>
      <c r="I154" s="7">
        <v>4</v>
      </c>
      <c r="J154" s="7" t="s">
        <v>157</v>
      </c>
      <c r="K154" s="7" t="s">
        <v>146</v>
      </c>
      <c r="L154" s="7" t="s">
        <v>169</v>
      </c>
      <c r="M154" s="7" t="s">
        <v>192</v>
      </c>
      <c r="N154" s="7" t="s">
        <v>161</v>
      </c>
    </row>
    <row r="155" spans="1:14" ht="14.25">
      <c r="A155" s="7" t="s">
        <v>935</v>
      </c>
      <c r="B155" s="7" t="s">
        <v>936</v>
      </c>
      <c r="C155" s="7" t="s">
        <v>180</v>
      </c>
      <c r="D155" s="7">
        <v>0.4</v>
      </c>
      <c r="E155" s="7" t="s">
        <v>154</v>
      </c>
      <c r="F155" s="7" t="s">
        <v>937</v>
      </c>
      <c r="G155" s="7" t="s">
        <v>938</v>
      </c>
      <c r="H155" s="7" t="s">
        <v>939</v>
      </c>
      <c r="I155" s="7">
        <v>5</v>
      </c>
      <c r="J155" s="7" t="s">
        <v>157</v>
      </c>
      <c r="K155" s="7" t="s">
        <v>223</v>
      </c>
      <c r="L155" s="7" t="s">
        <v>169</v>
      </c>
      <c r="M155" s="7" t="s">
        <v>170</v>
      </c>
      <c r="N155" s="7" t="s">
        <v>161</v>
      </c>
    </row>
    <row r="156" spans="1:14" ht="14.25">
      <c r="A156" s="7" t="s">
        <v>940</v>
      </c>
      <c r="B156" s="7" t="s">
        <v>941</v>
      </c>
      <c r="C156" s="7" t="s">
        <v>180</v>
      </c>
      <c r="D156" s="7">
        <v>0.45</v>
      </c>
      <c r="E156" s="7" t="s">
        <v>154</v>
      </c>
      <c r="F156" s="7" t="s">
        <v>942</v>
      </c>
      <c r="G156" s="7" t="s">
        <v>943</v>
      </c>
      <c r="H156" s="7" t="s">
        <v>944</v>
      </c>
      <c r="I156" s="7">
        <v>5</v>
      </c>
      <c r="J156" s="7" t="s">
        <v>157</v>
      </c>
      <c r="K156" s="7" t="s">
        <v>223</v>
      </c>
      <c r="L156" s="7" t="s">
        <v>169</v>
      </c>
      <c r="M156" s="7" t="s">
        <v>170</v>
      </c>
      <c r="N156" s="7" t="s">
        <v>161</v>
      </c>
    </row>
    <row r="157" spans="1:14" ht="14.25">
      <c r="A157" s="7" t="s">
        <v>945</v>
      </c>
      <c r="B157" s="7" t="s">
        <v>946</v>
      </c>
      <c r="C157" s="7" t="s">
        <v>947</v>
      </c>
      <c r="D157" s="7">
        <v>0.4</v>
      </c>
      <c r="E157" s="7" t="s">
        <v>154</v>
      </c>
      <c r="F157" s="7" t="s">
        <v>948</v>
      </c>
      <c r="G157" s="7" t="s">
        <v>949</v>
      </c>
      <c r="H157" s="7" t="s">
        <v>950</v>
      </c>
      <c r="I157" s="7">
        <v>5</v>
      </c>
      <c r="J157" s="7" t="s">
        <v>157</v>
      </c>
      <c r="K157" s="7" t="s">
        <v>223</v>
      </c>
      <c r="L157" s="7" t="s">
        <v>169</v>
      </c>
      <c r="M157" s="7" t="s">
        <v>170</v>
      </c>
      <c r="N157" s="7" t="s">
        <v>161</v>
      </c>
    </row>
    <row r="158" spans="1:14" ht="14.25">
      <c r="A158" s="7" t="s">
        <v>951</v>
      </c>
      <c r="B158" s="7" t="s">
        <v>696</v>
      </c>
      <c r="C158" s="7" t="s">
        <v>952</v>
      </c>
      <c r="D158" s="7" t="s">
        <v>153</v>
      </c>
      <c r="E158" s="7" t="s">
        <v>154</v>
      </c>
      <c r="F158" s="7" t="s">
        <v>953</v>
      </c>
      <c r="G158" s="7" t="s">
        <v>954</v>
      </c>
      <c r="H158" s="7" t="s">
        <v>153</v>
      </c>
      <c r="I158" s="7">
        <v>4</v>
      </c>
      <c r="J158" s="7" t="s">
        <v>157</v>
      </c>
      <c r="K158" s="7" t="s">
        <v>146</v>
      </c>
      <c r="L158" s="7" t="s">
        <v>955</v>
      </c>
      <c r="M158" s="7" t="s">
        <v>177</v>
      </c>
      <c r="N158" s="7" t="s">
        <v>161</v>
      </c>
    </row>
    <row r="159" spans="1:14" ht="14.25">
      <c r="A159" s="7" t="s">
        <v>956</v>
      </c>
      <c r="B159" s="7" t="s">
        <v>696</v>
      </c>
      <c r="C159" s="7" t="s">
        <v>957</v>
      </c>
      <c r="D159" s="7" t="s">
        <v>153</v>
      </c>
      <c r="E159" s="7" t="s">
        <v>154</v>
      </c>
      <c r="F159" s="7" t="s">
        <v>958</v>
      </c>
      <c r="G159" s="7" t="s">
        <v>959</v>
      </c>
      <c r="H159" s="7" t="s">
        <v>153</v>
      </c>
      <c r="I159" s="7">
        <v>4</v>
      </c>
      <c r="J159" s="7" t="s">
        <v>157</v>
      </c>
      <c r="K159" s="7" t="s">
        <v>168</v>
      </c>
      <c r="L159" s="7" t="s">
        <v>960</v>
      </c>
      <c r="M159" s="7" t="s">
        <v>177</v>
      </c>
      <c r="N159" s="7" t="s">
        <v>161</v>
      </c>
    </row>
    <row r="160" spans="1:14" ht="14.25">
      <c r="A160" s="7" t="s">
        <v>961</v>
      </c>
      <c r="B160" s="7" t="s">
        <v>962</v>
      </c>
      <c r="C160" s="7" t="s">
        <v>963</v>
      </c>
      <c r="D160" s="7" t="s">
        <v>153</v>
      </c>
      <c r="E160" s="7" t="s">
        <v>154</v>
      </c>
      <c r="F160" s="7" t="s">
        <v>964</v>
      </c>
      <c r="G160" s="7" t="s">
        <v>965</v>
      </c>
      <c r="H160" s="7" t="s">
        <v>153</v>
      </c>
      <c r="I160" s="7">
        <v>4</v>
      </c>
      <c r="J160" s="7" t="s">
        <v>157</v>
      </c>
      <c r="K160" s="7" t="s">
        <v>168</v>
      </c>
      <c r="L160" s="7" t="s">
        <v>169</v>
      </c>
      <c r="M160" s="7" t="s">
        <v>192</v>
      </c>
      <c r="N160" s="7" t="s">
        <v>161</v>
      </c>
    </row>
    <row r="161" spans="1:14" ht="14.25">
      <c r="A161" s="7" t="s">
        <v>966</v>
      </c>
      <c r="B161" s="7" t="s">
        <v>967</v>
      </c>
      <c r="C161" s="7" t="s">
        <v>968</v>
      </c>
      <c r="D161" s="7" t="s">
        <v>153</v>
      </c>
      <c r="E161" s="7" t="s">
        <v>154</v>
      </c>
      <c r="F161" s="7" t="s">
        <v>969</v>
      </c>
      <c r="G161" s="7" t="s">
        <v>970</v>
      </c>
      <c r="H161" s="7" t="s">
        <v>153</v>
      </c>
      <c r="I161" s="7">
        <v>3</v>
      </c>
      <c r="J161" s="7" t="s">
        <v>971</v>
      </c>
      <c r="K161" s="7" t="s">
        <v>146</v>
      </c>
      <c r="L161" s="7" t="s">
        <v>169</v>
      </c>
      <c r="M161" s="7" t="s">
        <v>338</v>
      </c>
      <c r="N161" s="7" t="s">
        <v>161</v>
      </c>
    </row>
    <row r="162" spans="1:14" ht="14.25">
      <c r="A162" s="7" t="s">
        <v>976</v>
      </c>
      <c r="B162" s="7" t="s">
        <v>977</v>
      </c>
      <c r="C162" s="7" t="s">
        <v>978</v>
      </c>
      <c r="D162" s="7">
        <v>1.9</v>
      </c>
      <c r="E162" s="7" t="s">
        <v>154</v>
      </c>
      <c r="F162" s="7" t="s">
        <v>979</v>
      </c>
      <c r="G162" s="7" t="s">
        <v>980</v>
      </c>
      <c r="H162" s="7" t="s">
        <v>153</v>
      </c>
      <c r="I162" s="7">
        <v>3</v>
      </c>
      <c r="J162" s="7" t="s">
        <v>157</v>
      </c>
      <c r="K162" s="7" t="s">
        <v>184</v>
      </c>
      <c r="L162" s="7" t="s">
        <v>169</v>
      </c>
      <c r="M162" s="7" t="s">
        <v>192</v>
      </c>
      <c r="N162" s="7" t="s">
        <v>161</v>
      </c>
    </row>
    <row r="163" spans="1:14" ht="14.25">
      <c r="A163" s="7" t="s">
        <v>981</v>
      </c>
      <c r="B163" s="7" t="s">
        <v>982</v>
      </c>
      <c r="C163" s="7" t="s">
        <v>983</v>
      </c>
      <c r="D163" s="7" t="s">
        <v>153</v>
      </c>
      <c r="E163" s="7" t="s">
        <v>154</v>
      </c>
      <c r="F163" s="7" t="s">
        <v>984</v>
      </c>
      <c r="G163" s="7" t="s">
        <v>985</v>
      </c>
      <c r="H163" s="7" t="s">
        <v>153</v>
      </c>
      <c r="I163" s="7">
        <v>4</v>
      </c>
      <c r="J163" s="7" t="s">
        <v>157</v>
      </c>
      <c r="K163" s="7" t="s">
        <v>146</v>
      </c>
      <c r="L163" s="7" t="s">
        <v>169</v>
      </c>
      <c r="M163" s="7" t="s">
        <v>192</v>
      </c>
      <c r="N163" s="7" t="s">
        <v>161</v>
      </c>
    </row>
    <row r="164" spans="1:14" ht="14.25">
      <c r="A164" s="7" t="s">
        <v>986</v>
      </c>
      <c r="B164" s="7" t="s">
        <v>987</v>
      </c>
      <c r="C164" s="7" t="s">
        <v>988</v>
      </c>
      <c r="D164" s="7" t="s">
        <v>153</v>
      </c>
      <c r="E164" s="7" t="s">
        <v>154</v>
      </c>
      <c r="F164" s="7" t="s">
        <v>989</v>
      </c>
      <c r="G164" s="7" t="s">
        <v>990</v>
      </c>
      <c r="H164" s="7" t="s">
        <v>153</v>
      </c>
      <c r="I164" s="7">
        <v>4</v>
      </c>
      <c r="J164" s="7" t="s">
        <v>157</v>
      </c>
      <c r="K164" s="7" t="s">
        <v>146</v>
      </c>
      <c r="L164" s="7" t="s">
        <v>169</v>
      </c>
      <c r="M164" s="7" t="s">
        <v>170</v>
      </c>
      <c r="N164" s="7" t="s">
        <v>161</v>
      </c>
    </row>
    <row r="165" spans="1:14" ht="14.25">
      <c r="A165" s="7" t="s">
        <v>991</v>
      </c>
      <c r="B165" s="7" t="s">
        <v>992</v>
      </c>
      <c r="C165" s="7" t="s">
        <v>993</v>
      </c>
      <c r="D165" s="7" t="s">
        <v>153</v>
      </c>
      <c r="E165" s="7" t="s">
        <v>154</v>
      </c>
      <c r="F165" s="7" t="s">
        <v>994</v>
      </c>
      <c r="G165" s="7" t="s">
        <v>995</v>
      </c>
      <c r="H165" s="7" t="s">
        <v>153</v>
      </c>
      <c r="I165" s="7">
        <v>4</v>
      </c>
      <c r="J165" s="7" t="s">
        <v>157</v>
      </c>
      <c r="K165" s="7" t="s">
        <v>146</v>
      </c>
      <c r="L165" s="7" t="s">
        <v>169</v>
      </c>
      <c r="M165" s="7" t="s">
        <v>192</v>
      </c>
      <c r="N165" s="7" t="s">
        <v>161</v>
      </c>
    </row>
    <row r="166" spans="1:14" ht="14.25">
      <c r="A166" s="7" t="s">
        <v>996</v>
      </c>
      <c r="B166" s="7" t="s">
        <v>997</v>
      </c>
      <c r="C166" s="7" t="s">
        <v>998</v>
      </c>
      <c r="D166" s="7" t="s">
        <v>153</v>
      </c>
      <c r="E166" s="7" t="s">
        <v>154</v>
      </c>
      <c r="F166" s="7" t="s">
        <v>999</v>
      </c>
      <c r="G166" s="7" t="s">
        <v>1000</v>
      </c>
      <c r="H166" s="7" t="s">
        <v>153</v>
      </c>
      <c r="I166" s="7">
        <v>4</v>
      </c>
      <c r="J166" s="7" t="s">
        <v>157</v>
      </c>
      <c r="K166" s="7" t="s">
        <v>203</v>
      </c>
      <c r="L166" s="7" t="s">
        <v>169</v>
      </c>
      <c r="M166" s="7" t="s">
        <v>192</v>
      </c>
      <c r="N166" s="7" t="s">
        <v>161</v>
      </c>
    </row>
    <row r="167" spans="1:14" ht="14.25">
      <c r="A167" s="7" t="s">
        <v>1001</v>
      </c>
      <c r="B167" s="7" t="s">
        <v>1002</v>
      </c>
      <c r="C167" s="7" t="s">
        <v>506</v>
      </c>
      <c r="D167" s="7" t="s">
        <v>153</v>
      </c>
      <c r="E167" s="7" t="s">
        <v>154</v>
      </c>
      <c r="F167" s="7" t="s">
        <v>1003</v>
      </c>
      <c r="G167" s="7" t="s">
        <v>1004</v>
      </c>
      <c r="H167" s="7" t="s">
        <v>153</v>
      </c>
      <c r="I167" s="7">
        <v>3</v>
      </c>
      <c r="J167" s="7" t="s">
        <v>157</v>
      </c>
      <c r="K167" s="7" t="s">
        <v>168</v>
      </c>
      <c r="L167" s="7" t="s">
        <v>169</v>
      </c>
      <c r="M167" s="7" t="s">
        <v>192</v>
      </c>
      <c r="N167" s="7" t="s">
        <v>161</v>
      </c>
    </row>
    <row r="168" spans="1:14" ht="14.25">
      <c r="A168" s="7" t="s">
        <v>1005</v>
      </c>
      <c r="B168" s="7" t="s">
        <v>1006</v>
      </c>
      <c r="C168" s="7" t="s">
        <v>238</v>
      </c>
      <c r="D168" s="7">
        <v>3.1040000000000001</v>
      </c>
      <c r="E168" s="7" t="s">
        <v>154</v>
      </c>
      <c r="F168" s="7" t="s">
        <v>1007</v>
      </c>
      <c r="G168" s="7" t="s">
        <v>1008</v>
      </c>
      <c r="H168" s="7" t="s">
        <v>153</v>
      </c>
      <c r="I168" s="7">
        <v>4</v>
      </c>
      <c r="J168" s="7" t="s">
        <v>157</v>
      </c>
      <c r="K168" s="7" t="s">
        <v>146</v>
      </c>
      <c r="L168" s="7" t="s">
        <v>1009</v>
      </c>
      <c r="M168" s="7" t="s">
        <v>177</v>
      </c>
      <c r="N168" s="7" t="s">
        <v>161</v>
      </c>
    </row>
  </sheetData>
  <autoFilter ref="A1:N168" xr:uid="{00000000-0001-0000-02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59573-F3FB-41EA-A34E-1C3A4FA15373}">
  <dimension ref="A1:H457"/>
  <sheetViews>
    <sheetView workbookViewId="0">
      <pane ySplit="1" topLeftCell="A2" activePane="bottomLeft" state="frozen"/>
      <selection pane="bottomLeft" activeCell="C10" sqref="C10"/>
    </sheetView>
  </sheetViews>
  <sheetFormatPr defaultRowHeight="14.25"/>
  <cols>
    <col min="1" max="1" width="9" style="34"/>
    <col min="2" max="2" width="58" style="34" bestFit="1" customWidth="1"/>
    <col min="3" max="3" width="78.375" style="34" bestFit="1" customWidth="1"/>
    <col min="4" max="4" width="15.4375" style="34" bestFit="1" customWidth="1"/>
    <col min="5" max="6" width="9" style="34"/>
    <col min="7" max="7" width="9" style="68"/>
    <col min="8" max="16384" width="9" style="34"/>
  </cols>
  <sheetData>
    <row r="1" spans="1:8">
      <c r="A1" s="66" t="s">
        <v>2</v>
      </c>
      <c r="B1" s="66" t="s">
        <v>28</v>
      </c>
      <c r="C1" s="66" t="s">
        <v>29</v>
      </c>
      <c r="D1" s="66" t="s">
        <v>12</v>
      </c>
      <c r="E1" s="66" t="s">
        <v>30</v>
      </c>
      <c r="F1" s="66"/>
      <c r="G1" s="67" t="s">
        <v>31</v>
      </c>
      <c r="H1" s="66" t="s">
        <v>32</v>
      </c>
    </row>
    <row r="2" spans="1:8">
      <c r="A2" s="34" t="s">
        <v>1088</v>
      </c>
      <c r="B2" s="34" t="s">
        <v>46</v>
      </c>
      <c r="C2" s="34" t="s">
        <v>34</v>
      </c>
      <c r="D2" s="34" t="s">
        <v>14</v>
      </c>
      <c r="E2" s="34">
        <v>0</v>
      </c>
      <c r="F2" s="34">
        <v>0</v>
      </c>
    </row>
    <row r="3" spans="1:8">
      <c r="A3" s="34" t="s">
        <v>1088</v>
      </c>
      <c r="B3" s="34" t="s">
        <v>46</v>
      </c>
      <c r="C3" s="34" t="s">
        <v>35</v>
      </c>
      <c r="D3" s="34" t="s">
        <v>15</v>
      </c>
      <c r="E3" s="34">
        <v>0</v>
      </c>
      <c r="F3" s="34">
        <v>0</v>
      </c>
    </row>
    <row r="4" spans="1:8">
      <c r="A4" s="34" t="s">
        <v>1088</v>
      </c>
      <c r="B4" s="34" t="s">
        <v>46</v>
      </c>
      <c r="C4" s="34" t="s">
        <v>36</v>
      </c>
      <c r="D4" s="34" t="s">
        <v>16</v>
      </c>
      <c r="E4" s="34">
        <v>0</v>
      </c>
      <c r="F4" s="34">
        <v>0</v>
      </c>
    </row>
    <row r="5" spans="1:8">
      <c r="A5" s="34" t="s">
        <v>1088</v>
      </c>
      <c r="B5" s="34" t="s">
        <v>46</v>
      </c>
      <c r="C5" s="34" t="s">
        <v>37</v>
      </c>
      <c r="D5" s="34" t="s">
        <v>17</v>
      </c>
      <c r="E5" s="34">
        <v>0</v>
      </c>
      <c r="F5" s="34">
        <v>0</v>
      </c>
    </row>
    <row r="6" spans="1:8">
      <c r="A6" s="34" t="s">
        <v>1088</v>
      </c>
      <c r="B6" s="34" t="s">
        <v>46</v>
      </c>
      <c r="C6" s="34" t="s">
        <v>38</v>
      </c>
      <c r="D6" s="34" t="s">
        <v>18</v>
      </c>
      <c r="E6" s="34">
        <v>0</v>
      </c>
      <c r="F6" s="34">
        <v>0</v>
      </c>
    </row>
    <row r="7" spans="1:8">
      <c r="A7" s="34" t="s">
        <v>1088</v>
      </c>
      <c r="B7" s="34" t="s">
        <v>46</v>
      </c>
      <c r="C7" s="34" t="s">
        <v>39</v>
      </c>
      <c r="D7" s="34" t="s">
        <v>19</v>
      </c>
      <c r="E7" s="34">
        <v>0</v>
      </c>
      <c r="F7" s="34">
        <v>0</v>
      </c>
    </row>
    <row r="8" spans="1:8">
      <c r="A8" s="34" t="s">
        <v>1088</v>
      </c>
      <c r="B8" s="34" t="s">
        <v>46</v>
      </c>
      <c r="C8" s="34" t="s">
        <v>40</v>
      </c>
      <c r="D8" s="34" t="s">
        <v>20</v>
      </c>
      <c r="E8" s="34">
        <v>0</v>
      </c>
      <c r="F8" s="34">
        <v>0</v>
      </c>
    </row>
    <row r="9" spans="1:8">
      <c r="A9" s="34" t="s">
        <v>1088</v>
      </c>
      <c r="B9" s="34" t="s">
        <v>46</v>
      </c>
      <c r="C9" s="34" t="s">
        <v>40</v>
      </c>
      <c r="D9" s="34" t="s">
        <v>21</v>
      </c>
      <c r="E9" s="34">
        <v>0</v>
      </c>
      <c r="F9" s="34">
        <v>0</v>
      </c>
    </row>
    <row r="10" spans="1:8">
      <c r="A10" s="34" t="s">
        <v>1088</v>
      </c>
      <c r="B10" s="34" t="s">
        <v>46</v>
      </c>
      <c r="C10" s="34" t="s">
        <v>41</v>
      </c>
      <c r="D10" s="34" t="s">
        <v>22</v>
      </c>
      <c r="E10" s="34">
        <v>0</v>
      </c>
      <c r="F10" s="34">
        <v>0</v>
      </c>
    </row>
    <row r="11" spans="1:8">
      <c r="A11" s="34" t="s">
        <v>1088</v>
      </c>
      <c r="B11" s="34" t="s">
        <v>46</v>
      </c>
      <c r="C11" s="34" t="s">
        <v>42</v>
      </c>
      <c r="D11" s="34" t="s">
        <v>23</v>
      </c>
      <c r="E11" s="34">
        <v>0</v>
      </c>
      <c r="F11" s="34">
        <v>0</v>
      </c>
    </row>
    <row r="12" spans="1:8">
      <c r="A12" s="34" t="s">
        <v>1088</v>
      </c>
      <c r="B12" s="34" t="s">
        <v>46</v>
      </c>
      <c r="C12" s="34" t="s">
        <v>43</v>
      </c>
      <c r="D12" s="34" t="s">
        <v>24</v>
      </c>
      <c r="E12" s="34">
        <v>0</v>
      </c>
      <c r="F12" s="34">
        <v>0</v>
      </c>
    </row>
    <row r="13" spans="1:8">
      <c r="A13" s="34" t="s">
        <v>1088</v>
      </c>
      <c r="B13" s="34" t="s">
        <v>46</v>
      </c>
      <c r="C13" s="34" t="s">
        <v>44</v>
      </c>
      <c r="D13" s="34" t="s">
        <v>25</v>
      </c>
      <c r="E13" s="34">
        <v>0</v>
      </c>
      <c r="F13" s="34">
        <v>0</v>
      </c>
    </row>
    <row r="14" spans="1:8">
      <c r="A14" s="34" t="s">
        <v>1093</v>
      </c>
      <c r="B14" s="34" t="s">
        <v>56</v>
      </c>
      <c r="C14" s="34" t="s">
        <v>57</v>
      </c>
      <c r="D14" s="34" t="s">
        <v>14</v>
      </c>
      <c r="E14" s="34">
        <v>0</v>
      </c>
      <c r="F14" s="34">
        <v>0</v>
      </c>
    </row>
    <row r="15" spans="1:8">
      <c r="A15" s="34" t="s">
        <v>1093</v>
      </c>
      <c r="B15" s="34" t="s">
        <v>56</v>
      </c>
      <c r="C15" s="34" t="s">
        <v>35</v>
      </c>
      <c r="D15" s="34" t="s">
        <v>15</v>
      </c>
      <c r="E15" s="34">
        <v>0</v>
      </c>
      <c r="F15" s="34">
        <v>0</v>
      </c>
    </row>
    <row r="16" spans="1:8">
      <c r="A16" s="34" t="s">
        <v>1093</v>
      </c>
      <c r="B16" s="34" t="s">
        <v>56</v>
      </c>
      <c r="C16" s="34" t="s">
        <v>36</v>
      </c>
      <c r="D16" s="34" t="s">
        <v>16</v>
      </c>
      <c r="E16" s="34">
        <v>0</v>
      </c>
      <c r="F16" s="34">
        <v>0</v>
      </c>
    </row>
    <row r="17" spans="1:6">
      <c r="A17" s="34" t="s">
        <v>1093</v>
      </c>
      <c r="B17" s="34" t="s">
        <v>56</v>
      </c>
      <c r="C17" s="34" t="s">
        <v>37</v>
      </c>
      <c r="D17" s="34" t="s">
        <v>17</v>
      </c>
      <c r="E17" s="34">
        <v>0</v>
      </c>
      <c r="F17" s="34">
        <v>0</v>
      </c>
    </row>
    <row r="18" spans="1:6">
      <c r="A18" s="34" t="s">
        <v>1093</v>
      </c>
      <c r="B18" s="34" t="s">
        <v>56</v>
      </c>
      <c r="C18" s="34" t="s">
        <v>38</v>
      </c>
      <c r="D18" s="34" t="s">
        <v>18</v>
      </c>
      <c r="E18" s="34">
        <v>0</v>
      </c>
      <c r="F18" s="34">
        <v>0</v>
      </c>
    </row>
    <row r="19" spans="1:6">
      <c r="A19" s="34" t="s">
        <v>1093</v>
      </c>
      <c r="B19" s="34" t="s">
        <v>56</v>
      </c>
      <c r="C19" s="34" t="s">
        <v>39</v>
      </c>
      <c r="D19" s="34" t="s">
        <v>19</v>
      </c>
      <c r="E19" s="34">
        <v>0</v>
      </c>
      <c r="F19" s="34">
        <v>0</v>
      </c>
    </row>
    <row r="20" spans="1:6">
      <c r="A20" s="34" t="s">
        <v>1093</v>
      </c>
      <c r="B20" s="34" t="s">
        <v>56</v>
      </c>
      <c r="C20" s="34" t="s">
        <v>40</v>
      </c>
      <c r="D20" s="34" t="s">
        <v>20</v>
      </c>
      <c r="E20" s="34">
        <v>0</v>
      </c>
      <c r="F20" s="34">
        <v>0</v>
      </c>
    </row>
    <row r="21" spans="1:6">
      <c r="A21" s="34" t="s">
        <v>1093</v>
      </c>
      <c r="B21" s="34" t="s">
        <v>56</v>
      </c>
      <c r="C21" s="34" t="s">
        <v>40</v>
      </c>
      <c r="D21" s="34" t="s">
        <v>21</v>
      </c>
      <c r="E21" s="34">
        <v>0</v>
      </c>
      <c r="F21" s="34">
        <v>0</v>
      </c>
    </row>
    <row r="22" spans="1:6">
      <c r="A22" s="34" t="s">
        <v>1093</v>
      </c>
      <c r="B22" s="34" t="s">
        <v>56</v>
      </c>
      <c r="C22" s="34" t="s">
        <v>41</v>
      </c>
      <c r="D22" s="34" t="s">
        <v>22</v>
      </c>
      <c r="E22" s="34">
        <v>0</v>
      </c>
      <c r="F22" s="34">
        <v>0</v>
      </c>
    </row>
    <row r="23" spans="1:6">
      <c r="A23" s="34" t="s">
        <v>1093</v>
      </c>
      <c r="B23" s="34" t="s">
        <v>56</v>
      </c>
      <c r="C23" s="34" t="s">
        <v>42</v>
      </c>
      <c r="D23" s="34" t="s">
        <v>23</v>
      </c>
      <c r="E23" s="34">
        <v>0</v>
      </c>
      <c r="F23" s="34">
        <v>0</v>
      </c>
    </row>
    <row r="24" spans="1:6">
      <c r="A24" s="34" t="s">
        <v>1093</v>
      </c>
      <c r="B24" s="34" t="s">
        <v>56</v>
      </c>
      <c r="C24" s="34" t="s">
        <v>43</v>
      </c>
      <c r="D24" s="34" t="s">
        <v>24</v>
      </c>
      <c r="E24" s="34">
        <v>0</v>
      </c>
      <c r="F24" s="34">
        <v>0</v>
      </c>
    </row>
    <row r="25" spans="1:6">
      <c r="A25" s="34" t="s">
        <v>1093</v>
      </c>
      <c r="B25" s="34" t="s">
        <v>56</v>
      </c>
      <c r="C25" s="34" t="s">
        <v>44</v>
      </c>
      <c r="D25" s="34" t="s">
        <v>25</v>
      </c>
      <c r="E25" s="34">
        <v>0</v>
      </c>
      <c r="F25" s="34">
        <v>0</v>
      </c>
    </row>
    <row r="26" spans="1:6">
      <c r="A26" s="34" t="s">
        <v>1093</v>
      </c>
      <c r="B26" s="34" t="s">
        <v>81</v>
      </c>
      <c r="C26" s="34" t="s">
        <v>34</v>
      </c>
      <c r="D26" s="34" t="s">
        <v>14</v>
      </c>
      <c r="E26" s="34">
        <v>0</v>
      </c>
      <c r="F26" s="34">
        <v>0</v>
      </c>
    </row>
    <row r="27" spans="1:6">
      <c r="A27" s="34" t="s">
        <v>1093</v>
      </c>
      <c r="B27" s="34" t="s">
        <v>81</v>
      </c>
      <c r="C27" s="34" t="s">
        <v>35</v>
      </c>
      <c r="D27" s="34" t="s">
        <v>15</v>
      </c>
      <c r="E27" s="34">
        <v>0</v>
      </c>
      <c r="F27" s="34">
        <v>0</v>
      </c>
    </row>
    <row r="28" spans="1:6">
      <c r="A28" s="34" t="s">
        <v>1093</v>
      </c>
      <c r="B28" s="34" t="s">
        <v>81</v>
      </c>
      <c r="C28" s="34" t="s">
        <v>36</v>
      </c>
      <c r="D28" s="34" t="s">
        <v>16</v>
      </c>
      <c r="E28" s="34">
        <v>0</v>
      </c>
      <c r="F28" s="34">
        <v>0</v>
      </c>
    </row>
    <row r="29" spans="1:6">
      <c r="A29" s="34" t="s">
        <v>1093</v>
      </c>
      <c r="B29" s="34" t="s">
        <v>81</v>
      </c>
      <c r="C29" s="34" t="s">
        <v>37</v>
      </c>
      <c r="D29" s="34" t="s">
        <v>17</v>
      </c>
      <c r="E29" s="34">
        <v>0</v>
      </c>
      <c r="F29" s="34">
        <v>0</v>
      </c>
    </row>
    <row r="30" spans="1:6">
      <c r="A30" s="34" t="s">
        <v>1093</v>
      </c>
      <c r="B30" s="34" t="s">
        <v>81</v>
      </c>
      <c r="C30" s="34" t="s">
        <v>38</v>
      </c>
      <c r="D30" s="34" t="s">
        <v>18</v>
      </c>
      <c r="E30" s="34">
        <v>0</v>
      </c>
      <c r="F30" s="34">
        <v>0</v>
      </c>
    </row>
    <row r="31" spans="1:6">
      <c r="A31" s="34" t="s">
        <v>1093</v>
      </c>
      <c r="B31" s="34" t="s">
        <v>81</v>
      </c>
      <c r="C31" s="34" t="s">
        <v>39</v>
      </c>
      <c r="D31" s="34" t="s">
        <v>19</v>
      </c>
      <c r="E31" s="34">
        <v>0</v>
      </c>
      <c r="F31" s="34">
        <v>0</v>
      </c>
    </row>
    <row r="32" spans="1:6">
      <c r="A32" s="34" t="s">
        <v>1093</v>
      </c>
      <c r="B32" s="34" t="s">
        <v>81</v>
      </c>
      <c r="C32" s="34" t="s">
        <v>40</v>
      </c>
      <c r="D32" s="34" t="s">
        <v>20</v>
      </c>
      <c r="E32" s="34">
        <v>0</v>
      </c>
      <c r="F32" s="34">
        <v>0</v>
      </c>
    </row>
    <row r="33" spans="1:6">
      <c r="A33" s="34" t="s">
        <v>1093</v>
      </c>
      <c r="B33" s="34" t="s">
        <v>81</v>
      </c>
      <c r="C33" s="34" t="s">
        <v>40</v>
      </c>
      <c r="D33" s="34" t="s">
        <v>21</v>
      </c>
      <c r="E33" s="34">
        <v>0</v>
      </c>
      <c r="F33" s="34">
        <v>0</v>
      </c>
    </row>
    <row r="34" spans="1:6">
      <c r="A34" s="34" t="s">
        <v>1093</v>
      </c>
      <c r="B34" s="34" t="s">
        <v>81</v>
      </c>
      <c r="C34" s="34" t="s">
        <v>41</v>
      </c>
      <c r="D34" s="34" t="s">
        <v>22</v>
      </c>
      <c r="E34" s="34">
        <v>0</v>
      </c>
      <c r="F34" s="34">
        <v>0</v>
      </c>
    </row>
    <row r="35" spans="1:6">
      <c r="A35" s="34" t="s">
        <v>1093</v>
      </c>
      <c r="B35" s="34" t="s">
        <v>81</v>
      </c>
      <c r="C35" s="34" t="s">
        <v>42</v>
      </c>
      <c r="D35" s="34" t="s">
        <v>23</v>
      </c>
      <c r="E35" s="34">
        <v>0</v>
      </c>
      <c r="F35" s="34">
        <v>0</v>
      </c>
    </row>
    <row r="36" spans="1:6">
      <c r="A36" s="34" t="s">
        <v>1093</v>
      </c>
      <c r="B36" s="34" t="s">
        <v>81</v>
      </c>
      <c r="C36" s="34" t="s">
        <v>43</v>
      </c>
      <c r="D36" s="34" t="s">
        <v>24</v>
      </c>
      <c r="E36" s="34">
        <v>0</v>
      </c>
      <c r="F36" s="34">
        <v>0</v>
      </c>
    </row>
    <row r="37" spans="1:6">
      <c r="A37" s="34" t="s">
        <v>1093</v>
      </c>
      <c r="B37" s="34" t="s">
        <v>81</v>
      </c>
      <c r="C37" s="34" t="s">
        <v>44</v>
      </c>
      <c r="D37" s="34" t="s">
        <v>25</v>
      </c>
      <c r="E37" s="34">
        <v>0</v>
      </c>
      <c r="F37" s="34">
        <v>0</v>
      </c>
    </row>
    <row r="38" spans="1:6">
      <c r="A38" s="34" t="s">
        <v>1093</v>
      </c>
      <c r="B38" s="34" t="s">
        <v>88</v>
      </c>
      <c r="C38" s="34" t="s">
        <v>34</v>
      </c>
      <c r="D38" s="34" t="s">
        <v>14</v>
      </c>
      <c r="E38" s="34">
        <v>0</v>
      </c>
      <c r="F38" s="34">
        <v>0</v>
      </c>
    </row>
    <row r="39" spans="1:6">
      <c r="A39" s="34" t="s">
        <v>1093</v>
      </c>
      <c r="B39" s="34" t="s">
        <v>88</v>
      </c>
      <c r="C39" s="34" t="s">
        <v>35</v>
      </c>
      <c r="D39" s="34" t="s">
        <v>15</v>
      </c>
      <c r="E39" s="34">
        <v>0</v>
      </c>
      <c r="F39" s="34">
        <v>0</v>
      </c>
    </row>
    <row r="40" spans="1:6">
      <c r="A40" s="34" t="s">
        <v>1093</v>
      </c>
      <c r="B40" s="34" t="s">
        <v>88</v>
      </c>
      <c r="C40" s="34" t="s">
        <v>36</v>
      </c>
      <c r="D40" s="34" t="s">
        <v>16</v>
      </c>
      <c r="E40" s="34">
        <v>0</v>
      </c>
      <c r="F40" s="34">
        <v>0</v>
      </c>
    </row>
    <row r="41" spans="1:6">
      <c r="A41" s="34" t="s">
        <v>1093</v>
      </c>
      <c r="B41" s="34" t="s">
        <v>88</v>
      </c>
      <c r="C41" s="34" t="s">
        <v>37</v>
      </c>
      <c r="D41" s="34" t="s">
        <v>17</v>
      </c>
      <c r="E41" s="34">
        <v>0</v>
      </c>
      <c r="F41" s="34">
        <v>0</v>
      </c>
    </row>
    <row r="42" spans="1:6">
      <c r="A42" s="34" t="s">
        <v>1093</v>
      </c>
      <c r="B42" s="34" t="s">
        <v>88</v>
      </c>
      <c r="C42" s="34" t="s">
        <v>38</v>
      </c>
      <c r="D42" s="34" t="s">
        <v>18</v>
      </c>
      <c r="E42" s="34">
        <v>0</v>
      </c>
      <c r="F42" s="34">
        <v>0</v>
      </c>
    </row>
    <row r="43" spans="1:6">
      <c r="A43" s="34" t="s">
        <v>1093</v>
      </c>
      <c r="B43" s="34" t="s">
        <v>88</v>
      </c>
      <c r="C43" s="34" t="s">
        <v>39</v>
      </c>
      <c r="D43" s="34" t="s">
        <v>19</v>
      </c>
      <c r="E43" s="34">
        <v>0</v>
      </c>
      <c r="F43" s="34">
        <v>0</v>
      </c>
    </row>
    <row r="44" spans="1:6">
      <c r="A44" s="34" t="s">
        <v>1093</v>
      </c>
      <c r="B44" s="34" t="s">
        <v>88</v>
      </c>
      <c r="C44" s="34" t="s">
        <v>40</v>
      </c>
      <c r="D44" s="34" t="s">
        <v>20</v>
      </c>
      <c r="E44" s="34">
        <v>0</v>
      </c>
      <c r="F44" s="34">
        <v>0</v>
      </c>
    </row>
    <row r="45" spans="1:6">
      <c r="A45" s="34" t="s">
        <v>1093</v>
      </c>
      <c r="B45" s="34" t="s">
        <v>88</v>
      </c>
      <c r="C45" s="34" t="s">
        <v>40</v>
      </c>
      <c r="D45" s="34" t="s">
        <v>21</v>
      </c>
      <c r="E45" s="34">
        <v>0</v>
      </c>
      <c r="F45" s="34">
        <v>0</v>
      </c>
    </row>
    <row r="46" spans="1:6">
      <c r="A46" s="34" t="s">
        <v>1093</v>
      </c>
      <c r="B46" s="34" t="s">
        <v>88</v>
      </c>
      <c r="C46" s="34" t="s">
        <v>41</v>
      </c>
      <c r="D46" s="34" t="s">
        <v>22</v>
      </c>
      <c r="E46" s="34">
        <v>0</v>
      </c>
      <c r="F46" s="34">
        <v>0</v>
      </c>
    </row>
    <row r="47" spans="1:6">
      <c r="A47" s="34" t="s">
        <v>1093</v>
      </c>
      <c r="B47" s="34" t="s">
        <v>88</v>
      </c>
      <c r="C47" s="34" t="s">
        <v>42</v>
      </c>
      <c r="D47" s="34" t="s">
        <v>23</v>
      </c>
      <c r="E47" s="34">
        <v>0</v>
      </c>
      <c r="F47" s="34">
        <v>0</v>
      </c>
    </row>
    <row r="48" spans="1:6">
      <c r="A48" s="34" t="s">
        <v>1093</v>
      </c>
      <c r="B48" s="34" t="s">
        <v>88</v>
      </c>
      <c r="C48" s="34" t="s">
        <v>43</v>
      </c>
      <c r="D48" s="34" t="s">
        <v>24</v>
      </c>
      <c r="E48" s="34">
        <v>0</v>
      </c>
      <c r="F48" s="34">
        <v>0</v>
      </c>
    </row>
    <row r="49" spans="1:6">
      <c r="A49" s="34" t="s">
        <v>1093</v>
      </c>
      <c r="B49" s="34" t="s">
        <v>88</v>
      </c>
      <c r="C49" s="34" t="s">
        <v>44</v>
      </c>
      <c r="D49" s="34" t="s">
        <v>25</v>
      </c>
      <c r="E49" s="34">
        <v>0</v>
      </c>
      <c r="F49" s="34">
        <v>0</v>
      </c>
    </row>
    <row r="50" spans="1:6">
      <c r="A50" s="34" t="s">
        <v>1093</v>
      </c>
      <c r="B50" s="34" t="s">
        <v>89</v>
      </c>
      <c r="C50" s="34" t="s">
        <v>34</v>
      </c>
      <c r="D50" s="34" t="s">
        <v>14</v>
      </c>
      <c r="E50" s="34">
        <v>0</v>
      </c>
      <c r="F50" s="34">
        <v>0</v>
      </c>
    </row>
    <row r="51" spans="1:6">
      <c r="A51" s="34" t="s">
        <v>1093</v>
      </c>
      <c r="B51" s="34" t="s">
        <v>89</v>
      </c>
      <c r="C51" s="34" t="s">
        <v>35</v>
      </c>
      <c r="D51" s="34" t="s">
        <v>15</v>
      </c>
      <c r="E51" s="34">
        <v>0</v>
      </c>
      <c r="F51" s="34">
        <v>0</v>
      </c>
    </row>
    <row r="52" spans="1:6">
      <c r="A52" s="34" t="s">
        <v>1093</v>
      </c>
      <c r="B52" s="34" t="s">
        <v>89</v>
      </c>
      <c r="C52" s="34" t="s">
        <v>36</v>
      </c>
      <c r="D52" s="34" t="s">
        <v>16</v>
      </c>
      <c r="E52" s="34">
        <v>0</v>
      </c>
      <c r="F52" s="34">
        <v>0</v>
      </c>
    </row>
    <row r="53" spans="1:6">
      <c r="A53" s="34" t="s">
        <v>1093</v>
      </c>
      <c r="B53" s="34" t="s">
        <v>89</v>
      </c>
      <c r="C53" s="34" t="s">
        <v>37</v>
      </c>
      <c r="D53" s="34" t="s">
        <v>17</v>
      </c>
      <c r="E53" s="34">
        <v>0</v>
      </c>
      <c r="F53" s="34">
        <v>0</v>
      </c>
    </row>
    <row r="54" spans="1:6">
      <c r="A54" s="34" t="s">
        <v>1093</v>
      </c>
      <c r="B54" s="34" t="s">
        <v>89</v>
      </c>
      <c r="C54" s="34" t="s">
        <v>38</v>
      </c>
      <c r="D54" s="34" t="s">
        <v>18</v>
      </c>
      <c r="E54" s="34">
        <v>0</v>
      </c>
      <c r="F54" s="34">
        <v>0</v>
      </c>
    </row>
    <row r="55" spans="1:6">
      <c r="A55" s="34" t="s">
        <v>1093</v>
      </c>
      <c r="B55" s="34" t="s">
        <v>89</v>
      </c>
      <c r="C55" s="34" t="s">
        <v>39</v>
      </c>
      <c r="D55" s="34" t="s">
        <v>19</v>
      </c>
      <c r="E55" s="34">
        <v>0</v>
      </c>
      <c r="F55" s="34">
        <v>0</v>
      </c>
    </row>
    <row r="56" spans="1:6">
      <c r="A56" s="34" t="s">
        <v>1093</v>
      </c>
      <c r="B56" s="34" t="s">
        <v>89</v>
      </c>
      <c r="C56" s="34" t="s">
        <v>40</v>
      </c>
      <c r="D56" s="34" t="s">
        <v>20</v>
      </c>
      <c r="E56" s="34">
        <v>0</v>
      </c>
      <c r="F56" s="34">
        <v>0</v>
      </c>
    </row>
    <row r="57" spans="1:6">
      <c r="A57" s="34" t="s">
        <v>1093</v>
      </c>
      <c r="B57" s="34" t="s">
        <v>89</v>
      </c>
      <c r="C57" s="34" t="s">
        <v>40</v>
      </c>
      <c r="D57" s="34" t="s">
        <v>21</v>
      </c>
      <c r="E57" s="34">
        <v>0</v>
      </c>
      <c r="F57" s="34">
        <v>0</v>
      </c>
    </row>
    <row r="58" spans="1:6">
      <c r="A58" s="34" t="s">
        <v>1093</v>
      </c>
      <c r="B58" s="34" t="s">
        <v>89</v>
      </c>
      <c r="C58" s="34" t="s">
        <v>41</v>
      </c>
      <c r="D58" s="34" t="s">
        <v>22</v>
      </c>
      <c r="E58" s="34">
        <v>0</v>
      </c>
      <c r="F58" s="34">
        <v>0</v>
      </c>
    </row>
    <row r="59" spans="1:6">
      <c r="A59" s="34" t="s">
        <v>1093</v>
      </c>
      <c r="B59" s="34" t="s">
        <v>89</v>
      </c>
      <c r="C59" s="34" t="s">
        <v>42</v>
      </c>
      <c r="D59" s="34" t="s">
        <v>23</v>
      </c>
      <c r="E59" s="34">
        <v>0</v>
      </c>
      <c r="F59" s="34">
        <v>0</v>
      </c>
    </row>
    <row r="60" spans="1:6">
      <c r="A60" s="34" t="s">
        <v>1093</v>
      </c>
      <c r="B60" s="34" t="s">
        <v>89</v>
      </c>
      <c r="C60" s="34" t="s">
        <v>43</v>
      </c>
      <c r="D60" s="34" t="s">
        <v>24</v>
      </c>
      <c r="E60" s="34">
        <v>0</v>
      </c>
      <c r="F60" s="34">
        <v>0</v>
      </c>
    </row>
    <row r="61" spans="1:6">
      <c r="A61" s="34" t="s">
        <v>1093</v>
      </c>
      <c r="B61" s="34" t="s">
        <v>89</v>
      </c>
      <c r="C61" s="34" t="s">
        <v>44</v>
      </c>
      <c r="D61" s="34" t="s">
        <v>25</v>
      </c>
      <c r="E61" s="34">
        <v>0</v>
      </c>
      <c r="F61" s="34">
        <v>0</v>
      </c>
    </row>
    <row r="62" spans="1:6">
      <c r="A62" s="34" t="s">
        <v>11</v>
      </c>
      <c r="B62" s="34" t="s">
        <v>53</v>
      </c>
      <c r="C62" s="34" t="s">
        <v>54</v>
      </c>
      <c r="D62" s="34" t="s">
        <v>14</v>
      </c>
      <c r="E62" s="34">
        <v>0</v>
      </c>
      <c r="F62" s="34">
        <v>0</v>
      </c>
    </row>
    <row r="63" spans="1:6">
      <c r="A63" s="34" t="s">
        <v>11</v>
      </c>
      <c r="B63" s="34" t="s">
        <v>53</v>
      </c>
      <c r="C63" s="34" t="s">
        <v>35</v>
      </c>
      <c r="D63" s="34" t="s">
        <v>15</v>
      </c>
      <c r="E63" s="34">
        <v>0</v>
      </c>
      <c r="F63" s="34">
        <v>0</v>
      </c>
    </row>
    <row r="64" spans="1:6">
      <c r="A64" s="34" t="s">
        <v>11</v>
      </c>
      <c r="B64" s="34" t="s">
        <v>53</v>
      </c>
      <c r="C64" s="34" t="s">
        <v>36</v>
      </c>
      <c r="D64" s="34" t="s">
        <v>16</v>
      </c>
      <c r="E64" s="34">
        <v>0</v>
      </c>
      <c r="F64" s="34">
        <v>0</v>
      </c>
    </row>
    <row r="65" spans="1:6">
      <c r="A65" s="34" t="s">
        <v>11</v>
      </c>
      <c r="B65" s="34" t="s">
        <v>53</v>
      </c>
      <c r="C65" s="34" t="s">
        <v>37</v>
      </c>
      <c r="D65" s="34" t="s">
        <v>17</v>
      </c>
      <c r="E65" s="34">
        <v>0</v>
      </c>
      <c r="F65" s="34">
        <v>0</v>
      </c>
    </row>
    <row r="66" spans="1:6">
      <c r="A66" s="34" t="s">
        <v>11</v>
      </c>
      <c r="B66" s="34" t="s">
        <v>53</v>
      </c>
      <c r="C66" s="34" t="s">
        <v>38</v>
      </c>
      <c r="D66" s="34" t="s">
        <v>18</v>
      </c>
      <c r="E66" s="34">
        <v>0</v>
      </c>
      <c r="F66" s="34">
        <v>0</v>
      </c>
    </row>
    <row r="67" spans="1:6">
      <c r="A67" s="34" t="s">
        <v>11</v>
      </c>
      <c r="B67" s="34" t="s">
        <v>53</v>
      </c>
      <c r="C67" s="34" t="s">
        <v>39</v>
      </c>
      <c r="D67" s="34" t="s">
        <v>19</v>
      </c>
      <c r="E67" s="34">
        <v>0</v>
      </c>
      <c r="F67" s="34">
        <v>0</v>
      </c>
    </row>
    <row r="68" spans="1:6">
      <c r="A68" s="34" t="s">
        <v>11</v>
      </c>
      <c r="B68" s="34" t="s">
        <v>53</v>
      </c>
      <c r="C68" s="34" t="s">
        <v>40</v>
      </c>
      <c r="D68" s="34" t="s">
        <v>20</v>
      </c>
      <c r="E68" s="34">
        <v>0</v>
      </c>
      <c r="F68" s="34">
        <v>0</v>
      </c>
    </row>
    <row r="69" spans="1:6">
      <c r="A69" s="34" t="s">
        <v>11</v>
      </c>
      <c r="B69" s="34" t="s">
        <v>53</v>
      </c>
      <c r="C69" s="34" t="s">
        <v>40</v>
      </c>
      <c r="D69" s="34" t="s">
        <v>21</v>
      </c>
      <c r="E69" s="34">
        <v>0</v>
      </c>
      <c r="F69" s="34">
        <v>0</v>
      </c>
    </row>
    <row r="70" spans="1:6">
      <c r="A70" s="34" t="s">
        <v>11</v>
      </c>
      <c r="B70" s="34" t="s">
        <v>53</v>
      </c>
      <c r="C70" s="34" t="s">
        <v>41</v>
      </c>
      <c r="D70" s="34" t="s">
        <v>22</v>
      </c>
      <c r="E70" s="34">
        <v>0</v>
      </c>
      <c r="F70" s="34">
        <v>0</v>
      </c>
    </row>
    <row r="71" spans="1:6">
      <c r="A71" s="34" t="s">
        <v>11</v>
      </c>
      <c r="B71" s="34" t="s">
        <v>53</v>
      </c>
      <c r="C71" s="34" t="s">
        <v>42</v>
      </c>
      <c r="D71" s="34" t="s">
        <v>23</v>
      </c>
      <c r="E71" s="34">
        <v>0</v>
      </c>
      <c r="F71" s="34">
        <v>0</v>
      </c>
    </row>
    <row r="72" spans="1:6">
      <c r="A72" s="34" t="s">
        <v>11</v>
      </c>
      <c r="B72" s="34" t="s">
        <v>53</v>
      </c>
      <c r="C72" s="34" t="s">
        <v>43</v>
      </c>
      <c r="D72" s="34" t="s">
        <v>24</v>
      </c>
      <c r="E72" s="34">
        <v>0</v>
      </c>
      <c r="F72" s="34">
        <v>0</v>
      </c>
    </row>
    <row r="73" spans="1:6">
      <c r="A73" s="34" t="s">
        <v>11</v>
      </c>
      <c r="B73" s="34" t="s">
        <v>53</v>
      </c>
      <c r="C73" s="34" t="s">
        <v>44</v>
      </c>
      <c r="D73" s="34" t="s">
        <v>25</v>
      </c>
      <c r="E73" s="34">
        <v>0</v>
      </c>
      <c r="F73" s="34">
        <v>0</v>
      </c>
    </row>
    <row r="74" spans="1:6">
      <c r="A74" s="34" t="s">
        <v>11</v>
      </c>
      <c r="B74" s="34" t="s">
        <v>66</v>
      </c>
      <c r="C74" s="34" t="s">
        <v>34</v>
      </c>
      <c r="D74" s="34" t="s">
        <v>14</v>
      </c>
      <c r="E74" s="34">
        <v>0</v>
      </c>
      <c r="F74" s="34">
        <v>0</v>
      </c>
    </row>
    <row r="75" spans="1:6">
      <c r="A75" s="34" t="s">
        <v>11</v>
      </c>
      <c r="B75" s="34" t="s">
        <v>66</v>
      </c>
      <c r="C75" s="34" t="s">
        <v>35</v>
      </c>
      <c r="D75" s="34" t="s">
        <v>15</v>
      </c>
      <c r="E75" s="34">
        <v>0</v>
      </c>
      <c r="F75" s="34">
        <v>0</v>
      </c>
    </row>
    <row r="76" spans="1:6">
      <c r="A76" s="34" t="s">
        <v>11</v>
      </c>
      <c r="B76" s="34" t="s">
        <v>66</v>
      </c>
      <c r="C76" s="34" t="s">
        <v>36</v>
      </c>
      <c r="D76" s="34" t="s">
        <v>16</v>
      </c>
      <c r="E76" s="34">
        <v>0</v>
      </c>
      <c r="F76" s="34">
        <v>0</v>
      </c>
    </row>
    <row r="77" spans="1:6">
      <c r="A77" s="34" t="s">
        <v>11</v>
      </c>
      <c r="B77" s="34" t="s">
        <v>66</v>
      </c>
      <c r="C77" s="34" t="s">
        <v>37</v>
      </c>
      <c r="D77" s="34" t="s">
        <v>17</v>
      </c>
      <c r="E77" s="34">
        <v>0</v>
      </c>
      <c r="F77" s="34">
        <v>0</v>
      </c>
    </row>
    <row r="78" spans="1:6">
      <c r="A78" s="34" t="s">
        <v>11</v>
      </c>
      <c r="B78" s="34" t="s">
        <v>66</v>
      </c>
      <c r="C78" s="34" t="s">
        <v>38</v>
      </c>
      <c r="D78" s="34" t="s">
        <v>18</v>
      </c>
      <c r="E78" s="34">
        <v>0</v>
      </c>
      <c r="F78" s="34">
        <v>0</v>
      </c>
    </row>
    <row r="79" spans="1:6">
      <c r="A79" s="34" t="s">
        <v>11</v>
      </c>
      <c r="B79" s="34" t="s">
        <v>66</v>
      </c>
      <c r="C79" s="34" t="s">
        <v>39</v>
      </c>
      <c r="D79" s="34" t="s">
        <v>19</v>
      </c>
      <c r="E79" s="34">
        <v>0</v>
      </c>
      <c r="F79" s="34">
        <v>0</v>
      </c>
    </row>
    <row r="80" spans="1:6">
      <c r="A80" s="34" t="s">
        <v>11</v>
      </c>
      <c r="B80" s="34" t="s">
        <v>66</v>
      </c>
      <c r="C80" s="34" t="s">
        <v>40</v>
      </c>
      <c r="D80" s="34" t="s">
        <v>20</v>
      </c>
      <c r="E80" s="34">
        <v>0</v>
      </c>
      <c r="F80" s="34">
        <v>0</v>
      </c>
    </row>
    <row r="81" spans="1:6">
      <c r="A81" s="34" t="s">
        <v>11</v>
      </c>
      <c r="B81" s="34" t="s">
        <v>66</v>
      </c>
      <c r="C81" s="34" t="s">
        <v>40</v>
      </c>
      <c r="D81" s="34" t="s">
        <v>21</v>
      </c>
      <c r="E81" s="34">
        <v>0</v>
      </c>
      <c r="F81" s="34">
        <v>0</v>
      </c>
    </row>
    <row r="82" spans="1:6">
      <c r="A82" s="34" t="s">
        <v>11</v>
      </c>
      <c r="B82" s="34" t="s">
        <v>66</v>
      </c>
      <c r="C82" s="34" t="s">
        <v>41</v>
      </c>
      <c r="D82" s="34" t="s">
        <v>22</v>
      </c>
      <c r="E82" s="34">
        <v>0</v>
      </c>
      <c r="F82" s="34">
        <v>0</v>
      </c>
    </row>
    <row r="83" spans="1:6">
      <c r="A83" s="34" t="s">
        <v>11</v>
      </c>
      <c r="B83" s="34" t="s">
        <v>66</v>
      </c>
      <c r="C83" s="34" t="s">
        <v>42</v>
      </c>
      <c r="D83" s="34" t="s">
        <v>23</v>
      </c>
      <c r="E83" s="34">
        <v>0</v>
      </c>
      <c r="F83" s="34">
        <v>0</v>
      </c>
    </row>
    <row r="84" spans="1:6">
      <c r="A84" s="34" t="s">
        <v>11</v>
      </c>
      <c r="B84" s="34" t="s">
        <v>66</v>
      </c>
      <c r="C84" s="34" t="s">
        <v>43</v>
      </c>
      <c r="D84" s="34" t="s">
        <v>24</v>
      </c>
      <c r="E84" s="34">
        <v>0</v>
      </c>
      <c r="F84" s="34">
        <v>0</v>
      </c>
    </row>
    <row r="85" spans="1:6">
      <c r="A85" s="34" t="s">
        <v>11</v>
      </c>
      <c r="B85" s="34" t="s">
        <v>66</v>
      </c>
      <c r="C85" s="34" t="s">
        <v>44</v>
      </c>
      <c r="D85" s="34" t="s">
        <v>25</v>
      </c>
      <c r="E85" s="34">
        <v>0</v>
      </c>
      <c r="F85" s="34">
        <v>0</v>
      </c>
    </row>
    <row r="86" spans="1:6">
      <c r="A86" s="34" t="s">
        <v>1090</v>
      </c>
      <c r="B86" s="34" t="s">
        <v>48</v>
      </c>
      <c r="C86" s="34" t="s">
        <v>34</v>
      </c>
      <c r="D86" s="34" t="s">
        <v>14</v>
      </c>
      <c r="E86" s="34">
        <v>0</v>
      </c>
      <c r="F86" s="34">
        <v>0</v>
      </c>
    </row>
    <row r="87" spans="1:6">
      <c r="A87" s="34" t="s">
        <v>1090</v>
      </c>
      <c r="B87" s="34" t="s">
        <v>48</v>
      </c>
      <c r="C87" s="34" t="s">
        <v>35</v>
      </c>
      <c r="D87" s="34" t="s">
        <v>15</v>
      </c>
      <c r="E87" s="34">
        <v>0</v>
      </c>
      <c r="F87" s="34">
        <v>0</v>
      </c>
    </row>
    <row r="88" spans="1:6">
      <c r="A88" s="34" t="s">
        <v>1090</v>
      </c>
      <c r="B88" s="34" t="s">
        <v>48</v>
      </c>
      <c r="C88" s="34" t="s">
        <v>36</v>
      </c>
      <c r="D88" s="34" t="s">
        <v>16</v>
      </c>
      <c r="E88" s="34">
        <v>0</v>
      </c>
      <c r="F88" s="34">
        <v>0</v>
      </c>
    </row>
    <row r="89" spans="1:6">
      <c r="A89" s="34" t="s">
        <v>1090</v>
      </c>
      <c r="B89" s="34" t="s">
        <v>48</v>
      </c>
      <c r="C89" s="34" t="s">
        <v>37</v>
      </c>
      <c r="D89" s="34" t="s">
        <v>17</v>
      </c>
      <c r="E89" s="34">
        <v>0</v>
      </c>
      <c r="F89" s="34">
        <v>0</v>
      </c>
    </row>
    <row r="90" spans="1:6">
      <c r="A90" s="34" t="s">
        <v>1090</v>
      </c>
      <c r="B90" s="34" t="s">
        <v>48</v>
      </c>
      <c r="C90" s="34" t="s">
        <v>38</v>
      </c>
      <c r="D90" s="34" t="s">
        <v>18</v>
      </c>
      <c r="E90" s="34">
        <v>0</v>
      </c>
      <c r="F90" s="34">
        <v>0</v>
      </c>
    </row>
    <row r="91" spans="1:6">
      <c r="A91" s="34" t="s">
        <v>1090</v>
      </c>
      <c r="B91" s="34" t="s">
        <v>48</v>
      </c>
      <c r="C91" s="34" t="s">
        <v>39</v>
      </c>
      <c r="D91" s="34" t="s">
        <v>19</v>
      </c>
      <c r="E91" s="34">
        <v>0</v>
      </c>
      <c r="F91" s="34">
        <v>0</v>
      </c>
    </row>
    <row r="92" spans="1:6">
      <c r="A92" s="34" t="s">
        <v>1090</v>
      </c>
      <c r="B92" s="34" t="s">
        <v>48</v>
      </c>
      <c r="C92" s="34" t="s">
        <v>40</v>
      </c>
      <c r="D92" s="34" t="s">
        <v>20</v>
      </c>
      <c r="E92" s="34">
        <v>0</v>
      </c>
      <c r="F92" s="34">
        <v>0</v>
      </c>
    </row>
    <row r="93" spans="1:6">
      <c r="A93" s="34" t="s">
        <v>1090</v>
      </c>
      <c r="B93" s="34" t="s">
        <v>48</v>
      </c>
      <c r="C93" s="34" t="s">
        <v>40</v>
      </c>
      <c r="D93" s="34" t="s">
        <v>21</v>
      </c>
      <c r="E93" s="34">
        <v>0</v>
      </c>
      <c r="F93" s="34">
        <v>0</v>
      </c>
    </row>
    <row r="94" spans="1:6">
      <c r="A94" s="34" t="s">
        <v>1090</v>
      </c>
      <c r="B94" s="34" t="s">
        <v>48</v>
      </c>
      <c r="C94" s="34" t="s">
        <v>41</v>
      </c>
      <c r="D94" s="34" t="s">
        <v>22</v>
      </c>
      <c r="E94" s="34">
        <v>0</v>
      </c>
      <c r="F94" s="34">
        <v>0</v>
      </c>
    </row>
    <row r="95" spans="1:6">
      <c r="A95" s="34" t="s">
        <v>1090</v>
      </c>
      <c r="B95" s="34" t="s">
        <v>48</v>
      </c>
      <c r="C95" s="34" t="s">
        <v>42</v>
      </c>
      <c r="D95" s="34" t="s">
        <v>23</v>
      </c>
      <c r="E95" s="34">
        <v>0</v>
      </c>
      <c r="F95" s="34">
        <v>0</v>
      </c>
    </row>
    <row r="96" spans="1:6">
      <c r="A96" s="34" t="s">
        <v>1090</v>
      </c>
      <c r="B96" s="34" t="s">
        <v>48</v>
      </c>
      <c r="C96" s="34" t="s">
        <v>43</v>
      </c>
      <c r="D96" s="34" t="s">
        <v>24</v>
      </c>
      <c r="E96" s="34">
        <v>0</v>
      </c>
      <c r="F96" s="34">
        <v>0</v>
      </c>
    </row>
    <row r="97" spans="1:6">
      <c r="A97" s="34" t="s">
        <v>1090</v>
      </c>
      <c r="B97" s="34" t="s">
        <v>48</v>
      </c>
      <c r="C97" s="34" t="s">
        <v>44</v>
      </c>
      <c r="D97" s="34" t="s">
        <v>25</v>
      </c>
      <c r="E97" s="34">
        <v>0</v>
      </c>
      <c r="F97" s="34">
        <v>0</v>
      </c>
    </row>
    <row r="98" spans="1:6">
      <c r="A98" s="34" t="s">
        <v>1090</v>
      </c>
      <c r="B98" s="34" t="s">
        <v>80</v>
      </c>
      <c r="C98" s="34" t="s">
        <v>34</v>
      </c>
      <c r="D98" s="34" t="s">
        <v>14</v>
      </c>
      <c r="E98" s="34">
        <v>0</v>
      </c>
      <c r="F98" s="34">
        <v>0</v>
      </c>
    </row>
    <row r="99" spans="1:6">
      <c r="A99" s="34" t="s">
        <v>1090</v>
      </c>
      <c r="B99" s="34" t="s">
        <v>80</v>
      </c>
      <c r="C99" s="34" t="s">
        <v>35</v>
      </c>
      <c r="D99" s="34" t="s">
        <v>15</v>
      </c>
      <c r="E99" s="34">
        <v>0</v>
      </c>
      <c r="F99" s="34">
        <v>0</v>
      </c>
    </row>
    <row r="100" spans="1:6">
      <c r="A100" s="34" t="s">
        <v>1090</v>
      </c>
      <c r="B100" s="34" t="s">
        <v>80</v>
      </c>
      <c r="C100" s="34" t="s">
        <v>36</v>
      </c>
      <c r="D100" s="34" t="s">
        <v>16</v>
      </c>
      <c r="E100" s="34">
        <v>0</v>
      </c>
      <c r="F100" s="34">
        <v>0</v>
      </c>
    </row>
    <row r="101" spans="1:6">
      <c r="A101" s="34" t="s">
        <v>1090</v>
      </c>
      <c r="B101" s="34" t="s">
        <v>80</v>
      </c>
      <c r="C101" s="34" t="s">
        <v>37</v>
      </c>
      <c r="D101" s="34" t="s">
        <v>17</v>
      </c>
      <c r="E101" s="34">
        <v>0</v>
      </c>
      <c r="F101" s="34">
        <v>0</v>
      </c>
    </row>
    <row r="102" spans="1:6">
      <c r="A102" s="34" t="s">
        <v>1090</v>
      </c>
      <c r="B102" s="34" t="s">
        <v>80</v>
      </c>
      <c r="C102" s="34" t="s">
        <v>38</v>
      </c>
      <c r="D102" s="34" t="s">
        <v>18</v>
      </c>
      <c r="E102" s="34">
        <v>0</v>
      </c>
      <c r="F102" s="34">
        <v>0</v>
      </c>
    </row>
    <row r="103" spans="1:6">
      <c r="A103" s="34" t="s">
        <v>1090</v>
      </c>
      <c r="B103" s="34" t="s">
        <v>80</v>
      </c>
      <c r="C103" s="34" t="s">
        <v>39</v>
      </c>
      <c r="D103" s="34" t="s">
        <v>19</v>
      </c>
      <c r="E103" s="34">
        <v>0</v>
      </c>
      <c r="F103" s="34">
        <v>0</v>
      </c>
    </row>
    <row r="104" spans="1:6">
      <c r="A104" s="34" t="s">
        <v>1090</v>
      </c>
      <c r="B104" s="34" t="s">
        <v>80</v>
      </c>
      <c r="C104" s="34" t="s">
        <v>40</v>
      </c>
      <c r="D104" s="34" t="s">
        <v>20</v>
      </c>
      <c r="E104" s="34">
        <v>0</v>
      </c>
      <c r="F104" s="34">
        <v>0</v>
      </c>
    </row>
    <row r="105" spans="1:6">
      <c r="A105" s="34" t="s">
        <v>1090</v>
      </c>
      <c r="B105" s="34" t="s">
        <v>80</v>
      </c>
      <c r="C105" s="34" t="s">
        <v>40</v>
      </c>
      <c r="D105" s="34" t="s">
        <v>21</v>
      </c>
      <c r="E105" s="34">
        <v>0</v>
      </c>
      <c r="F105" s="34">
        <v>0</v>
      </c>
    </row>
    <row r="106" spans="1:6">
      <c r="A106" s="34" t="s">
        <v>1090</v>
      </c>
      <c r="B106" s="34" t="s">
        <v>80</v>
      </c>
      <c r="C106" s="34" t="s">
        <v>41</v>
      </c>
      <c r="D106" s="34" t="s">
        <v>22</v>
      </c>
      <c r="E106" s="34">
        <v>0</v>
      </c>
      <c r="F106" s="34">
        <v>0</v>
      </c>
    </row>
    <row r="107" spans="1:6">
      <c r="A107" s="34" t="s">
        <v>1090</v>
      </c>
      <c r="B107" s="34" t="s">
        <v>80</v>
      </c>
      <c r="C107" s="34" t="s">
        <v>42</v>
      </c>
      <c r="D107" s="34" t="s">
        <v>23</v>
      </c>
      <c r="E107" s="34">
        <v>0</v>
      </c>
      <c r="F107" s="34">
        <v>0</v>
      </c>
    </row>
    <row r="108" spans="1:6">
      <c r="A108" s="34" t="s">
        <v>1090</v>
      </c>
      <c r="B108" s="34" t="s">
        <v>80</v>
      </c>
      <c r="C108" s="34" t="s">
        <v>43</v>
      </c>
      <c r="D108" s="34" t="s">
        <v>24</v>
      </c>
      <c r="E108" s="34">
        <v>0</v>
      </c>
      <c r="F108" s="34">
        <v>0</v>
      </c>
    </row>
    <row r="109" spans="1:6">
      <c r="A109" s="34" t="s">
        <v>1090</v>
      </c>
      <c r="B109" s="34" t="s">
        <v>80</v>
      </c>
      <c r="C109" s="34" t="s">
        <v>44</v>
      </c>
      <c r="D109" s="34" t="s">
        <v>25</v>
      </c>
      <c r="E109" s="34">
        <v>0</v>
      </c>
      <c r="F109" s="34">
        <v>0</v>
      </c>
    </row>
    <row r="110" spans="1:6">
      <c r="A110" s="34" t="s">
        <v>1090</v>
      </c>
      <c r="B110" s="34" t="s">
        <v>95</v>
      </c>
      <c r="C110" s="34" t="s">
        <v>34</v>
      </c>
      <c r="D110" s="34" t="s">
        <v>14</v>
      </c>
      <c r="E110" s="34">
        <v>0</v>
      </c>
      <c r="F110" s="34">
        <v>0</v>
      </c>
    </row>
    <row r="111" spans="1:6">
      <c r="A111" s="34" t="s">
        <v>1090</v>
      </c>
      <c r="B111" s="34" t="s">
        <v>95</v>
      </c>
      <c r="C111" s="34" t="s">
        <v>35</v>
      </c>
      <c r="D111" s="34" t="s">
        <v>15</v>
      </c>
      <c r="E111" s="34">
        <v>0</v>
      </c>
      <c r="F111" s="34">
        <v>0</v>
      </c>
    </row>
    <row r="112" spans="1:6">
      <c r="A112" s="34" t="s">
        <v>1090</v>
      </c>
      <c r="B112" s="34" t="s">
        <v>95</v>
      </c>
      <c r="C112" s="34" t="s">
        <v>36</v>
      </c>
      <c r="D112" s="34" t="s">
        <v>16</v>
      </c>
      <c r="E112" s="34">
        <v>0</v>
      </c>
      <c r="F112" s="34">
        <v>0</v>
      </c>
    </row>
    <row r="113" spans="1:6">
      <c r="A113" s="34" t="s">
        <v>1090</v>
      </c>
      <c r="B113" s="34" t="s">
        <v>95</v>
      </c>
      <c r="C113" s="34" t="s">
        <v>37</v>
      </c>
      <c r="D113" s="34" t="s">
        <v>17</v>
      </c>
      <c r="E113" s="34">
        <v>0</v>
      </c>
      <c r="F113" s="34">
        <v>0</v>
      </c>
    </row>
    <row r="114" spans="1:6">
      <c r="A114" s="34" t="s">
        <v>1090</v>
      </c>
      <c r="B114" s="34" t="s">
        <v>95</v>
      </c>
      <c r="C114" s="34" t="s">
        <v>38</v>
      </c>
      <c r="D114" s="34" t="s">
        <v>18</v>
      </c>
      <c r="E114" s="34">
        <v>0</v>
      </c>
      <c r="F114" s="34">
        <v>0</v>
      </c>
    </row>
    <row r="115" spans="1:6">
      <c r="A115" s="34" t="s">
        <v>1090</v>
      </c>
      <c r="B115" s="34" t="s">
        <v>95</v>
      </c>
      <c r="C115" s="34" t="s">
        <v>39</v>
      </c>
      <c r="D115" s="34" t="s">
        <v>19</v>
      </c>
      <c r="E115" s="34">
        <v>0</v>
      </c>
      <c r="F115" s="34">
        <v>0</v>
      </c>
    </row>
    <row r="116" spans="1:6">
      <c r="A116" s="34" t="s">
        <v>1090</v>
      </c>
      <c r="B116" s="34" t="s">
        <v>95</v>
      </c>
      <c r="C116" s="34" t="s">
        <v>40</v>
      </c>
      <c r="D116" s="34" t="s">
        <v>20</v>
      </c>
      <c r="E116" s="34">
        <v>0</v>
      </c>
      <c r="F116" s="34">
        <v>0</v>
      </c>
    </row>
    <row r="117" spans="1:6">
      <c r="A117" s="34" t="s">
        <v>1090</v>
      </c>
      <c r="B117" s="34" t="s">
        <v>95</v>
      </c>
      <c r="C117" s="34" t="s">
        <v>40</v>
      </c>
      <c r="D117" s="34" t="s">
        <v>21</v>
      </c>
      <c r="E117" s="34">
        <v>0</v>
      </c>
      <c r="F117" s="34">
        <v>0</v>
      </c>
    </row>
    <row r="118" spans="1:6">
      <c r="A118" s="34" t="s">
        <v>1090</v>
      </c>
      <c r="B118" s="34" t="s">
        <v>95</v>
      </c>
      <c r="C118" s="34" t="s">
        <v>41</v>
      </c>
      <c r="D118" s="34" t="s">
        <v>22</v>
      </c>
      <c r="E118" s="34">
        <v>0</v>
      </c>
      <c r="F118" s="34">
        <v>0</v>
      </c>
    </row>
    <row r="119" spans="1:6">
      <c r="A119" s="34" t="s">
        <v>1090</v>
      </c>
      <c r="B119" s="34" t="s">
        <v>95</v>
      </c>
      <c r="C119" s="34" t="s">
        <v>42</v>
      </c>
      <c r="D119" s="34" t="s">
        <v>23</v>
      </c>
      <c r="E119" s="34">
        <v>0</v>
      </c>
      <c r="F119" s="34">
        <v>0</v>
      </c>
    </row>
    <row r="120" spans="1:6">
      <c r="A120" s="34" t="s">
        <v>1090</v>
      </c>
      <c r="B120" s="34" t="s">
        <v>95</v>
      </c>
      <c r="C120" s="34" t="s">
        <v>43</v>
      </c>
      <c r="D120" s="34" t="s">
        <v>24</v>
      </c>
      <c r="E120" s="34">
        <v>0</v>
      </c>
      <c r="F120" s="34">
        <v>0</v>
      </c>
    </row>
    <row r="121" spans="1:6">
      <c r="A121" s="34" t="s">
        <v>1090</v>
      </c>
      <c r="B121" s="34" t="s">
        <v>95</v>
      </c>
      <c r="C121" s="34" t="s">
        <v>44</v>
      </c>
      <c r="D121" s="34" t="s">
        <v>25</v>
      </c>
      <c r="E121" s="34">
        <v>0</v>
      </c>
      <c r="F121" s="34">
        <v>0</v>
      </c>
    </row>
    <row r="122" spans="1:6">
      <c r="A122" s="34" t="s">
        <v>1090</v>
      </c>
      <c r="B122" s="34" t="s">
        <v>98</v>
      </c>
      <c r="C122" s="34" t="s">
        <v>34</v>
      </c>
      <c r="D122" s="34" t="s">
        <v>14</v>
      </c>
      <c r="E122" s="34">
        <v>0</v>
      </c>
      <c r="F122" s="34">
        <v>0</v>
      </c>
    </row>
    <row r="123" spans="1:6">
      <c r="A123" s="34" t="s">
        <v>1090</v>
      </c>
      <c r="B123" s="34" t="s">
        <v>98</v>
      </c>
      <c r="C123" s="34" t="s">
        <v>35</v>
      </c>
      <c r="D123" s="34" t="s">
        <v>15</v>
      </c>
      <c r="E123" s="34">
        <v>0</v>
      </c>
      <c r="F123" s="34">
        <v>0</v>
      </c>
    </row>
    <row r="124" spans="1:6">
      <c r="A124" s="34" t="s">
        <v>1090</v>
      </c>
      <c r="B124" s="34" t="s">
        <v>98</v>
      </c>
      <c r="C124" s="34" t="s">
        <v>36</v>
      </c>
      <c r="D124" s="34" t="s">
        <v>16</v>
      </c>
      <c r="E124" s="34">
        <v>0</v>
      </c>
      <c r="F124" s="34">
        <v>0</v>
      </c>
    </row>
    <row r="125" spans="1:6">
      <c r="A125" s="34" t="s">
        <v>1090</v>
      </c>
      <c r="B125" s="34" t="s">
        <v>98</v>
      </c>
      <c r="C125" s="34" t="s">
        <v>37</v>
      </c>
      <c r="D125" s="34" t="s">
        <v>17</v>
      </c>
      <c r="E125" s="34">
        <v>0</v>
      </c>
      <c r="F125" s="34">
        <v>0</v>
      </c>
    </row>
    <row r="126" spans="1:6">
      <c r="A126" s="34" t="s">
        <v>1090</v>
      </c>
      <c r="B126" s="34" t="s">
        <v>98</v>
      </c>
      <c r="C126" s="34" t="s">
        <v>38</v>
      </c>
      <c r="D126" s="34" t="s">
        <v>18</v>
      </c>
      <c r="E126" s="34">
        <v>0</v>
      </c>
      <c r="F126" s="34">
        <v>0</v>
      </c>
    </row>
    <row r="127" spans="1:6">
      <c r="A127" s="34" t="s">
        <v>1090</v>
      </c>
      <c r="B127" s="34" t="s">
        <v>98</v>
      </c>
      <c r="C127" s="34" t="s">
        <v>39</v>
      </c>
      <c r="D127" s="34" t="s">
        <v>19</v>
      </c>
      <c r="E127" s="34">
        <v>0</v>
      </c>
      <c r="F127" s="34">
        <v>0</v>
      </c>
    </row>
    <row r="128" spans="1:6">
      <c r="A128" s="34" t="s">
        <v>1090</v>
      </c>
      <c r="B128" s="34" t="s">
        <v>98</v>
      </c>
      <c r="C128" s="34" t="s">
        <v>40</v>
      </c>
      <c r="D128" s="34" t="s">
        <v>20</v>
      </c>
      <c r="E128" s="34">
        <v>0</v>
      </c>
      <c r="F128" s="34">
        <v>0</v>
      </c>
    </row>
    <row r="129" spans="1:6">
      <c r="A129" s="34" t="s">
        <v>1090</v>
      </c>
      <c r="B129" s="34" t="s">
        <v>98</v>
      </c>
      <c r="C129" s="34" t="s">
        <v>40</v>
      </c>
      <c r="D129" s="34" t="s">
        <v>21</v>
      </c>
      <c r="E129" s="34">
        <v>0</v>
      </c>
      <c r="F129" s="34">
        <v>0</v>
      </c>
    </row>
    <row r="130" spans="1:6">
      <c r="A130" s="34" t="s">
        <v>1090</v>
      </c>
      <c r="B130" s="34" t="s">
        <v>98</v>
      </c>
      <c r="C130" s="34" t="s">
        <v>41</v>
      </c>
      <c r="D130" s="34" t="s">
        <v>22</v>
      </c>
      <c r="E130" s="34">
        <v>0</v>
      </c>
      <c r="F130" s="34">
        <v>0</v>
      </c>
    </row>
    <row r="131" spans="1:6">
      <c r="A131" s="34" t="s">
        <v>1090</v>
      </c>
      <c r="B131" s="34" t="s">
        <v>98</v>
      </c>
      <c r="C131" s="34" t="s">
        <v>42</v>
      </c>
      <c r="D131" s="34" t="s">
        <v>23</v>
      </c>
      <c r="E131" s="34">
        <v>0</v>
      </c>
      <c r="F131" s="34">
        <v>0</v>
      </c>
    </row>
    <row r="132" spans="1:6">
      <c r="A132" s="34" t="s">
        <v>1090</v>
      </c>
      <c r="B132" s="34" t="s">
        <v>98</v>
      </c>
      <c r="C132" s="34" t="s">
        <v>43</v>
      </c>
      <c r="D132" s="34" t="s">
        <v>24</v>
      </c>
      <c r="E132" s="34">
        <v>0</v>
      </c>
      <c r="F132" s="34">
        <v>0</v>
      </c>
    </row>
    <row r="133" spans="1:6">
      <c r="A133" s="34" t="s">
        <v>1090</v>
      </c>
      <c r="B133" s="34" t="s">
        <v>98</v>
      </c>
      <c r="C133" s="34" t="s">
        <v>44</v>
      </c>
      <c r="D133" s="34" t="s">
        <v>25</v>
      </c>
      <c r="E133" s="34">
        <v>0</v>
      </c>
      <c r="F133" s="34">
        <v>0</v>
      </c>
    </row>
    <row r="134" spans="1:6">
      <c r="A134" s="34" t="s">
        <v>1092</v>
      </c>
      <c r="B134" s="34" t="s">
        <v>51</v>
      </c>
      <c r="C134" s="34" t="s">
        <v>52</v>
      </c>
      <c r="D134" s="34" t="s">
        <v>14</v>
      </c>
      <c r="E134" s="34">
        <v>0</v>
      </c>
      <c r="F134" s="34">
        <v>0</v>
      </c>
    </row>
    <row r="135" spans="1:6">
      <c r="A135" s="34" t="s">
        <v>1092</v>
      </c>
      <c r="B135" s="34" t="s">
        <v>51</v>
      </c>
      <c r="C135" s="34" t="s">
        <v>35</v>
      </c>
      <c r="D135" s="34" t="s">
        <v>15</v>
      </c>
      <c r="E135" s="34">
        <v>0</v>
      </c>
      <c r="F135" s="34">
        <v>0</v>
      </c>
    </row>
    <row r="136" spans="1:6">
      <c r="A136" s="34" t="s">
        <v>1092</v>
      </c>
      <c r="B136" s="34" t="s">
        <v>51</v>
      </c>
      <c r="C136" s="34" t="s">
        <v>36</v>
      </c>
      <c r="D136" s="34" t="s">
        <v>16</v>
      </c>
      <c r="E136" s="34">
        <v>0</v>
      </c>
      <c r="F136" s="34">
        <v>0</v>
      </c>
    </row>
    <row r="137" spans="1:6">
      <c r="A137" s="34" t="s">
        <v>1092</v>
      </c>
      <c r="B137" s="34" t="s">
        <v>51</v>
      </c>
      <c r="C137" s="34" t="s">
        <v>37</v>
      </c>
      <c r="D137" s="34" t="s">
        <v>17</v>
      </c>
      <c r="E137" s="34">
        <v>0</v>
      </c>
      <c r="F137" s="34">
        <v>0</v>
      </c>
    </row>
    <row r="138" spans="1:6">
      <c r="A138" s="34" t="s">
        <v>1092</v>
      </c>
      <c r="B138" s="34" t="s">
        <v>51</v>
      </c>
      <c r="C138" s="34" t="s">
        <v>38</v>
      </c>
      <c r="D138" s="34" t="s">
        <v>18</v>
      </c>
      <c r="E138" s="34">
        <v>0</v>
      </c>
      <c r="F138" s="34">
        <v>0</v>
      </c>
    </row>
    <row r="139" spans="1:6">
      <c r="A139" s="34" t="s">
        <v>1092</v>
      </c>
      <c r="B139" s="34" t="s">
        <v>51</v>
      </c>
      <c r="C139" s="34" t="s">
        <v>39</v>
      </c>
      <c r="D139" s="34" t="s">
        <v>19</v>
      </c>
      <c r="E139" s="34">
        <v>0</v>
      </c>
      <c r="F139" s="34">
        <v>0</v>
      </c>
    </row>
    <row r="140" spans="1:6">
      <c r="A140" s="34" t="s">
        <v>1092</v>
      </c>
      <c r="B140" s="34" t="s">
        <v>51</v>
      </c>
      <c r="C140" s="34" t="s">
        <v>40</v>
      </c>
      <c r="D140" s="34" t="s">
        <v>20</v>
      </c>
      <c r="E140" s="34">
        <v>0</v>
      </c>
      <c r="F140" s="34">
        <v>0</v>
      </c>
    </row>
    <row r="141" spans="1:6">
      <c r="A141" s="34" t="s">
        <v>1092</v>
      </c>
      <c r="B141" s="34" t="s">
        <v>51</v>
      </c>
      <c r="C141" s="34" t="s">
        <v>40</v>
      </c>
      <c r="D141" s="34" t="s">
        <v>21</v>
      </c>
      <c r="E141" s="34">
        <v>0</v>
      </c>
      <c r="F141" s="34">
        <v>0</v>
      </c>
    </row>
    <row r="142" spans="1:6">
      <c r="A142" s="34" t="s">
        <v>1092</v>
      </c>
      <c r="B142" s="34" t="s">
        <v>51</v>
      </c>
      <c r="C142" s="34" t="s">
        <v>41</v>
      </c>
      <c r="D142" s="34" t="s">
        <v>22</v>
      </c>
      <c r="E142" s="34">
        <v>0</v>
      </c>
      <c r="F142" s="34">
        <v>0</v>
      </c>
    </row>
    <row r="143" spans="1:6">
      <c r="A143" s="34" t="s">
        <v>1092</v>
      </c>
      <c r="B143" s="34" t="s">
        <v>51</v>
      </c>
      <c r="C143" s="34" t="s">
        <v>42</v>
      </c>
      <c r="D143" s="34" t="s">
        <v>23</v>
      </c>
      <c r="E143" s="34">
        <v>0</v>
      </c>
      <c r="F143" s="34">
        <v>0</v>
      </c>
    </row>
    <row r="144" spans="1:6">
      <c r="A144" s="34" t="s">
        <v>1092</v>
      </c>
      <c r="B144" s="34" t="s">
        <v>51</v>
      </c>
      <c r="C144" s="34" t="s">
        <v>43</v>
      </c>
      <c r="D144" s="34" t="s">
        <v>24</v>
      </c>
      <c r="E144" s="34">
        <v>0</v>
      </c>
      <c r="F144" s="34">
        <v>0</v>
      </c>
    </row>
    <row r="145" spans="1:6">
      <c r="A145" s="34" t="s">
        <v>1092</v>
      </c>
      <c r="B145" s="34" t="s">
        <v>51</v>
      </c>
      <c r="C145" s="34" t="s">
        <v>44</v>
      </c>
      <c r="D145" s="34" t="s">
        <v>25</v>
      </c>
      <c r="E145" s="34">
        <v>0</v>
      </c>
      <c r="F145" s="34">
        <v>0</v>
      </c>
    </row>
    <row r="146" spans="1:6">
      <c r="A146" s="34" t="s">
        <v>1092</v>
      </c>
      <c r="B146" s="34" t="s">
        <v>58</v>
      </c>
      <c r="C146" s="34" t="s">
        <v>59</v>
      </c>
      <c r="D146" s="34" t="s">
        <v>14</v>
      </c>
      <c r="E146" s="34">
        <v>0</v>
      </c>
      <c r="F146" s="34">
        <v>0</v>
      </c>
    </row>
    <row r="147" spans="1:6">
      <c r="A147" s="34" t="s">
        <v>1092</v>
      </c>
      <c r="B147" s="34" t="s">
        <v>58</v>
      </c>
      <c r="C147" s="34" t="s">
        <v>35</v>
      </c>
      <c r="D147" s="34" t="s">
        <v>15</v>
      </c>
      <c r="E147" s="34">
        <v>0</v>
      </c>
      <c r="F147" s="34">
        <v>0</v>
      </c>
    </row>
    <row r="148" spans="1:6">
      <c r="A148" s="34" t="s">
        <v>1092</v>
      </c>
      <c r="B148" s="34" t="s">
        <v>58</v>
      </c>
      <c r="C148" s="34" t="s">
        <v>36</v>
      </c>
      <c r="D148" s="34" t="s">
        <v>16</v>
      </c>
      <c r="E148" s="34">
        <v>0</v>
      </c>
      <c r="F148" s="34">
        <v>0</v>
      </c>
    </row>
    <row r="149" spans="1:6">
      <c r="A149" s="34" t="s">
        <v>1092</v>
      </c>
      <c r="B149" s="34" t="s">
        <v>58</v>
      </c>
      <c r="C149" s="34" t="s">
        <v>37</v>
      </c>
      <c r="D149" s="34" t="s">
        <v>17</v>
      </c>
      <c r="E149" s="34">
        <v>0</v>
      </c>
      <c r="F149" s="34">
        <v>0</v>
      </c>
    </row>
    <row r="150" spans="1:6">
      <c r="A150" s="34" t="s">
        <v>1092</v>
      </c>
      <c r="B150" s="34" t="s">
        <v>58</v>
      </c>
      <c r="C150" s="34" t="s">
        <v>38</v>
      </c>
      <c r="D150" s="34" t="s">
        <v>18</v>
      </c>
      <c r="E150" s="34">
        <v>0</v>
      </c>
      <c r="F150" s="34">
        <v>0</v>
      </c>
    </row>
    <row r="151" spans="1:6">
      <c r="A151" s="34" t="s">
        <v>1092</v>
      </c>
      <c r="B151" s="34" t="s">
        <v>58</v>
      </c>
      <c r="C151" s="34" t="s">
        <v>39</v>
      </c>
      <c r="D151" s="34" t="s">
        <v>19</v>
      </c>
      <c r="E151" s="34">
        <v>0</v>
      </c>
      <c r="F151" s="34">
        <v>0</v>
      </c>
    </row>
    <row r="152" spans="1:6">
      <c r="A152" s="34" t="s">
        <v>1092</v>
      </c>
      <c r="B152" s="34" t="s">
        <v>58</v>
      </c>
      <c r="C152" s="34" t="s">
        <v>40</v>
      </c>
      <c r="D152" s="34" t="s">
        <v>20</v>
      </c>
      <c r="E152" s="34">
        <v>0</v>
      </c>
      <c r="F152" s="34">
        <v>0</v>
      </c>
    </row>
    <row r="153" spans="1:6">
      <c r="A153" s="34" t="s">
        <v>1092</v>
      </c>
      <c r="B153" s="34" t="s">
        <v>58</v>
      </c>
      <c r="C153" s="34" t="s">
        <v>40</v>
      </c>
      <c r="D153" s="34" t="s">
        <v>21</v>
      </c>
      <c r="E153" s="34">
        <v>0</v>
      </c>
      <c r="F153" s="34">
        <v>0</v>
      </c>
    </row>
    <row r="154" spans="1:6">
      <c r="A154" s="34" t="s">
        <v>1092</v>
      </c>
      <c r="B154" s="34" t="s">
        <v>58</v>
      </c>
      <c r="C154" s="34" t="s">
        <v>41</v>
      </c>
      <c r="D154" s="34" t="s">
        <v>22</v>
      </c>
      <c r="E154" s="34">
        <v>0</v>
      </c>
      <c r="F154" s="34">
        <v>0</v>
      </c>
    </row>
    <row r="155" spans="1:6">
      <c r="A155" s="34" t="s">
        <v>1092</v>
      </c>
      <c r="B155" s="34" t="s">
        <v>58</v>
      </c>
      <c r="C155" s="34" t="s">
        <v>42</v>
      </c>
      <c r="D155" s="34" t="s">
        <v>23</v>
      </c>
      <c r="E155" s="34">
        <v>0</v>
      </c>
      <c r="F155" s="34">
        <v>0</v>
      </c>
    </row>
    <row r="156" spans="1:6">
      <c r="A156" s="34" t="s">
        <v>1092</v>
      </c>
      <c r="B156" s="34" t="s">
        <v>58</v>
      </c>
      <c r="C156" s="34" t="s">
        <v>43</v>
      </c>
      <c r="D156" s="34" t="s">
        <v>24</v>
      </c>
      <c r="E156" s="34">
        <v>0</v>
      </c>
      <c r="F156" s="34">
        <v>0</v>
      </c>
    </row>
    <row r="157" spans="1:6">
      <c r="A157" s="34" t="s">
        <v>1092</v>
      </c>
      <c r="B157" s="34" t="s">
        <v>58</v>
      </c>
      <c r="C157" s="34" t="s">
        <v>44</v>
      </c>
      <c r="D157" s="34" t="s">
        <v>25</v>
      </c>
      <c r="E157" s="34">
        <v>0</v>
      </c>
      <c r="F157" s="34">
        <v>0</v>
      </c>
    </row>
    <row r="158" spans="1:6">
      <c r="A158" s="34" t="s">
        <v>1092</v>
      </c>
      <c r="B158" s="34" t="s">
        <v>60</v>
      </c>
      <c r="C158" s="34" t="s">
        <v>61</v>
      </c>
      <c r="D158" s="34" t="s">
        <v>14</v>
      </c>
      <c r="E158" s="34">
        <v>0</v>
      </c>
      <c r="F158" s="34">
        <v>0</v>
      </c>
    </row>
    <row r="159" spans="1:6">
      <c r="A159" s="34" t="s">
        <v>1092</v>
      </c>
      <c r="B159" s="34" t="s">
        <v>60</v>
      </c>
      <c r="C159" s="34" t="s">
        <v>35</v>
      </c>
      <c r="D159" s="34" t="s">
        <v>15</v>
      </c>
      <c r="E159" s="34">
        <v>0</v>
      </c>
      <c r="F159" s="34">
        <v>0</v>
      </c>
    </row>
    <row r="160" spans="1:6">
      <c r="A160" s="34" t="s">
        <v>1092</v>
      </c>
      <c r="B160" s="34" t="s">
        <v>60</v>
      </c>
      <c r="C160" s="34" t="s">
        <v>36</v>
      </c>
      <c r="D160" s="34" t="s">
        <v>16</v>
      </c>
      <c r="E160" s="34">
        <v>0</v>
      </c>
      <c r="F160" s="34">
        <v>0</v>
      </c>
    </row>
    <row r="161" spans="1:6">
      <c r="A161" s="34" t="s">
        <v>1092</v>
      </c>
      <c r="B161" s="34" t="s">
        <v>60</v>
      </c>
      <c r="C161" s="34" t="s">
        <v>37</v>
      </c>
      <c r="D161" s="34" t="s">
        <v>17</v>
      </c>
      <c r="E161" s="34">
        <v>0</v>
      </c>
      <c r="F161" s="34">
        <v>0</v>
      </c>
    </row>
    <row r="162" spans="1:6">
      <c r="A162" s="34" t="s">
        <v>1092</v>
      </c>
      <c r="B162" s="34" t="s">
        <v>60</v>
      </c>
      <c r="C162" s="34" t="s">
        <v>38</v>
      </c>
      <c r="D162" s="34" t="s">
        <v>18</v>
      </c>
      <c r="E162" s="34">
        <v>0</v>
      </c>
      <c r="F162" s="34">
        <v>0</v>
      </c>
    </row>
    <row r="163" spans="1:6">
      <c r="A163" s="34" t="s">
        <v>1092</v>
      </c>
      <c r="B163" s="34" t="s">
        <v>60</v>
      </c>
      <c r="C163" s="34" t="s">
        <v>39</v>
      </c>
      <c r="D163" s="34" t="s">
        <v>19</v>
      </c>
      <c r="E163" s="34">
        <v>0</v>
      </c>
      <c r="F163" s="34">
        <v>0</v>
      </c>
    </row>
    <row r="164" spans="1:6">
      <c r="A164" s="34" t="s">
        <v>1092</v>
      </c>
      <c r="B164" s="34" t="s">
        <v>60</v>
      </c>
      <c r="C164" s="34" t="s">
        <v>40</v>
      </c>
      <c r="D164" s="34" t="s">
        <v>20</v>
      </c>
      <c r="E164" s="34">
        <v>0</v>
      </c>
      <c r="F164" s="34">
        <v>0</v>
      </c>
    </row>
    <row r="165" spans="1:6">
      <c r="A165" s="34" t="s">
        <v>1092</v>
      </c>
      <c r="B165" s="34" t="s">
        <v>60</v>
      </c>
      <c r="C165" s="34" t="s">
        <v>40</v>
      </c>
      <c r="D165" s="34" t="s">
        <v>21</v>
      </c>
      <c r="E165" s="34">
        <v>0</v>
      </c>
      <c r="F165" s="34">
        <v>0</v>
      </c>
    </row>
    <row r="166" spans="1:6">
      <c r="A166" s="34" t="s">
        <v>1092</v>
      </c>
      <c r="B166" s="34" t="s">
        <v>60</v>
      </c>
      <c r="C166" s="34" t="s">
        <v>41</v>
      </c>
      <c r="D166" s="34" t="s">
        <v>22</v>
      </c>
      <c r="E166" s="34">
        <v>0</v>
      </c>
      <c r="F166" s="34">
        <v>0</v>
      </c>
    </row>
    <row r="167" spans="1:6">
      <c r="A167" s="34" t="s">
        <v>1092</v>
      </c>
      <c r="B167" s="34" t="s">
        <v>60</v>
      </c>
      <c r="C167" s="34" t="s">
        <v>42</v>
      </c>
      <c r="D167" s="34" t="s">
        <v>23</v>
      </c>
      <c r="E167" s="34">
        <v>0</v>
      </c>
      <c r="F167" s="34">
        <v>0</v>
      </c>
    </row>
    <row r="168" spans="1:6">
      <c r="A168" s="34" t="s">
        <v>1092</v>
      </c>
      <c r="B168" s="34" t="s">
        <v>60</v>
      </c>
      <c r="C168" s="34" t="s">
        <v>43</v>
      </c>
      <c r="D168" s="34" t="s">
        <v>24</v>
      </c>
      <c r="E168" s="34">
        <v>0</v>
      </c>
      <c r="F168" s="34">
        <v>0</v>
      </c>
    </row>
    <row r="169" spans="1:6">
      <c r="A169" s="34" t="s">
        <v>1092</v>
      </c>
      <c r="B169" s="34" t="s">
        <v>60</v>
      </c>
      <c r="C169" s="34" t="s">
        <v>44</v>
      </c>
      <c r="D169" s="34" t="s">
        <v>25</v>
      </c>
      <c r="E169" s="34">
        <v>0</v>
      </c>
      <c r="F169" s="34">
        <v>0</v>
      </c>
    </row>
    <row r="170" spans="1:6">
      <c r="A170" s="34" t="s">
        <v>1092</v>
      </c>
      <c r="B170" s="34" t="s">
        <v>62</v>
      </c>
      <c r="C170" s="34" t="s">
        <v>34</v>
      </c>
      <c r="D170" s="34" t="s">
        <v>14</v>
      </c>
      <c r="E170" s="34">
        <v>0</v>
      </c>
      <c r="F170" s="34">
        <v>0</v>
      </c>
    </row>
    <row r="171" spans="1:6">
      <c r="A171" s="34" t="s">
        <v>1092</v>
      </c>
      <c r="B171" s="34" t="s">
        <v>62</v>
      </c>
      <c r="C171" s="34" t="s">
        <v>35</v>
      </c>
      <c r="D171" s="34" t="s">
        <v>15</v>
      </c>
      <c r="E171" s="34">
        <v>0</v>
      </c>
      <c r="F171" s="34">
        <v>0</v>
      </c>
    </row>
    <row r="172" spans="1:6">
      <c r="A172" s="34" t="s">
        <v>1092</v>
      </c>
      <c r="B172" s="34" t="s">
        <v>62</v>
      </c>
      <c r="C172" s="34" t="s">
        <v>36</v>
      </c>
      <c r="D172" s="34" t="s">
        <v>16</v>
      </c>
      <c r="E172" s="34">
        <v>0</v>
      </c>
      <c r="F172" s="34">
        <v>0</v>
      </c>
    </row>
    <row r="173" spans="1:6">
      <c r="A173" s="34" t="s">
        <v>1092</v>
      </c>
      <c r="B173" s="34" t="s">
        <v>62</v>
      </c>
      <c r="C173" s="34" t="s">
        <v>37</v>
      </c>
      <c r="D173" s="34" t="s">
        <v>17</v>
      </c>
      <c r="E173" s="34">
        <v>0</v>
      </c>
      <c r="F173" s="34">
        <v>0</v>
      </c>
    </row>
    <row r="174" spans="1:6">
      <c r="A174" s="34" t="s">
        <v>1092</v>
      </c>
      <c r="B174" s="34" t="s">
        <v>62</v>
      </c>
      <c r="C174" s="34" t="s">
        <v>38</v>
      </c>
      <c r="D174" s="34" t="s">
        <v>18</v>
      </c>
      <c r="E174" s="34">
        <v>0</v>
      </c>
      <c r="F174" s="34">
        <v>0</v>
      </c>
    </row>
    <row r="175" spans="1:6">
      <c r="A175" s="34" t="s">
        <v>1092</v>
      </c>
      <c r="B175" s="34" t="s">
        <v>62</v>
      </c>
      <c r="C175" s="34" t="s">
        <v>39</v>
      </c>
      <c r="D175" s="34" t="s">
        <v>19</v>
      </c>
      <c r="E175" s="34">
        <v>0</v>
      </c>
      <c r="F175" s="34">
        <v>0</v>
      </c>
    </row>
    <row r="176" spans="1:6">
      <c r="A176" s="34" t="s">
        <v>1092</v>
      </c>
      <c r="B176" s="34" t="s">
        <v>62</v>
      </c>
      <c r="C176" s="34" t="s">
        <v>40</v>
      </c>
      <c r="D176" s="34" t="s">
        <v>20</v>
      </c>
      <c r="E176" s="34">
        <v>0</v>
      </c>
      <c r="F176" s="34">
        <v>0</v>
      </c>
    </row>
    <row r="177" spans="1:6">
      <c r="A177" s="34" t="s">
        <v>1092</v>
      </c>
      <c r="B177" s="34" t="s">
        <v>62</v>
      </c>
      <c r="C177" s="34" t="s">
        <v>40</v>
      </c>
      <c r="D177" s="34" t="s">
        <v>21</v>
      </c>
      <c r="E177" s="34">
        <v>0</v>
      </c>
      <c r="F177" s="34">
        <v>0</v>
      </c>
    </row>
    <row r="178" spans="1:6">
      <c r="A178" s="34" t="s">
        <v>1092</v>
      </c>
      <c r="B178" s="34" t="s">
        <v>62</v>
      </c>
      <c r="C178" s="34" t="s">
        <v>41</v>
      </c>
      <c r="D178" s="34" t="s">
        <v>22</v>
      </c>
      <c r="E178" s="34">
        <v>0</v>
      </c>
      <c r="F178" s="34">
        <v>0</v>
      </c>
    </row>
    <row r="179" spans="1:6">
      <c r="A179" s="34" t="s">
        <v>1092</v>
      </c>
      <c r="B179" s="34" t="s">
        <v>62</v>
      </c>
      <c r="C179" s="34" t="s">
        <v>42</v>
      </c>
      <c r="D179" s="34" t="s">
        <v>23</v>
      </c>
      <c r="E179" s="34">
        <v>0</v>
      </c>
      <c r="F179" s="34">
        <v>0</v>
      </c>
    </row>
    <row r="180" spans="1:6">
      <c r="A180" s="34" t="s">
        <v>1092</v>
      </c>
      <c r="B180" s="34" t="s">
        <v>62</v>
      </c>
      <c r="C180" s="34" t="s">
        <v>43</v>
      </c>
      <c r="D180" s="34" t="s">
        <v>24</v>
      </c>
      <c r="E180" s="34">
        <v>0</v>
      </c>
      <c r="F180" s="34">
        <v>0</v>
      </c>
    </row>
    <row r="181" spans="1:6">
      <c r="A181" s="34" t="s">
        <v>1092</v>
      </c>
      <c r="B181" s="34" t="s">
        <v>62</v>
      </c>
      <c r="C181" s="34" t="s">
        <v>44</v>
      </c>
      <c r="D181" s="34" t="s">
        <v>25</v>
      </c>
      <c r="E181" s="34">
        <v>0</v>
      </c>
      <c r="F181" s="34">
        <v>0</v>
      </c>
    </row>
    <row r="182" spans="1:6">
      <c r="A182" s="34" t="s">
        <v>1092</v>
      </c>
      <c r="B182" s="34" t="s">
        <v>63</v>
      </c>
      <c r="C182" s="34" t="s">
        <v>64</v>
      </c>
      <c r="D182" s="34" t="s">
        <v>14</v>
      </c>
      <c r="E182" s="34">
        <v>0</v>
      </c>
      <c r="F182" s="34">
        <v>0</v>
      </c>
    </row>
    <row r="183" spans="1:6">
      <c r="A183" s="34" t="s">
        <v>1092</v>
      </c>
      <c r="B183" s="34" t="s">
        <v>63</v>
      </c>
      <c r="C183" s="34" t="s">
        <v>35</v>
      </c>
      <c r="D183" s="34" t="s">
        <v>15</v>
      </c>
      <c r="E183" s="34">
        <v>0</v>
      </c>
      <c r="F183" s="34">
        <v>0</v>
      </c>
    </row>
    <row r="184" spans="1:6">
      <c r="A184" s="34" t="s">
        <v>1092</v>
      </c>
      <c r="B184" s="34" t="s">
        <v>63</v>
      </c>
      <c r="C184" s="34" t="s">
        <v>36</v>
      </c>
      <c r="D184" s="34" t="s">
        <v>16</v>
      </c>
      <c r="E184" s="34">
        <v>0</v>
      </c>
      <c r="F184" s="34">
        <v>0</v>
      </c>
    </row>
    <row r="185" spans="1:6">
      <c r="A185" s="34" t="s">
        <v>1092</v>
      </c>
      <c r="B185" s="34" t="s">
        <v>63</v>
      </c>
      <c r="C185" s="34" t="s">
        <v>37</v>
      </c>
      <c r="D185" s="34" t="s">
        <v>17</v>
      </c>
      <c r="E185" s="34">
        <v>0</v>
      </c>
      <c r="F185" s="34">
        <v>0</v>
      </c>
    </row>
    <row r="186" spans="1:6">
      <c r="A186" s="34" t="s">
        <v>1092</v>
      </c>
      <c r="B186" s="34" t="s">
        <v>63</v>
      </c>
      <c r="C186" s="34" t="s">
        <v>38</v>
      </c>
      <c r="D186" s="34" t="s">
        <v>18</v>
      </c>
      <c r="E186" s="34">
        <v>0</v>
      </c>
      <c r="F186" s="34">
        <v>0</v>
      </c>
    </row>
    <row r="187" spans="1:6">
      <c r="A187" s="34" t="s">
        <v>1092</v>
      </c>
      <c r="B187" s="34" t="s">
        <v>63</v>
      </c>
      <c r="C187" s="34" t="s">
        <v>39</v>
      </c>
      <c r="D187" s="34" t="s">
        <v>19</v>
      </c>
      <c r="E187" s="34">
        <v>0</v>
      </c>
      <c r="F187" s="34">
        <v>0</v>
      </c>
    </row>
    <row r="188" spans="1:6">
      <c r="A188" s="34" t="s">
        <v>1092</v>
      </c>
      <c r="B188" s="34" t="s">
        <v>63</v>
      </c>
      <c r="C188" s="34" t="s">
        <v>40</v>
      </c>
      <c r="D188" s="34" t="s">
        <v>20</v>
      </c>
      <c r="E188" s="34">
        <v>0</v>
      </c>
      <c r="F188" s="34">
        <v>0</v>
      </c>
    </row>
    <row r="189" spans="1:6">
      <c r="A189" s="34" t="s">
        <v>1092</v>
      </c>
      <c r="B189" s="34" t="s">
        <v>63</v>
      </c>
      <c r="C189" s="34" t="s">
        <v>40</v>
      </c>
      <c r="D189" s="34" t="s">
        <v>21</v>
      </c>
      <c r="E189" s="34">
        <v>0</v>
      </c>
      <c r="F189" s="34">
        <v>0</v>
      </c>
    </row>
    <row r="190" spans="1:6">
      <c r="A190" s="34" t="s">
        <v>1092</v>
      </c>
      <c r="B190" s="34" t="s">
        <v>63</v>
      </c>
      <c r="C190" s="34" t="s">
        <v>41</v>
      </c>
      <c r="D190" s="34" t="s">
        <v>22</v>
      </c>
      <c r="E190" s="34">
        <v>0</v>
      </c>
      <c r="F190" s="34">
        <v>0</v>
      </c>
    </row>
    <row r="191" spans="1:6">
      <c r="A191" s="34" t="s">
        <v>1092</v>
      </c>
      <c r="B191" s="34" t="s">
        <v>63</v>
      </c>
      <c r="C191" s="34" t="s">
        <v>42</v>
      </c>
      <c r="D191" s="34" t="s">
        <v>23</v>
      </c>
      <c r="E191" s="34">
        <v>0</v>
      </c>
      <c r="F191" s="34">
        <v>0</v>
      </c>
    </row>
    <row r="192" spans="1:6">
      <c r="A192" s="34" t="s">
        <v>1092</v>
      </c>
      <c r="B192" s="34" t="s">
        <v>63</v>
      </c>
      <c r="C192" s="34" t="s">
        <v>43</v>
      </c>
      <c r="D192" s="34" t="s">
        <v>24</v>
      </c>
      <c r="E192" s="34">
        <v>0</v>
      </c>
      <c r="F192" s="34">
        <v>0</v>
      </c>
    </row>
    <row r="193" spans="1:6">
      <c r="A193" s="34" t="s">
        <v>1092</v>
      </c>
      <c r="B193" s="34" t="s">
        <v>63</v>
      </c>
      <c r="C193" s="34" t="s">
        <v>44</v>
      </c>
      <c r="D193" s="34" t="s">
        <v>25</v>
      </c>
      <c r="E193" s="34">
        <v>0</v>
      </c>
      <c r="F193" s="34">
        <v>0</v>
      </c>
    </row>
    <row r="194" spans="1:6">
      <c r="A194" s="34" t="s">
        <v>1091</v>
      </c>
      <c r="B194" s="34" t="s">
        <v>49</v>
      </c>
      <c r="C194" s="34" t="s">
        <v>34</v>
      </c>
      <c r="D194" s="34" t="s">
        <v>14</v>
      </c>
      <c r="E194" s="34">
        <v>0</v>
      </c>
      <c r="F194" s="34">
        <v>0</v>
      </c>
    </row>
    <row r="195" spans="1:6">
      <c r="A195" s="34" t="s">
        <v>1091</v>
      </c>
      <c r="B195" s="34" t="s">
        <v>49</v>
      </c>
      <c r="C195" s="34" t="s">
        <v>35</v>
      </c>
      <c r="D195" s="34" t="s">
        <v>15</v>
      </c>
      <c r="E195" s="34">
        <v>0</v>
      </c>
      <c r="F195" s="34">
        <v>0</v>
      </c>
    </row>
    <row r="196" spans="1:6">
      <c r="A196" s="34" t="s">
        <v>1091</v>
      </c>
      <c r="B196" s="34" t="s">
        <v>49</v>
      </c>
      <c r="C196" s="34" t="s">
        <v>36</v>
      </c>
      <c r="D196" s="34" t="s">
        <v>16</v>
      </c>
      <c r="E196" s="34">
        <v>0</v>
      </c>
      <c r="F196" s="34">
        <v>0</v>
      </c>
    </row>
    <row r="197" spans="1:6">
      <c r="A197" s="34" t="s">
        <v>1091</v>
      </c>
      <c r="B197" s="34" t="s">
        <v>49</v>
      </c>
      <c r="C197" s="34" t="s">
        <v>37</v>
      </c>
      <c r="D197" s="34" t="s">
        <v>17</v>
      </c>
      <c r="E197" s="34">
        <v>0</v>
      </c>
      <c r="F197" s="34">
        <v>0</v>
      </c>
    </row>
    <row r="198" spans="1:6">
      <c r="A198" s="34" t="s">
        <v>1091</v>
      </c>
      <c r="B198" s="34" t="s">
        <v>49</v>
      </c>
      <c r="C198" s="34" t="s">
        <v>38</v>
      </c>
      <c r="D198" s="34" t="s">
        <v>18</v>
      </c>
      <c r="E198" s="34">
        <v>0</v>
      </c>
      <c r="F198" s="34">
        <v>0</v>
      </c>
    </row>
    <row r="199" spans="1:6">
      <c r="A199" s="34" t="s">
        <v>1091</v>
      </c>
      <c r="B199" s="34" t="s">
        <v>49</v>
      </c>
      <c r="C199" s="34" t="s">
        <v>39</v>
      </c>
      <c r="D199" s="34" t="s">
        <v>19</v>
      </c>
      <c r="E199" s="34">
        <v>0</v>
      </c>
      <c r="F199" s="34">
        <v>0</v>
      </c>
    </row>
    <row r="200" spans="1:6">
      <c r="A200" s="34" t="s">
        <v>1091</v>
      </c>
      <c r="B200" s="34" t="s">
        <v>49</v>
      </c>
      <c r="C200" s="34" t="s">
        <v>40</v>
      </c>
      <c r="D200" s="34" t="s">
        <v>20</v>
      </c>
      <c r="E200" s="34">
        <v>0</v>
      </c>
      <c r="F200" s="34">
        <v>0</v>
      </c>
    </row>
    <row r="201" spans="1:6">
      <c r="A201" s="34" t="s">
        <v>1091</v>
      </c>
      <c r="B201" s="34" t="s">
        <v>49</v>
      </c>
      <c r="C201" s="34" t="s">
        <v>40</v>
      </c>
      <c r="D201" s="34" t="s">
        <v>21</v>
      </c>
      <c r="E201" s="34">
        <v>0</v>
      </c>
      <c r="F201" s="34">
        <v>0</v>
      </c>
    </row>
    <row r="202" spans="1:6">
      <c r="A202" s="34" t="s">
        <v>1091</v>
      </c>
      <c r="B202" s="34" t="s">
        <v>49</v>
      </c>
      <c r="C202" s="34" t="s">
        <v>41</v>
      </c>
      <c r="D202" s="34" t="s">
        <v>22</v>
      </c>
      <c r="E202" s="34">
        <v>0</v>
      </c>
      <c r="F202" s="34">
        <v>0</v>
      </c>
    </row>
    <row r="203" spans="1:6">
      <c r="A203" s="34" t="s">
        <v>1091</v>
      </c>
      <c r="B203" s="34" t="s">
        <v>49</v>
      </c>
      <c r="C203" s="34" t="s">
        <v>42</v>
      </c>
      <c r="D203" s="34" t="s">
        <v>23</v>
      </c>
      <c r="E203" s="34">
        <v>0</v>
      </c>
      <c r="F203" s="34">
        <v>0</v>
      </c>
    </row>
    <row r="204" spans="1:6">
      <c r="A204" s="34" t="s">
        <v>1091</v>
      </c>
      <c r="B204" s="34" t="s">
        <v>49</v>
      </c>
      <c r="C204" s="34" t="s">
        <v>43</v>
      </c>
      <c r="D204" s="34" t="s">
        <v>24</v>
      </c>
      <c r="E204" s="34">
        <v>0</v>
      </c>
      <c r="F204" s="34">
        <v>0</v>
      </c>
    </row>
    <row r="205" spans="1:6">
      <c r="A205" s="34" t="s">
        <v>1091</v>
      </c>
      <c r="B205" s="34" t="s">
        <v>49</v>
      </c>
      <c r="C205" s="34" t="s">
        <v>44</v>
      </c>
      <c r="D205" s="34" t="s">
        <v>25</v>
      </c>
      <c r="E205" s="34">
        <v>0</v>
      </c>
      <c r="F205" s="34">
        <v>0</v>
      </c>
    </row>
    <row r="206" spans="1:6">
      <c r="A206" s="34" t="s">
        <v>1091</v>
      </c>
      <c r="B206" s="34" t="s">
        <v>50</v>
      </c>
      <c r="C206" s="34" t="s">
        <v>34</v>
      </c>
      <c r="D206" s="34" t="s">
        <v>14</v>
      </c>
      <c r="E206" s="34">
        <v>0</v>
      </c>
      <c r="F206" s="34">
        <v>0</v>
      </c>
    </row>
    <row r="207" spans="1:6">
      <c r="A207" s="34" t="s">
        <v>1091</v>
      </c>
      <c r="B207" s="34" t="s">
        <v>50</v>
      </c>
      <c r="C207" s="34" t="s">
        <v>35</v>
      </c>
      <c r="D207" s="34" t="s">
        <v>15</v>
      </c>
      <c r="E207" s="34">
        <v>0</v>
      </c>
      <c r="F207" s="34">
        <v>0</v>
      </c>
    </row>
    <row r="208" spans="1:6">
      <c r="A208" s="34" t="s">
        <v>1091</v>
      </c>
      <c r="B208" s="34" t="s">
        <v>50</v>
      </c>
      <c r="C208" s="34" t="s">
        <v>36</v>
      </c>
      <c r="D208" s="34" t="s">
        <v>16</v>
      </c>
      <c r="E208" s="34">
        <v>0</v>
      </c>
      <c r="F208" s="34">
        <v>0</v>
      </c>
    </row>
    <row r="209" spans="1:6">
      <c r="A209" s="34" t="s">
        <v>1091</v>
      </c>
      <c r="B209" s="34" t="s">
        <v>50</v>
      </c>
      <c r="C209" s="34" t="s">
        <v>37</v>
      </c>
      <c r="D209" s="34" t="s">
        <v>17</v>
      </c>
      <c r="E209" s="34">
        <v>0</v>
      </c>
      <c r="F209" s="34">
        <v>0</v>
      </c>
    </row>
    <row r="210" spans="1:6">
      <c r="A210" s="34" t="s">
        <v>1091</v>
      </c>
      <c r="B210" s="34" t="s">
        <v>50</v>
      </c>
      <c r="C210" s="34" t="s">
        <v>38</v>
      </c>
      <c r="D210" s="34" t="s">
        <v>18</v>
      </c>
      <c r="E210" s="34">
        <v>0</v>
      </c>
      <c r="F210" s="34">
        <v>0</v>
      </c>
    </row>
    <row r="211" spans="1:6">
      <c r="A211" s="34" t="s">
        <v>1091</v>
      </c>
      <c r="B211" s="34" t="s">
        <v>50</v>
      </c>
      <c r="C211" s="34" t="s">
        <v>39</v>
      </c>
      <c r="D211" s="34" t="s">
        <v>19</v>
      </c>
      <c r="E211" s="34">
        <v>0</v>
      </c>
      <c r="F211" s="34">
        <v>0</v>
      </c>
    </row>
    <row r="212" spans="1:6">
      <c r="A212" s="34" t="s">
        <v>1091</v>
      </c>
      <c r="B212" s="34" t="s">
        <v>50</v>
      </c>
      <c r="C212" s="34" t="s">
        <v>40</v>
      </c>
      <c r="D212" s="34" t="s">
        <v>20</v>
      </c>
      <c r="E212" s="34">
        <v>0</v>
      </c>
      <c r="F212" s="34">
        <v>0</v>
      </c>
    </row>
    <row r="213" spans="1:6">
      <c r="A213" s="34" t="s">
        <v>1091</v>
      </c>
      <c r="B213" s="34" t="s">
        <v>50</v>
      </c>
      <c r="C213" s="34" t="s">
        <v>40</v>
      </c>
      <c r="D213" s="34" t="s">
        <v>21</v>
      </c>
      <c r="E213" s="34">
        <v>0</v>
      </c>
      <c r="F213" s="34">
        <v>0</v>
      </c>
    </row>
    <row r="214" spans="1:6">
      <c r="A214" s="34" t="s">
        <v>1091</v>
      </c>
      <c r="B214" s="34" t="s">
        <v>50</v>
      </c>
      <c r="C214" s="34" t="s">
        <v>41</v>
      </c>
      <c r="D214" s="34" t="s">
        <v>22</v>
      </c>
      <c r="E214" s="34">
        <v>0</v>
      </c>
      <c r="F214" s="34">
        <v>0</v>
      </c>
    </row>
    <row r="215" spans="1:6">
      <c r="A215" s="34" t="s">
        <v>1091</v>
      </c>
      <c r="B215" s="34" t="s">
        <v>50</v>
      </c>
      <c r="C215" s="34" t="s">
        <v>42</v>
      </c>
      <c r="D215" s="34" t="s">
        <v>23</v>
      </c>
      <c r="E215" s="34">
        <v>0</v>
      </c>
      <c r="F215" s="34">
        <v>0</v>
      </c>
    </row>
    <row r="216" spans="1:6">
      <c r="A216" s="34" t="s">
        <v>1091</v>
      </c>
      <c r="B216" s="34" t="s">
        <v>50</v>
      </c>
      <c r="C216" s="34" t="s">
        <v>43</v>
      </c>
      <c r="D216" s="34" t="s">
        <v>24</v>
      </c>
      <c r="E216" s="34">
        <v>0</v>
      </c>
      <c r="F216" s="34">
        <v>0</v>
      </c>
    </row>
    <row r="217" spans="1:6">
      <c r="A217" s="34" t="s">
        <v>1091</v>
      </c>
      <c r="B217" s="34" t="s">
        <v>50</v>
      </c>
      <c r="C217" s="34" t="s">
        <v>44</v>
      </c>
      <c r="D217" s="34" t="s">
        <v>25</v>
      </c>
      <c r="E217" s="34">
        <v>0</v>
      </c>
      <c r="F217" s="34">
        <v>0</v>
      </c>
    </row>
    <row r="218" spans="1:6">
      <c r="A218" s="34" t="s">
        <v>1087</v>
      </c>
      <c r="B218" s="34" t="s">
        <v>33</v>
      </c>
      <c r="C218" s="34" t="s">
        <v>34</v>
      </c>
      <c r="D218" s="34" t="s">
        <v>14</v>
      </c>
      <c r="E218" s="34">
        <v>0</v>
      </c>
      <c r="F218" s="34">
        <v>0</v>
      </c>
    </row>
    <row r="219" spans="1:6">
      <c r="A219" s="34" t="s">
        <v>1087</v>
      </c>
      <c r="B219" s="34" t="s">
        <v>33</v>
      </c>
      <c r="C219" s="34" t="s">
        <v>35</v>
      </c>
      <c r="D219" s="34" t="s">
        <v>15</v>
      </c>
      <c r="E219" s="34">
        <v>0</v>
      </c>
      <c r="F219" s="34">
        <v>0</v>
      </c>
    </row>
    <row r="220" spans="1:6">
      <c r="A220" s="34" t="s">
        <v>1087</v>
      </c>
      <c r="B220" s="34" t="s">
        <v>33</v>
      </c>
      <c r="C220" s="34" t="s">
        <v>36</v>
      </c>
      <c r="D220" s="34" t="s">
        <v>16</v>
      </c>
      <c r="E220" s="34">
        <v>0</v>
      </c>
      <c r="F220" s="34">
        <v>0</v>
      </c>
    </row>
    <row r="221" spans="1:6">
      <c r="A221" s="34" t="s">
        <v>1087</v>
      </c>
      <c r="B221" s="34" t="s">
        <v>33</v>
      </c>
      <c r="C221" s="34" t="s">
        <v>37</v>
      </c>
      <c r="D221" s="34" t="s">
        <v>17</v>
      </c>
      <c r="E221" s="34">
        <v>0</v>
      </c>
      <c r="F221" s="34">
        <v>0</v>
      </c>
    </row>
    <row r="222" spans="1:6">
      <c r="A222" s="34" t="s">
        <v>1087</v>
      </c>
      <c r="B222" s="34" t="s">
        <v>33</v>
      </c>
      <c r="C222" s="34" t="s">
        <v>38</v>
      </c>
      <c r="D222" s="34" t="s">
        <v>18</v>
      </c>
      <c r="E222" s="34">
        <v>0</v>
      </c>
      <c r="F222" s="34">
        <v>0</v>
      </c>
    </row>
    <row r="223" spans="1:6">
      <c r="A223" s="34" t="s">
        <v>1087</v>
      </c>
      <c r="B223" s="34" t="s">
        <v>33</v>
      </c>
      <c r="C223" s="34" t="s">
        <v>39</v>
      </c>
      <c r="D223" s="34" t="s">
        <v>19</v>
      </c>
      <c r="E223" s="34">
        <v>0</v>
      </c>
      <c r="F223" s="34">
        <v>0</v>
      </c>
    </row>
    <row r="224" spans="1:6">
      <c r="A224" s="34" t="s">
        <v>1087</v>
      </c>
      <c r="B224" s="34" t="s">
        <v>33</v>
      </c>
      <c r="C224" s="34" t="s">
        <v>40</v>
      </c>
      <c r="D224" s="34" t="s">
        <v>20</v>
      </c>
      <c r="E224" s="34">
        <v>0</v>
      </c>
      <c r="F224" s="34">
        <v>0</v>
      </c>
    </row>
    <row r="225" spans="1:6">
      <c r="A225" s="34" t="s">
        <v>1087</v>
      </c>
      <c r="B225" s="34" t="s">
        <v>33</v>
      </c>
      <c r="C225" s="34" t="s">
        <v>40</v>
      </c>
      <c r="D225" s="34" t="s">
        <v>21</v>
      </c>
      <c r="E225" s="34">
        <v>0</v>
      </c>
      <c r="F225" s="34">
        <v>0</v>
      </c>
    </row>
    <row r="226" spans="1:6">
      <c r="A226" s="34" t="s">
        <v>1087</v>
      </c>
      <c r="B226" s="34" t="s">
        <v>33</v>
      </c>
      <c r="C226" s="34" t="s">
        <v>41</v>
      </c>
      <c r="D226" s="34" t="s">
        <v>22</v>
      </c>
      <c r="E226" s="34">
        <v>0</v>
      </c>
      <c r="F226" s="34">
        <v>0</v>
      </c>
    </row>
    <row r="227" spans="1:6">
      <c r="A227" s="34" t="s">
        <v>1087</v>
      </c>
      <c r="B227" s="34" t="s">
        <v>33</v>
      </c>
      <c r="C227" s="34" t="s">
        <v>42</v>
      </c>
      <c r="D227" s="34" t="s">
        <v>23</v>
      </c>
      <c r="E227" s="34">
        <v>0</v>
      </c>
      <c r="F227" s="34">
        <v>0</v>
      </c>
    </row>
    <row r="228" spans="1:6">
      <c r="A228" s="34" t="s">
        <v>1087</v>
      </c>
      <c r="B228" s="34" t="s">
        <v>33</v>
      </c>
      <c r="C228" s="34" t="s">
        <v>43</v>
      </c>
      <c r="D228" s="34" t="s">
        <v>24</v>
      </c>
      <c r="E228" s="34">
        <v>0</v>
      </c>
      <c r="F228" s="34">
        <v>0</v>
      </c>
    </row>
    <row r="229" spans="1:6">
      <c r="A229" s="34" t="s">
        <v>1087</v>
      </c>
      <c r="B229" s="34" t="s">
        <v>33</v>
      </c>
      <c r="C229" s="34" t="s">
        <v>44</v>
      </c>
      <c r="D229" s="34" t="s">
        <v>25</v>
      </c>
      <c r="E229" s="34">
        <v>0</v>
      </c>
      <c r="F229" s="34">
        <v>0</v>
      </c>
    </row>
    <row r="230" spans="1:6">
      <c r="A230" s="34" t="s">
        <v>1087</v>
      </c>
      <c r="B230" s="34" t="s">
        <v>65</v>
      </c>
      <c r="C230" s="34" t="s">
        <v>34</v>
      </c>
      <c r="D230" s="34" t="s">
        <v>14</v>
      </c>
      <c r="E230" s="34">
        <v>0</v>
      </c>
      <c r="F230" s="34">
        <v>0</v>
      </c>
    </row>
    <row r="231" spans="1:6">
      <c r="A231" s="34" t="s">
        <v>1087</v>
      </c>
      <c r="B231" s="34" t="s">
        <v>65</v>
      </c>
      <c r="C231" s="34" t="s">
        <v>35</v>
      </c>
      <c r="D231" s="34" t="s">
        <v>15</v>
      </c>
      <c r="E231" s="34">
        <v>0</v>
      </c>
      <c r="F231" s="34">
        <v>0</v>
      </c>
    </row>
    <row r="232" spans="1:6">
      <c r="A232" s="34" t="s">
        <v>1087</v>
      </c>
      <c r="B232" s="34" t="s">
        <v>65</v>
      </c>
      <c r="C232" s="34" t="s">
        <v>36</v>
      </c>
      <c r="D232" s="34" t="s">
        <v>16</v>
      </c>
      <c r="E232" s="34">
        <v>0</v>
      </c>
      <c r="F232" s="34">
        <v>0</v>
      </c>
    </row>
    <row r="233" spans="1:6">
      <c r="A233" s="34" t="s">
        <v>1087</v>
      </c>
      <c r="B233" s="34" t="s">
        <v>65</v>
      </c>
      <c r="C233" s="34" t="s">
        <v>37</v>
      </c>
      <c r="D233" s="34" t="s">
        <v>17</v>
      </c>
      <c r="E233" s="34">
        <v>0</v>
      </c>
      <c r="F233" s="34">
        <v>0</v>
      </c>
    </row>
    <row r="234" spans="1:6">
      <c r="A234" s="34" t="s">
        <v>1087</v>
      </c>
      <c r="B234" s="34" t="s">
        <v>65</v>
      </c>
      <c r="C234" s="34" t="s">
        <v>38</v>
      </c>
      <c r="D234" s="34" t="s">
        <v>18</v>
      </c>
      <c r="E234" s="34">
        <v>0</v>
      </c>
      <c r="F234" s="34">
        <v>0</v>
      </c>
    </row>
    <row r="235" spans="1:6">
      <c r="A235" s="34" t="s">
        <v>1087</v>
      </c>
      <c r="B235" s="34" t="s">
        <v>65</v>
      </c>
      <c r="C235" s="34" t="s">
        <v>39</v>
      </c>
      <c r="D235" s="34" t="s">
        <v>19</v>
      </c>
      <c r="E235" s="34">
        <v>0</v>
      </c>
      <c r="F235" s="34">
        <v>0</v>
      </c>
    </row>
    <row r="236" spans="1:6">
      <c r="A236" s="34" t="s">
        <v>1087</v>
      </c>
      <c r="B236" s="34" t="s">
        <v>65</v>
      </c>
      <c r="C236" s="34" t="s">
        <v>40</v>
      </c>
      <c r="D236" s="34" t="s">
        <v>20</v>
      </c>
      <c r="E236" s="34">
        <v>0</v>
      </c>
      <c r="F236" s="34">
        <v>0</v>
      </c>
    </row>
    <row r="237" spans="1:6">
      <c r="A237" s="34" t="s">
        <v>1087</v>
      </c>
      <c r="B237" s="34" t="s">
        <v>65</v>
      </c>
      <c r="C237" s="34" t="s">
        <v>40</v>
      </c>
      <c r="D237" s="34" t="s">
        <v>21</v>
      </c>
      <c r="E237" s="34">
        <v>0</v>
      </c>
      <c r="F237" s="34">
        <v>0</v>
      </c>
    </row>
    <row r="238" spans="1:6">
      <c r="A238" s="34" t="s">
        <v>1087</v>
      </c>
      <c r="B238" s="34" t="s">
        <v>65</v>
      </c>
      <c r="C238" s="34" t="s">
        <v>41</v>
      </c>
      <c r="D238" s="34" t="s">
        <v>22</v>
      </c>
      <c r="E238" s="34">
        <v>0</v>
      </c>
      <c r="F238" s="34">
        <v>0</v>
      </c>
    </row>
    <row r="239" spans="1:6">
      <c r="A239" s="34" t="s">
        <v>1087</v>
      </c>
      <c r="B239" s="34" t="s">
        <v>65</v>
      </c>
      <c r="C239" s="34" t="s">
        <v>42</v>
      </c>
      <c r="D239" s="34" t="s">
        <v>23</v>
      </c>
      <c r="E239" s="34">
        <v>0</v>
      </c>
      <c r="F239" s="34">
        <v>0</v>
      </c>
    </row>
    <row r="240" spans="1:6">
      <c r="A240" s="34" t="s">
        <v>1087</v>
      </c>
      <c r="B240" s="34" t="s">
        <v>65</v>
      </c>
      <c r="C240" s="34" t="s">
        <v>43</v>
      </c>
      <c r="D240" s="34" t="s">
        <v>24</v>
      </c>
      <c r="E240" s="34">
        <v>0</v>
      </c>
      <c r="F240" s="34">
        <v>0</v>
      </c>
    </row>
    <row r="241" spans="1:6">
      <c r="A241" s="34" t="s">
        <v>1087</v>
      </c>
      <c r="B241" s="34" t="s">
        <v>65</v>
      </c>
      <c r="C241" s="34" t="s">
        <v>44</v>
      </c>
      <c r="D241" s="34" t="s">
        <v>25</v>
      </c>
      <c r="E241" s="34">
        <v>0</v>
      </c>
      <c r="F241" s="34">
        <v>0</v>
      </c>
    </row>
    <row r="242" spans="1:6">
      <c r="A242" s="34" t="s">
        <v>1087</v>
      </c>
      <c r="B242" s="34" t="s">
        <v>76</v>
      </c>
      <c r="C242" s="34" t="s">
        <v>77</v>
      </c>
      <c r="D242" s="34" t="s">
        <v>14</v>
      </c>
      <c r="E242" s="34">
        <v>0</v>
      </c>
      <c r="F242" s="34">
        <v>0</v>
      </c>
    </row>
    <row r="243" spans="1:6">
      <c r="A243" s="34" t="s">
        <v>1087</v>
      </c>
      <c r="B243" s="34" t="s">
        <v>76</v>
      </c>
      <c r="C243" s="34" t="s">
        <v>35</v>
      </c>
      <c r="D243" s="34" t="s">
        <v>15</v>
      </c>
      <c r="E243" s="34">
        <v>0</v>
      </c>
      <c r="F243" s="34">
        <v>0</v>
      </c>
    </row>
    <row r="244" spans="1:6">
      <c r="A244" s="34" t="s">
        <v>1087</v>
      </c>
      <c r="B244" s="34" t="s">
        <v>76</v>
      </c>
      <c r="C244" s="34" t="s">
        <v>36</v>
      </c>
      <c r="D244" s="34" t="s">
        <v>16</v>
      </c>
      <c r="E244" s="34">
        <v>0</v>
      </c>
      <c r="F244" s="34">
        <v>0</v>
      </c>
    </row>
    <row r="245" spans="1:6">
      <c r="A245" s="34" t="s">
        <v>1087</v>
      </c>
      <c r="B245" s="34" t="s">
        <v>76</v>
      </c>
      <c r="C245" s="34" t="s">
        <v>37</v>
      </c>
      <c r="D245" s="34" t="s">
        <v>17</v>
      </c>
      <c r="E245" s="34">
        <v>0</v>
      </c>
      <c r="F245" s="34">
        <v>0</v>
      </c>
    </row>
    <row r="246" spans="1:6">
      <c r="A246" s="34" t="s">
        <v>1087</v>
      </c>
      <c r="B246" s="34" t="s">
        <v>76</v>
      </c>
      <c r="C246" s="34" t="s">
        <v>38</v>
      </c>
      <c r="D246" s="34" t="s">
        <v>18</v>
      </c>
      <c r="E246" s="34">
        <v>0</v>
      </c>
      <c r="F246" s="34">
        <v>0</v>
      </c>
    </row>
    <row r="247" spans="1:6">
      <c r="A247" s="34" t="s">
        <v>1087</v>
      </c>
      <c r="B247" s="34" t="s">
        <v>76</v>
      </c>
      <c r="C247" s="34" t="s">
        <v>39</v>
      </c>
      <c r="D247" s="34" t="s">
        <v>19</v>
      </c>
      <c r="E247" s="34">
        <v>0</v>
      </c>
      <c r="F247" s="34">
        <v>0</v>
      </c>
    </row>
    <row r="248" spans="1:6">
      <c r="A248" s="34" t="s">
        <v>1087</v>
      </c>
      <c r="B248" s="34" t="s">
        <v>76</v>
      </c>
      <c r="C248" s="34" t="s">
        <v>40</v>
      </c>
      <c r="D248" s="34" t="s">
        <v>20</v>
      </c>
      <c r="E248" s="34">
        <v>0</v>
      </c>
      <c r="F248" s="34">
        <v>0</v>
      </c>
    </row>
    <row r="249" spans="1:6">
      <c r="A249" s="34" t="s">
        <v>1087</v>
      </c>
      <c r="B249" s="34" t="s">
        <v>76</v>
      </c>
      <c r="C249" s="34" t="s">
        <v>40</v>
      </c>
      <c r="D249" s="34" t="s">
        <v>21</v>
      </c>
      <c r="E249" s="34">
        <v>0</v>
      </c>
      <c r="F249" s="34">
        <v>0</v>
      </c>
    </row>
    <row r="250" spans="1:6">
      <c r="A250" s="34" t="s">
        <v>1087</v>
      </c>
      <c r="B250" s="34" t="s">
        <v>76</v>
      </c>
      <c r="C250" s="34" t="s">
        <v>41</v>
      </c>
      <c r="D250" s="34" t="s">
        <v>22</v>
      </c>
      <c r="E250" s="34">
        <v>0</v>
      </c>
      <c r="F250" s="34">
        <v>0</v>
      </c>
    </row>
    <row r="251" spans="1:6">
      <c r="A251" s="34" t="s">
        <v>1087</v>
      </c>
      <c r="B251" s="34" t="s">
        <v>76</v>
      </c>
      <c r="C251" s="34" t="s">
        <v>42</v>
      </c>
      <c r="D251" s="34" t="s">
        <v>23</v>
      </c>
      <c r="E251" s="34">
        <v>0</v>
      </c>
      <c r="F251" s="34">
        <v>0</v>
      </c>
    </row>
    <row r="252" spans="1:6">
      <c r="A252" s="34" t="s">
        <v>1087</v>
      </c>
      <c r="B252" s="34" t="s">
        <v>76</v>
      </c>
      <c r="C252" s="34" t="s">
        <v>43</v>
      </c>
      <c r="D252" s="34" t="s">
        <v>24</v>
      </c>
      <c r="E252" s="34">
        <v>0</v>
      </c>
      <c r="F252" s="34">
        <v>0</v>
      </c>
    </row>
    <row r="253" spans="1:6">
      <c r="A253" s="34" t="s">
        <v>1087</v>
      </c>
      <c r="B253" s="34" t="s">
        <v>76</v>
      </c>
      <c r="C253" s="34" t="s">
        <v>44</v>
      </c>
      <c r="D253" s="34" t="s">
        <v>25</v>
      </c>
      <c r="E253" s="34">
        <v>0</v>
      </c>
      <c r="F253" s="34">
        <v>0</v>
      </c>
    </row>
    <row r="254" spans="1:6">
      <c r="A254" s="34" t="s">
        <v>1087</v>
      </c>
      <c r="B254" s="34" t="s">
        <v>78</v>
      </c>
      <c r="C254" s="34" t="s">
        <v>79</v>
      </c>
      <c r="D254" s="34" t="s">
        <v>14</v>
      </c>
      <c r="E254" s="34">
        <v>0</v>
      </c>
      <c r="F254" s="34">
        <v>0</v>
      </c>
    </row>
    <row r="255" spans="1:6">
      <c r="A255" s="34" t="s">
        <v>1087</v>
      </c>
      <c r="B255" s="34" t="s">
        <v>78</v>
      </c>
      <c r="C255" s="34" t="s">
        <v>35</v>
      </c>
      <c r="D255" s="34" t="s">
        <v>15</v>
      </c>
      <c r="E255" s="34">
        <v>0</v>
      </c>
      <c r="F255" s="34">
        <v>0</v>
      </c>
    </row>
    <row r="256" spans="1:6">
      <c r="A256" s="34" t="s">
        <v>1087</v>
      </c>
      <c r="B256" s="34" t="s">
        <v>78</v>
      </c>
      <c r="C256" s="34" t="s">
        <v>36</v>
      </c>
      <c r="D256" s="34" t="s">
        <v>16</v>
      </c>
      <c r="E256" s="34">
        <v>0</v>
      </c>
      <c r="F256" s="34">
        <v>0</v>
      </c>
    </row>
    <row r="257" spans="1:6">
      <c r="A257" s="34" t="s">
        <v>1087</v>
      </c>
      <c r="B257" s="34" t="s">
        <v>78</v>
      </c>
      <c r="C257" s="34" t="s">
        <v>37</v>
      </c>
      <c r="D257" s="34" t="s">
        <v>17</v>
      </c>
      <c r="E257" s="34">
        <v>0</v>
      </c>
      <c r="F257" s="34">
        <v>0</v>
      </c>
    </row>
    <row r="258" spans="1:6">
      <c r="A258" s="34" t="s">
        <v>1087</v>
      </c>
      <c r="B258" s="34" t="s">
        <v>78</v>
      </c>
      <c r="C258" s="34" t="s">
        <v>38</v>
      </c>
      <c r="D258" s="34" t="s">
        <v>18</v>
      </c>
      <c r="E258" s="34">
        <v>0</v>
      </c>
      <c r="F258" s="34">
        <v>0</v>
      </c>
    </row>
    <row r="259" spans="1:6">
      <c r="A259" s="34" t="s">
        <v>1087</v>
      </c>
      <c r="B259" s="34" t="s">
        <v>78</v>
      </c>
      <c r="C259" s="34" t="s">
        <v>39</v>
      </c>
      <c r="D259" s="34" t="s">
        <v>19</v>
      </c>
      <c r="E259" s="34">
        <v>0</v>
      </c>
      <c r="F259" s="34">
        <v>0</v>
      </c>
    </row>
    <row r="260" spans="1:6">
      <c r="A260" s="34" t="s">
        <v>1087</v>
      </c>
      <c r="B260" s="34" t="s">
        <v>78</v>
      </c>
      <c r="C260" s="34" t="s">
        <v>40</v>
      </c>
      <c r="D260" s="34" t="s">
        <v>20</v>
      </c>
      <c r="E260" s="34">
        <v>0</v>
      </c>
      <c r="F260" s="34">
        <v>0</v>
      </c>
    </row>
    <row r="261" spans="1:6">
      <c r="A261" s="34" t="s">
        <v>1087</v>
      </c>
      <c r="B261" s="34" t="s">
        <v>78</v>
      </c>
      <c r="C261" s="34" t="s">
        <v>40</v>
      </c>
      <c r="D261" s="34" t="s">
        <v>21</v>
      </c>
      <c r="E261" s="34">
        <v>0</v>
      </c>
      <c r="F261" s="34">
        <v>0</v>
      </c>
    </row>
    <row r="262" spans="1:6">
      <c r="A262" s="34" t="s">
        <v>1087</v>
      </c>
      <c r="B262" s="34" t="s">
        <v>78</v>
      </c>
      <c r="C262" s="34" t="s">
        <v>41</v>
      </c>
      <c r="D262" s="34" t="s">
        <v>22</v>
      </c>
      <c r="E262" s="34">
        <v>0</v>
      </c>
      <c r="F262" s="34">
        <v>0</v>
      </c>
    </row>
    <row r="263" spans="1:6">
      <c r="A263" s="34" t="s">
        <v>1087</v>
      </c>
      <c r="B263" s="34" t="s">
        <v>78</v>
      </c>
      <c r="C263" s="34" t="s">
        <v>42</v>
      </c>
      <c r="D263" s="34" t="s">
        <v>23</v>
      </c>
      <c r="E263" s="34">
        <v>0</v>
      </c>
      <c r="F263" s="34">
        <v>0</v>
      </c>
    </row>
    <row r="264" spans="1:6">
      <c r="A264" s="34" t="s">
        <v>1087</v>
      </c>
      <c r="B264" s="34" t="s">
        <v>78</v>
      </c>
      <c r="C264" s="34" t="s">
        <v>43</v>
      </c>
      <c r="D264" s="34" t="s">
        <v>24</v>
      </c>
      <c r="E264" s="34">
        <v>0</v>
      </c>
      <c r="F264" s="34">
        <v>0</v>
      </c>
    </row>
    <row r="265" spans="1:6">
      <c r="A265" s="34" t="s">
        <v>1087</v>
      </c>
      <c r="B265" s="34" t="s">
        <v>78</v>
      </c>
      <c r="C265" s="34" t="s">
        <v>44</v>
      </c>
      <c r="D265" s="34" t="s">
        <v>25</v>
      </c>
      <c r="E265" s="34">
        <v>0</v>
      </c>
      <c r="F265" s="34">
        <v>0</v>
      </c>
    </row>
    <row r="266" spans="1:6">
      <c r="A266" s="34" t="s">
        <v>1087</v>
      </c>
      <c r="B266" s="34" t="s">
        <v>82</v>
      </c>
      <c r="C266" s="34" t="s">
        <v>34</v>
      </c>
      <c r="D266" s="34" t="s">
        <v>14</v>
      </c>
      <c r="E266" s="34">
        <v>0</v>
      </c>
      <c r="F266" s="34">
        <v>0</v>
      </c>
    </row>
    <row r="267" spans="1:6">
      <c r="A267" s="34" t="s">
        <v>1087</v>
      </c>
      <c r="B267" s="34" t="s">
        <v>82</v>
      </c>
      <c r="C267" s="34" t="s">
        <v>35</v>
      </c>
      <c r="D267" s="34" t="s">
        <v>15</v>
      </c>
      <c r="E267" s="34">
        <v>0</v>
      </c>
      <c r="F267" s="34">
        <v>0</v>
      </c>
    </row>
    <row r="268" spans="1:6">
      <c r="A268" s="34" t="s">
        <v>1087</v>
      </c>
      <c r="B268" s="34" t="s">
        <v>82</v>
      </c>
      <c r="C268" s="34" t="s">
        <v>36</v>
      </c>
      <c r="D268" s="34" t="s">
        <v>16</v>
      </c>
      <c r="E268" s="34">
        <v>0</v>
      </c>
      <c r="F268" s="34">
        <v>0</v>
      </c>
    </row>
    <row r="269" spans="1:6">
      <c r="A269" s="34" t="s">
        <v>1087</v>
      </c>
      <c r="B269" s="34" t="s">
        <v>82</v>
      </c>
      <c r="C269" s="34" t="s">
        <v>37</v>
      </c>
      <c r="D269" s="34" t="s">
        <v>17</v>
      </c>
      <c r="E269" s="34">
        <v>0</v>
      </c>
      <c r="F269" s="34">
        <v>0</v>
      </c>
    </row>
    <row r="270" spans="1:6">
      <c r="A270" s="34" t="s">
        <v>1087</v>
      </c>
      <c r="B270" s="34" t="s">
        <v>82</v>
      </c>
      <c r="C270" s="34" t="s">
        <v>38</v>
      </c>
      <c r="D270" s="34" t="s">
        <v>18</v>
      </c>
      <c r="E270" s="34">
        <v>0</v>
      </c>
      <c r="F270" s="34">
        <v>0</v>
      </c>
    </row>
    <row r="271" spans="1:6">
      <c r="A271" s="34" t="s">
        <v>1087</v>
      </c>
      <c r="B271" s="34" t="s">
        <v>82</v>
      </c>
      <c r="C271" s="34" t="s">
        <v>39</v>
      </c>
      <c r="D271" s="34" t="s">
        <v>19</v>
      </c>
      <c r="E271" s="34">
        <v>0</v>
      </c>
      <c r="F271" s="34">
        <v>0</v>
      </c>
    </row>
    <row r="272" spans="1:6">
      <c r="A272" s="34" t="s">
        <v>1087</v>
      </c>
      <c r="B272" s="34" t="s">
        <v>82</v>
      </c>
      <c r="C272" s="34" t="s">
        <v>40</v>
      </c>
      <c r="D272" s="34" t="s">
        <v>20</v>
      </c>
      <c r="E272" s="34">
        <v>0</v>
      </c>
      <c r="F272" s="34">
        <v>0</v>
      </c>
    </row>
    <row r="273" spans="1:6">
      <c r="A273" s="34" t="s">
        <v>1087</v>
      </c>
      <c r="B273" s="34" t="s">
        <v>82</v>
      </c>
      <c r="C273" s="34" t="s">
        <v>40</v>
      </c>
      <c r="D273" s="34" t="s">
        <v>21</v>
      </c>
      <c r="E273" s="34">
        <v>0</v>
      </c>
      <c r="F273" s="34">
        <v>0</v>
      </c>
    </row>
    <row r="274" spans="1:6">
      <c r="A274" s="34" t="s">
        <v>1087</v>
      </c>
      <c r="B274" s="34" t="s">
        <v>82</v>
      </c>
      <c r="C274" s="34" t="s">
        <v>41</v>
      </c>
      <c r="D274" s="34" t="s">
        <v>22</v>
      </c>
      <c r="E274" s="34">
        <v>0</v>
      </c>
      <c r="F274" s="34">
        <v>0</v>
      </c>
    </row>
    <row r="275" spans="1:6">
      <c r="A275" s="34" t="s">
        <v>1087</v>
      </c>
      <c r="B275" s="34" t="s">
        <v>82</v>
      </c>
      <c r="C275" s="34" t="s">
        <v>42</v>
      </c>
      <c r="D275" s="34" t="s">
        <v>23</v>
      </c>
      <c r="E275" s="34">
        <v>0</v>
      </c>
      <c r="F275" s="34">
        <v>0</v>
      </c>
    </row>
    <row r="276" spans="1:6">
      <c r="A276" s="34" t="s">
        <v>1087</v>
      </c>
      <c r="B276" s="34" t="s">
        <v>82</v>
      </c>
      <c r="C276" s="34" t="s">
        <v>43</v>
      </c>
      <c r="D276" s="34" t="s">
        <v>24</v>
      </c>
      <c r="E276" s="34">
        <v>0</v>
      </c>
      <c r="F276" s="34">
        <v>0</v>
      </c>
    </row>
    <row r="277" spans="1:6">
      <c r="A277" s="34" t="s">
        <v>1087</v>
      </c>
      <c r="B277" s="34" t="s">
        <v>82</v>
      </c>
      <c r="C277" s="34" t="s">
        <v>44</v>
      </c>
      <c r="D277" s="34" t="s">
        <v>25</v>
      </c>
      <c r="E277" s="34">
        <v>0</v>
      </c>
      <c r="F277" s="34">
        <v>0</v>
      </c>
    </row>
    <row r="278" spans="1:6">
      <c r="A278" s="34" t="s">
        <v>1087</v>
      </c>
      <c r="B278" s="34" t="s">
        <v>94</v>
      </c>
      <c r="C278" s="34" t="s">
        <v>34</v>
      </c>
      <c r="D278" s="34" t="s">
        <v>14</v>
      </c>
      <c r="E278" s="34">
        <v>0</v>
      </c>
      <c r="F278" s="34">
        <v>0</v>
      </c>
    </row>
    <row r="279" spans="1:6">
      <c r="A279" s="34" t="s">
        <v>1087</v>
      </c>
      <c r="B279" s="34" t="s">
        <v>94</v>
      </c>
      <c r="C279" s="34" t="s">
        <v>35</v>
      </c>
      <c r="D279" s="34" t="s">
        <v>15</v>
      </c>
      <c r="E279" s="34">
        <v>0</v>
      </c>
      <c r="F279" s="34">
        <v>0</v>
      </c>
    </row>
    <row r="280" spans="1:6">
      <c r="A280" s="34" t="s">
        <v>1087</v>
      </c>
      <c r="B280" s="34" t="s">
        <v>94</v>
      </c>
      <c r="C280" s="34" t="s">
        <v>36</v>
      </c>
      <c r="D280" s="34" t="s">
        <v>16</v>
      </c>
      <c r="E280" s="34">
        <v>0</v>
      </c>
      <c r="F280" s="34">
        <v>0</v>
      </c>
    </row>
    <row r="281" spans="1:6">
      <c r="A281" s="34" t="s">
        <v>1087</v>
      </c>
      <c r="B281" s="34" t="s">
        <v>94</v>
      </c>
      <c r="C281" s="34" t="s">
        <v>37</v>
      </c>
      <c r="D281" s="34" t="s">
        <v>17</v>
      </c>
      <c r="E281" s="34">
        <v>0</v>
      </c>
      <c r="F281" s="34">
        <v>0</v>
      </c>
    </row>
    <row r="282" spans="1:6">
      <c r="A282" s="34" t="s">
        <v>1087</v>
      </c>
      <c r="B282" s="34" t="s">
        <v>94</v>
      </c>
      <c r="C282" s="34" t="s">
        <v>38</v>
      </c>
      <c r="D282" s="34" t="s">
        <v>18</v>
      </c>
      <c r="E282" s="34">
        <v>0</v>
      </c>
      <c r="F282" s="34">
        <v>0</v>
      </c>
    </row>
    <row r="283" spans="1:6">
      <c r="A283" s="34" t="s">
        <v>1087</v>
      </c>
      <c r="B283" s="34" t="s">
        <v>94</v>
      </c>
      <c r="C283" s="34" t="s">
        <v>39</v>
      </c>
      <c r="D283" s="34" t="s">
        <v>19</v>
      </c>
      <c r="E283" s="34">
        <v>0</v>
      </c>
      <c r="F283" s="34">
        <v>0</v>
      </c>
    </row>
    <row r="284" spans="1:6">
      <c r="A284" s="34" t="s">
        <v>1087</v>
      </c>
      <c r="B284" s="34" t="s">
        <v>94</v>
      </c>
      <c r="C284" s="34" t="s">
        <v>40</v>
      </c>
      <c r="D284" s="34" t="s">
        <v>20</v>
      </c>
      <c r="E284" s="34">
        <v>0</v>
      </c>
      <c r="F284" s="34">
        <v>0</v>
      </c>
    </row>
    <row r="285" spans="1:6">
      <c r="A285" s="34" t="s">
        <v>1087</v>
      </c>
      <c r="B285" s="34" t="s">
        <v>94</v>
      </c>
      <c r="C285" s="34" t="s">
        <v>40</v>
      </c>
      <c r="D285" s="34" t="s">
        <v>21</v>
      </c>
      <c r="E285" s="34">
        <v>0</v>
      </c>
      <c r="F285" s="34">
        <v>0</v>
      </c>
    </row>
    <row r="286" spans="1:6">
      <c r="A286" s="34" t="s">
        <v>1087</v>
      </c>
      <c r="B286" s="34" t="s">
        <v>94</v>
      </c>
      <c r="C286" s="34" t="s">
        <v>41</v>
      </c>
      <c r="D286" s="34" t="s">
        <v>22</v>
      </c>
      <c r="E286" s="34">
        <v>0</v>
      </c>
      <c r="F286" s="34">
        <v>0</v>
      </c>
    </row>
    <row r="287" spans="1:6">
      <c r="A287" s="34" t="s">
        <v>1087</v>
      </c>
      <c r="B287" s="34" t="s">
        <v>94</v>
      </c>
      <c r="C287" s="34" t="s">
        <v>42</v>
      </c>
      <c r="D287" s="34" t="s">
        <v>23</v>
      </c>
      <c r="E287" s="34">
        <v>0</v>
      </c>
      <c r="F287" s="34">
        <v>0</v>
      </c>
    </row>
    <row r="288" spans="1:6">
      <c r="A288" s="34" t="s">
        <v>1087</v>
      </c>
      <c r="B288" s="34" t="s">
        <v>94</v>
      </c>
      <c r="C288" s="34" t="s">
        <v>43</v>
      </c>
      <c r="D288" s="34" t="s">
        <v>24</v>
      </c>
      <c r="E288" s="34">
        <v>0</v>
      </c>
      <c r="F288" s="34">
        <v>0</v>
      </c>
    </row>
    <row r="289" spans="1:6">
      <c r="A289" s="34" t="s">
        <v>1087</v>
      </c>
      <c r="B289" s="34" t="s">
        <v>94</v>
      </c>
      <c r="C289" s="34" t="s">
        <v>44</v>
      </c>
      <c r="D289" s="34" t="s">
        <v>25</v>
      </c>
      <c r="E289" s="34">
        <v>0</v>
      </c>
      <c r="F289" s="34">
        <v>0</v>
      </c>
    </row>
    <row r="290" spans="1:6">
      <c r="A290" s="34" t="s">
        <v>1089</v>
      </c>
      <c r="B290" s="34" t="s">
        <v>47</v>
      </c>
      <c r="C290" s="34" t="s">
        <v>34</v>
      </c>
      <c r="D290" s="34" t="s">
        <v>14</v>
      </c>
      <c r="E290" s="34">
        <v>0</v>
      </c>
      <c r="F290" s="34">
        <v>0</v>
      </c>
    </row>
    <row r="291" spans="1:6">
      <c r="A291" s="34" t="s">
        <v>1089</v>
      </c>
      <c r="B291" s="34" t="s">
        <v>47</v>
      </c>
      <c r="C291" s="34" t="s">
        <v>35</v>
      </c>
      <c r="D291" s="34" t="s">
        <v>15</v>
      </c>
      <c r="E291" s="34">
        <v>0</v>
      </c>
      <c r="F291" s="34">
        <v>0</v>
      </c>
    </row>
    <row r="292" spans="1:6">
      <c r="A292" s="34" t="s">
        <v>1089</v>
      </c>
      <c r="B292" s="34" t="s">
        <v>47</v>
      </c>
      <c r="C292" s="34" t="s">
        <v>36</v>
      </c>
      <c r="D292" s="34" t="s">
        <v>16</v>
      </c>
      <c r="E292" s="34">
        <v>0</v>
      </c>
      <c r="F292" s="34">
        <v>0</v>
      </c>
    </row>
    <row r="293" spans="1:6">
      <c r="A293" s="34" t="s">
        <v>1089</v>
      </c>
      <c r="B293" s="34" t="s">
        <v>47</v>
      </c>
      <c r="C293" s="34" t="s">
        <v>37</v>
      </c>
      <c r="D293" s="34" t="s">
        <v>17</v>
      </c>
      <c r="E293" s="34">
        <v>0</v>
      </c>
      <c r="F293" s="34">
        <v>0</v>
      </c>
    </row>
    <row r="294" spans="1:6">
      <c r="A294" s="34" t="s">
        <v>1089</v>
      </c>
      <c r="B294" s="34" t="s">
        <v>47</v>
      </c>
      <c r="C294" s="34" t="s">
        <v>38</v>
      </c>
      <c r="D294" s="34" t="s">
        <v>18</v>
      </c>
      <c r="E294" s="34">
        <v>0</v>
      </c>
      <c r="F294" s="34">
        <v>0</v>
      </c>
    </row>
    <row r="295" spans="1:6">
      <c r="A295" s="34" t="s">
        <v>1089</v>
      </c>
      <c r="B295" s="34" t="s">
        <v>47</v>
      </c>
      <c r="C295" s="34" t="s">
        <v>39</v>
      </c>
      <c r="D295" s="34" t="s">
        <v>19</v>
      </c>
      <c r="E295" s="34">
        <v>0</v>
      </c>
      <c r="F295" s="34">
        <v>0</v>
      </c>
    </row>
    <row r="296" spans="1:6">
      <c r="A296" s="34" t="s">
        <v>1089</v>
      </c>
      <c r="B296" s="34" t="s">
        <v>47</v>
      </c>
      <c r="C296" s="34" t="s">
        <v>40</v>
      </c>
      <c r="D296" s="34" t="s">
        <v>20</v>
      </c>
      <c r="E296" s="34">
        <v>0</v>
      </c>
      <c r="F296" s="34">
        <v>0</v>
      </c>
    </row>
    <row r="297" spans="1:6">
      <c r="A297" s="34" t="s">
        <v>1089</v>
      </c>
      <c r="B297" s="34" t="s">
        <v>47</v>
      </c>
      <c r="C297" s="34" t="s">
        <v>40</v>
      </c>
      <c r="D297" s="34" t="s">
        <v>21</v>
      </c>
      <c r="E297" s="34">
        <v>0</v>
      </c>
      <c r="F297" s="34">
        <v>0</v>
      </c>
    </row>
    <row r="298" spans="1:6">
      <c r="A298" s="34" t="s">
        <v>1089</v>
      </c>
      <c r="B298" s="34" t="s">
        <v>47</v>
      </c>
      <c r="C298" s="34" t="s">
        <v>41</v>
      </c>
      <c r="D298" s="34" t="s">
        <v>22</v>
      </c>
      <c r="E298" s="34">
        <v>0</v>
      </c>
      <c r="F298" s="34">
        <v>0</v>
      </c>
    </row>
    <row r="299" spans="1:6">
      <c r="A299" s="34" t="s">
        <v>1089</v>
      </c>
      <c r="B299" s="34" t="s">
        <v>47</v>
      </c>
      <c r="C299" s="34" t="s">
        <v>42</v>
      </c>
      <c r="D299" s="34" t="s">
        <v>23</v>
      </c>
      <c r="E299" s="34">
        <v>0</v>
      </c>
      <c r="F299" s="34">
        <v>0</v>
      </c>
    </row>
    <row r="300" spans="1:6">
      <c r="A300" s="34" t="s">
        <v>1089</v>
      </c>
      <c r="B300" s="34" t="s">
        <v>47</v>
      </c>
      <c r="C300" s="34" t="s">
        <v>43</v>
      </c>
      <c r="D300" s="34" t="s">
        <v>24</v>
      </c>
      <c r="E300" s="34">
        <v>0</v>
      </c>
      <c r="F300" s="34">
        <v>0</v>
      </c>
    </row>
    <row r="301" spans="1:6">
      <c r="A301" s="34" t="s">
        <v>1089</v>
      </c>
      <c r="B301" s="34" t="s">
        <v>47</v>
      </c>
      <c r="C301" s="34" t="s">
        <v>44</v>
      </c>
      <c r="D301" s="34" t="s">
        <v>25</v>
      </c>
      <c r="E301" s="34">
        <v>0</v>
      </c>
      <c r="F301" s="34">
        <v>0</v>
      </c>
    </row>
    <row r="302" spans="1:6">
      <c r="A302" s="34" t="s">
        <v>1089</v>
      </c>
      <c r="B302" s="34" t="s">
        <v>55</v>
      </c>
      <c r="C302" s="34" t="s">
        <v>34</v>
      </c>
      <c r="D302" s="34" t="s">
        <v>14</v>
      </c>
      <c r="E302" s="34">
        <v>0</v>
      </c>
      <c r="F302" s="34">
        <v>0</v>
      </c>
    </row>
    <row r="303" spans="1:6">
      <c r="A303" s="34" t="s">
        <v>1089</v>
      </c>
      <c r="B303" s="34" t="s">
        <v>55</v>
      </c>
      <c r="C303" s="34" t="s">
        <v>35</v>
      </c>
      <c r="D303" s="34" t="s">
        <v>15</v>
      </c>
      <c r="E303" s="34">
        <v>0</v>
      </c>
      <c r="F303" s="34">
        <v>0</v>
      </c>
    </row>
    <row r="304" spans="1:6">
      <c r="A304" s="34" t="s">
        <v>1089</v>
      </c>
      <c r="B304" s="34" t="s">
        <v>55</v>
      </c>
      <c r="C304" s="34" t="s">
        <v>36</v>
      </c>
      <c r="D304" s="34" t="s">
        <v>16</v>
      </c>
      <c r="E304" s="34">
        <v>0</v>
      </c>
      <c r="F304" s="34">
        <v>0</v>
      </c>
    </row>
    <row r="305" spans="1:6">
      <c r="A305" s="34" t="s">
        <v>1089</v>
      </c>
      <c r="B305" s="34" t="s">
        <v>55</v>
      </c>
      <c r="C305" s="34" t="s">
        <v>37</v>
      </c>
      <c r="D305" s="34" t="s">
        <v>17</v>
      </c>
      <c r="E305" s="34">
        <v>0</v>
      </c>
      <c r="F305" s="34">
        <v>0</v>
      </c>
    </row>
    <row r="306" spans="1:6">
      <c r="A306" s="34" t="s">
        <v>1089</v>
      </c>
      <c r="B306" s="34" t="s">
        <v>55</v>
      </c>
      <c r="C306" s="34" t="s">
        <v>38</v>
      </c>
      <c r="D306" s="34" t="s">
        <v>18</v>
      </c>
      <c r="E306" s="34">
        <v>0</v>
      </c>
      <c r="F306" s="34">
        <v>0</v>
      </c>
    </row>
    <row r="307" spans="1:6">
      <c r="A307" s="34" t="s">
        <v>1089</v>
      </c>
      <c r="B307" s="34" t="s">
        <v>55</v>
      </c>
      <c r="C307" s="34" t="s">
        <v>39</v>
      </c>
      <c r="D307" s="34" t="s">
        <v>19</v>
      </c>
      <c r="E307" s="34">
        <v>0</v>
      </c>
      <c r="F307" s="34">
        <v>0</v>
      </c>
    </row>
    <row r="308" spans="1:6">
      <c r="A308" s="34" t="s">
        <v>1089</v>
      </c>
      <c r="B308" s="34" t="s">
        <v>55</v>
      </c>
      <c r="C308" s="34" t="s">
        <v>40</v>
      </c>
      <c r="D308" s="34" t="s">
        <v>20</v>
      </c>
      <c r="E308" s="34">
        <v>0</v>
      </c>
      <c r="F308" s="34">
        <v>0</v>
      </c>
    </row>
    <row r="309" spans="1:6">
      <c r="A309" s="34" t="s">
        <v>1089</v>
      </c>
      <c r="B309" s="34" t="s">
        <v>55</v>
      </c>
      <c r="C309" s="34" t="s">
        <v>40</v>
      </c>
      <c r="D309" s="34" t="s">
        <v>21</v>
      </c>
      <c r="E309" s="34">
        <v>0</v>
      </c>
      <c r="F309" s="34">
        <v>0</v>
      </c>
    </row>
    <row r="310" spans="1:6">
      <c r="A310" s="34" t="s">
        <v>1089</v>
      </c>
      <c r="B310" s="34" t="s">
        <v>55</v>
      </c>
      <c r="C310" s="34" t="s">
        <v>41</v>
      </c>
      <c r="D310" s="34" t="s">
        <v>22</v>
      </c>
      <c r="E310" s="34">
        <v>0</v>
      </c>
      <c r="F310" s="34">
        <v>0</v>
      </c>
    </row>
    <row r="311" spans="1:6">
      <c r="A311" s="34" t="s">
        <v>1089</v>
      </c>
      <c r="B311" s="34" t="s">
        <v>55</v>
      </c>
      <c r="C311" s="34" t="s">
        <v>42</v>
      </c>
      <c r="D311" s="34" t="s">
        <v>23</v>
      </c>
      <c r="E311" s="34">
        <v>0</v>
      </c>
      <c r="F311" s="34">
        <v>0</v>
      </c>
    </row>
    <row r="312" spans="1:6">
      <c r="A312" s="34" t="s">
        <v>1089</v>
      </c>
      <c r="B312" s="34" t="s">
        <v>55</v>
      </c>
      <c r="C312" s="34" t="s">
        <v>43</v>
      </c>
      <c r="D312" s="34" t="s">
        <v>24</v>
      </c>
      <c r="E312" s="34">
        <v>0</v>
      </c>
      <c r="F312" s="34">
        <v>0</v>
      </c>
    </row>
    <row r="313" spans="1:6">
      <c r="A313" s="34" t="s">
        <v>1089</v>
      </c>
      <c r="B313" s="34" t="s">
        <v>55</v>
      </c>
      <c r="C313" s="34" t="s">
        <v>44</v>
      </c>
      <c r="D313" s="34" t="s">
        <v>25</v>
      </c>
      <c r="E313" s="34">
        <v>0</v>
      </c>
      <c r="F313" s="34">
        <v>0</v>
      </c>
    </row>
    <row r="314" spans="1:6">
      <c r="A314" s="34" t="s">
        <v>1089</v>
      </c>
      <c r="B314" s="34" t="s">
        <v>83</v>
      </c>
      <c r="C314" s="34" t="s">
        <v>34</v>
      </c>
      <c r="D314" s="34" t="s">
        <v>14</v>
      </c>
      <c r="E314" s="34">
        <v>0</v>
      </c>
      <c r="F314" s="34">
        <v>0</v>
      </c>
    </row>
    <row r="315" spans="1:6">
      <c r="A315" s="34" t="s">
        <v>1089</v>
      </c>
      <c r="B315" s="34" t="s">
        <v>83</v>
      </c>
      <c r="C315" s="34" t="s">
        <v>35</v>
      </c>
      <c r="D315" s="34" t="s">
        <v>15</v>
      </c>
      <c r="E315" s="34">
        <v>0</v>
      </c>
      <c r="F315" s="34">
        <v>0</v>
      </c>
    </row>
    <row r="316" spans="1:6">
      <c r="A316" s="34" t="s">
        <v>1089</v>
      </c>
      <c r="B316" s="34" t="s">
        <v>83</v>
      </c>
      <c r="C316" s="34" t="s">
        <v>36</v>
      </c>
      <c r="D316" s="34" t="s">
        <v>16</v>
      </c>
      <c r="E316" s="34">
        <v>0</v>
      </c>
      <c r="F316" s="34">
        <v>0</v>
      </c>
    </row>
    <row r="317" spans="1:6">
      <c r="A317" s="34" t="s">
        <v>1089</v>
      </c>
      <c r="B317" s="34" t="s">
        <v>83</v>
      </c>
      <c r="C317" s="34" t="s">
        <v>37</v>
      </c>
      <c r="D317" s="34" t="s">
        <v>17</v>
      </c>
      <c r="E317" s="34">
        <v>0</v>
      </c>
      <c r="F317" s="34">
        <v>0</v>
      </c>
    </row>
    <row r="318" spans="1:6">
      <c r="A318" s="34" t="s">
        <v>1089</v>
      </c>
      <c r="B318" s="34" t="s">
        <v>83</v>
      </c>
      <c r="C318" s="34" t="s">
        <v>38</v>
      </c>
      <c r="D318" s="34" t="s">
        <v>18</v>
      </c>
      <c r="E318" s="34">
        <v>0</v>
      </c>
      <c r="F318" s="34">
        <v>0</v>
      </c>
    </row>
    <row r="319" spans="1:6">
      <c r="A319" s="34" t="s">
        <v>1089</v>
      </c>
      <c r="B319" s="34" t="s">
        <v>83</v>
      </c>
      <c r="C319" s="34" t="s">
        <v>39</v>
      </c>
      <c r="D319" s="34" t="s">
        <v>19</v>
      </c>
      <c r="E319" s="34">
        <v>0</v>
      </c>
      <c r="F319" s="34">
        <v>0</v>
      </c>
    </row>
    <row r="320" spans="1:6">
      <c r="A320" s="34" t="s">
        <v>1089</v>
      </c>
      <c r="B320" s="34" t="s">
        <v>83</v>
      </c>
      <c r="C320" s="34" t="s">
        <v>40</v>
      </c>
      <c r="D320" s="34" t="s">
        <v>20</v>
      </c>
      <c r="E320" s="34">
        <v>0</v>
      </c>
      <c r="F320" s="34">
        <v>0</v>
      </c>
    </row>
    <row r="321" spans="1:6">
      <c r="A321" s="34" t="s">
        <v>1089</v>
      </c>
      <c r="B321" s="34" t="s">
        <v>83</v>
      </c>
      <c r="C321" s="34" t="s">
        <v>40</v>
      </c>
      <c r="D321" s="34" t="s">
        <v>21</v>
      </c>
      <c r="E321" s="34">
        <v>0</v>
      </c>
      <c r="F321" s="34">
        <v>0</v>
      </c>
    </row>
    <row r="322" spans="1:6">
      <c r="A322" s="34" t="s">
        <v>1089</v>
      </c>
      <c r="B322" s="34" t="s">
        <v>83</v>
      </c>
      <c r="C322" s="34" t="s">
        <v>41</v>
      </c>
      <c r="D322" s="34" t="s">
        <v>22</v>
      </c>
      <c r="E322" s="34">
        <v>0</v>
      </c>
      <c r="F322" s="34">
        <v>0</v>
      </c>
    </row>
    <row r="323" spans="1:6">
      <c r="A323" s="34" t="s">
        <v>1089</v>
      </c>
      <c r="B323" s="34" t="s">
        <v>83</v>
      </c>
      <c r="C323" s="34" t="s">
        <v>42</v>
      </c>
      <c r="D323" s="34" t="s">
        <v>23</v>
      </c>
      <c r="E323" s="34">
        <v>0</v>
      </c>
      <c r="F323" s="34">
        <v>0</v>
      </c>
    </row>
    <row r="324" spans="1:6">
      <c r="A324" s="34" t="s">
        <v>1089</v>
      </c>
      <c r="B324" s="34" t="s">
        <v>83</v>
      </c>
      <c r="C324" s="34" t="s">
        <v>43</v>
      </c>
      <c r="D324" s="34" t="s">
        <v>24</v>
      </c>
      <c r="E324" s="34">
        <v>0</v>
      </c>
      <c r="F324" s="34">
        <v>0</v>
      </c>
    </row>
    <row r="325" spans="1:6">
      <c r="A325" s="34" t="s">
        <v>1089</v>
      </c>
      <c r="B325" s="34" t="s">
        <v>83</v>
      </c>
      <c r="C325" s="34" t="s">
        <v>44</v>
      </c>
      <c r="D325" s="34" t="s">
        <v>25</v>
      </c>
      <c r="E325" s="34">
        <v>0</v>
      </c>
      <c r="F325" s="34">
        <v>0</v>
      </c>
    </row>
    <row r="326" spans="1:6">
      <c r="A326" s="34" t="s">
        <v>1089</v>
      </c>
      <c r="B326" s="34" t="s">
        <v>87</v>
      </c>
      <c r="C326" s="34" t="s">
        <v>34</v>
      </c>
      <c r="D326" s="34" t="s">
        <v>14</v>
      </c>
      <c r="E326" s="34">
        <v>0</v>
      </c>
      <c r="F326" s="34">
        <v>0</v>
      </c>
    </row>
    <row r="327" spans="1:6">
      <c r="A327" s="34" t="s">
        <v>1089</v>
      </c>
      <c r="B327" s="34" t="s">
        <v>87</v>
      </c>
      <c r="C327" s="34" t="s">
        <v>35</v>
      </c>
      <c r="D327" s="34" t="s">
        <v>15</v>
      </c>
      <c r="E327" s="34">
        <v>0</v>
      </c>
      <c r="F327" s="34">
        <v>0</v>
      </c>
    </row>
    <row r="328" spans="1:6">
      <c r="A328" s="34" t="s">
        <v>1089</v>
      </c>
      <c r="B328" s="34" t="s">
        <v>87</v>
      </c>
      <c r="C328" s="34" t="s">
        <v>36</v>
      </c>
      <c r="D328" s="34" t="s">
        <v>16</v>
      </c>
      <c r="E328" s="34">
        <v>0</v>
      </c>
      <c r="F328" s="34">
        <v>0</v>
      </c>
    </row>
    <row r="329" spans="1:6">
      <c r="A329" s="34" t="s">
        <v>1089</v>
      </c>
      <c r="B329" s="34" t="s">
        <v>87</v>
      </c>
      <c r="C329" s="34" t="s">
        <v>37</v>
      </c>
      <c r="D329" s="34" t="s">
        <v>17</v>
      </c>
      <c r="E329" s="34">
        <v>0</v>
      </c>
      <c r="F329" s="34">
        <v>0</v>
      </c>
    </row>
    <row r="330" spans="1:6">
      <c r="A330" s="34" t="s">
        <v>1089</v>
      </c>
      <c r="B330" s="34" t="s">
        <v>87</v>
      </c>
      <c r="C330" s="34" t="s">
        <v>38</v>
      </c>
      <c r="D330" s="34" t="s">
        <v>18</v>
      </c>
      <c r="E330" s="34">
        <v>0</v>
      </c>
      <c r="F330" s="34">
        <v>0</v>
      </c>
    </row>
    <row r="331" spans="1:6">
      <c r="A331" s="34" t="s">
        <v>1089</v>
      </c>
      <c r="B331" s="34" t="s">
        <v>87</v>
      </c>
      <c r="C331" s="34" t="s">
        <v>39</v>
      </c>
      <c r="D331" s="34" t="s">
        <v>19</v>
      </c>
      <c r="E331" s="34">
        <v>0</v>
      </c>
      <c r="F331" s="34">
        <v>0</v>
      </c>
    </row>
    <row r="332" spans="1:6">
      <c r="A332" s="34" t="s">
        <v>1089</v>
      </c>
      <c r="B332" s="34" t="s">
        <v>87</v>
      </c>
      <c r="C332" s="34" t="s">
        <v>40</v>
      </c>
      <c r="D332" s="34" t="s">
        <v>20</v>
      </c>
      <c r="E332" s="34">
        <v>0</v>
      </c>
      <c r="F332" s="34">
        <v>0</v>
      </c>
    </row>
    <row r="333" spans="1:6">
      <c r="A333" s="34" t="s">
        <v>1089</v>
      </c>
      <c r="B333" s="34" t="s">
        <v>87</v>
      </c>
      <c r="C333" s="34" t="s">
        <v>40</v>
      </c>
      <c r="D333" s="34" t="s">
        <v>21</v>
      </c>
      <c r="E333" s="34">
        <v>0</v>
      </c>
      <c r="F333" s="34">
        <v>0</v>
      </c>
    </row>
    <row r="334" spans="1:6">
      <c r="A334" s="34" t="s">
        <v>1089</v>
      </c>
      <c r="B334" s="34" t="s">
        <v>87</v>
      </c>
      <c r="C334" s="34" t="s">
        <v>41</v>
      </c>
      <c r="D334" s="34" t="s">
        <v>22</v>
      </c>
      <c r="E334" s="34">
        <v>0</v>
      </c>
      <c r="F334" s="34">
        <v>0</v>
      </c>
    </row>
    <row r="335" spans="1:6">
      <c r="A335" s="34" t="s">
        <v>1089</v>
      </c>
      <c r="B335" s="34" t="s">
        <v>87</v>
      </c>
      <c r="C335" s="34" t="s">
        <v>42</v>
      </c>
      <c r="D335" s="34" t="s">
        <v>23</v>
      </c>
      <c r="E335" s="34">
        <v>0</v>
      </c>
      <c r="F335" s="34">
        <v>0</v>
      </c>
    </row>
    <row r="336" spans="1:6">
      <c r="A336" s="34" t="s">
        <v>1089</v>
      </c>
      <c r="B336" s="34" t="s">
        <v>87</v>
      </c>
      <c r="C336" s="34" t="s">
        <v>43</v>
      </c>
      <c r="D336" s="34" t="s">
        <v>24</v>
      </c>
      <c r="E336" s="34">
        <v>0</v>
      </c>
      <c r="F336" s="34">
        <v>0</v>
      </c>
    </row>
    <row r="337" spans="1:6">
      <c r="A337" s="34" t="s">
        <v>1089</v>
      </c>
      <c r="B337" s="34" t="s">
        <v>87</v>
      </c>
      <c r="C337" s="34" t="s">
        <v>44</v>
      </c>
      <c r="D337" s="34" t="s">
        <v>25</v>
      </c>
      <c r="E337" s="34">
        <v>0</v>
      </c>
      <c r="F337" s="34">
        <v>0</v>
      </c>
    </row>
    <row r="338" spans="1:6">
      <c r="A338" s="34" t="s">
        <v>1089</v>
      </c>
      <c r="B338" s="34" t="s">
        <v>93</v>
      </c>
      <c r="C338" s="34" t="s">
        <v>34</v>
      </c>
      <c r="D338" s="34" t="s">
        <v>14</v>
      </c>
      <c r="E338" s="34">
        <v>0</v>
      </c>
      <c r="F338" s="34">
        <v>0</v>
      </c>
    </row>
    <row r="339" spans="1:6">
      <c r="A339" s="34" t="s">
        <v>1089</v>
      </c>
      <c r="B339" s="34" t="s">
        <v>93</v>
      </c>
      <c r="C339" s="34" t="s">
        <v>35</v>
      </c>
      <c r="D339" s="34" t="s">
        <v>15</v>
      </c>
      <c r="E339" s="34">
        <v>0</v>
      </c>
      <c r="F339" s="34">
        <v>0</v>
      </c>
    </row>
    <row r="340" spans="1:6">
      <c r="A340" s="34" t="s">
        <v>1089</v>
      </c>
      <c r="B340" s="34" t="s">
        <v>93</v>
      </c>
      <c r="C340" s="34" t="s">
        <v>36</v>
      </c>
      <c r="D340" s="34" t="s">
        <v>16</v>
      </c>
      <c r="E340" s="34">
        <v>0</v>
      </c>
      <c r="F340" s="34">
        <v>0</v>
      </c>
    </row>
    <row r="341" spans="1:6">
      <c r="A341" s="34" t="s">
        <v>1089</v>
      </c>
      <c r="B341" s="34" t="s">
        <v>93</v>
      </c>
      <c r="C341" s="34" t="s">
        <v>37</v>
      </c>
      <c r="D341" s="34" t="s">
        <v>17</v>
      </c>
      <c r="E341" s="34">
        <v>0</v>
      </c>
      <c r="F341" s="34">
        <v>0</v>
      </c>
    </row>
    <row r="342" spans="1:6">
      <c r="A342" s="34" t="s">
        <v>1089</v>
      </c>
      <c r="B342" s="34" t="s">
        <v>93</v>
      </c>
      <c r="C342" s="34" t="s">
        <v>38</v>
      </c>
      <c r="D342" s="34" t="s">
        <v>18</v>
      </c>
      <c r="E342" s="34">
        <v>0</v>
      </c>
      <c r="F342" s="34">
        <v>0</v>
      </c>
    </row>
    <row r="343" spans="1:6">
      <c r="A343" s="34" t="s">
        <v>1089</v>
      </c>
      <c r="B343" s="34" t="s">
        <v>93</v>
      </c>
      <c r="C343" s="34" t="s">
        <v>39</v>
      </c>
      <c r="D343" s="34" t="s">
        <v>19</v>
      </c>
      <c r="E343" s="34">
        <v>0</v>
      </c>
      <c r="F343" s="34">
        <v>0</v>
      </c>
    </row>
    <row r="344" spans="1:6">
      <c r="A344" s="34" t="s">
        <v>1089</v>
      </c>
      <c r="B344" s="34" t="s">
        <v>93</v>
      </c>
      <c r="C344" s="34" t="s">
        <v>40</v>
      </c>
      <c r="D344" s="34" t="s">
        <v>20</v>
      </c>
      <c r="E344" s="34">
        <v>0</v>
      </c>
      <c r="F344" s="34">
        <v>0</v>
      </c>
    </row>
    <row r="345" spans="1:6">
      <c r="A345" s="34" t="s">
        <v>1089</v>
      </c>
      <c r="B345" s="34" t="s">
        <v>93</v>
      </c>
      <c r="C345" s="34" t="s">
        <v>40</v>
      </c>
      <c r="D345" s="34" t="s">
        <v>21</v>
      </c>
      <c r="E345" s="34">
        <v>0</v>
      </c>
      <c r="F345" s="34">
        <v>0</v>
      </c>
    </row>
    <row r="346" spans="1:6">
      <c r="A346" s="34" t="s">
        <v>1089</v>
      </c>
      <c r="B346" s="34" t="s">
        <v>93</v>
      </c>
      <c r="C346" s="34" t="s">
        <v>41</v>
      </c>
      <c r="D346" s="34" t="s">
        <v>22</v>
      </c>
      <c r="E346" s="34">
        <v>0</v>
      </c>
      <c r="F346" s="34">
        <v>0</v>
      </c>
    </row>
    <row r="347" spans="1:6">
      <c r="A347" s="34" t="s">
        <v>1089</v>
      </c>
      <c r="B347" s="34" t="s">
        <v>93</v>
      </c>
      <c r="C347" s="34" t="s">
        <v>42</v>
      </c>
      <c r="D347" s="34" t="s">
        <v>23</v>
      </c>
      <c r="E347" s="34">
        <v>0</v>
      </c>
      <c r="F347" s="34">
        <v>0</v>
      </c>
    </row>
    <row r="348" spans="1:6">
      <c r="A348" s="34" t="s">
        <v>1089</v>
      </c>
      <c r="B348" s="34" t="s">
        <v>93</v>
      </c>
      <c r="C348" s="34" t="s">
        <v>43</v>
      </c>
      <c r="D348" s="34" t="s">
        <v>24</v>
      </c>
      <c r="E348" s="34">
        <v>0</v>
      </c>
      <c r="F348" s="34">
        <v>0</v>
      </c>
    </row>
    <row r="349" spans="1:6">
      <c r="A349" s="34" t="s">
        <v>1089</v>
      </c>
      <c r="B349" s="34" t="s">
        <v>93</v>
      </c>
      <c r="C349" s="34" t="s">
        <v>44</v>
      </c>
      <c r="D349" s="34" t="s">
        <v>25</v>
      </c>
      <c r="E349" s="34">
        <v>0</v>
      </c>
      <c r="F349" s="34">
        <v>0</v>
      </c>
    </row>
    <row r="350" spans="1:6">
      <c r="A350" s="34" t="s">
        <v>1096</v>
      </c>
      <c r="B350" s="34" t="s">
        <v>45</v>
      </c>
      <c r="C350" s="34" t="s">
        <v>34</v>
      </c>
      <c r="D350" s="34" t="s">
        <v>14</v>
      </c>
      <c r="E350" s="34">
        <v>0</v>
      </c>
      <c r="F350" s="34">
        <v>0</v>
      </c>
    </row>
    <row r="351" spans="1:6">
      <c r="A351" s="34" t="s">
        <v>1096</v>
      </c>
      <c r="B351" s="34" t="s">
        <v>45</v>
      </c>
      <c r="C351" s="34" t="s">
        <v>35</v>
      </c>
      <c r="D351" s="34" t="s">
        <v>15</v>
      </c>
      <c r="E351" s="34">
        <v>0</v>
      </c>
      <c r="F351" s="34">
        <v>0</v>
      </c>
    </row>
    <row r="352" spans="1:6">
      <c r="A352" s="34" t="s">
        <v>1096</v>
      </c>
      <c r="B352" s="34" t="s">
        <v>45</v>
      </c>
      <c r="C352" s="34" t="s">
        <v>36</v>
      </c>
      <c r="D352" s="34" t="s">
        <v>16</v>
      </c>
      <c r="E352" s="34">
        <v>0</v>
      </c>
      <c r="F352" s="34">
        <v>0</v>
      </c>
    </row>
    <row r="353" spans="1:6">
      <c r="A353" s="34" t="s">
        <v>1096</v>
      </c>
      <c r="B353" s="34" t="s">
        <v>45</v>
      </c>
      <c r="C353" s="34" t="s">
        <v>37</v>
      </c>
      <c r="D353" s="34" t="s">
        <v>17</v>
      </c>
      <c r="E353" s="34">
        <v>0</v>
      </c>
      <c r="F353" s="34">
        <v>0</v>
      </c>
    </row>
    <row r="354" spans="1:6">
      <c r="A354" s="34" t="s">
        <v>1096</v>
      </c>
      <c r="B354" s="34" t="s">
        <v>45</v>
      </c>
      <c r="C354" s="34" t="s">
        <v>38</v>
      </c>
      <c r="D354" s="34" t="s">
        <v>18</v>
      </c>
      <c r="E354" s="34">
        <v>0</v>
      </c>
      <c r="F354" s="34">
        <v>0</v>
      </c>
    </row>
    <row r="355" spans="1:6">
      <c r="A355" s="34" t="s">
        <v>1096</v>
      </c>
      <c r="B355" s="34" t="s">
        <v>45</v>
      </c>
      <c r="C355" s="34" t="s">
        <v>39</v>
      </c>
      <c r="D355" s="34" t="s">
        <v>19</v>
      </c>
      <c r="E355" s="34">
        <v>0</v>
      </c>
      <c r="F355" s="34">
        <v>0</v>
      </c>
    </row>
    <row r="356" spans="1:6">
      <c r="A356" s="34" t="s">
        <v>1096</v>
      </c>
      <c r="B356" s="34" t="s">
        <v>45</v>
      </c>
      <c r="C356" s="34" t="s">
        <v>40</v>
      </c>
      <c r="D356" s="34" t="s">
        <v>20</v>
      </c>
      <c r="E356" s="34">
        <v>0</v>
      </c>
      <c r="F356" s="34">
        <v>0</v>
      </c>
    </row>
    <row r="357" spans="1:6">
      <c r="A357" s="34" t="s">
        <v>1096</v>
      </c>
      <c r="B357" s="34" t="s">
        <v>45</v>
      </c>
      <c r="C357" s="34" t="s">
        <v>40</v>
      </c>
      <c r="D357" s="34" t="s">
        <v>21</v>
      </c>
      <c r="E357" s="34">
        <v>0</v>
      </c>
      <c r="F357" s="34">
        <v>0</v>
      </c>
    </row>
    <row r="358" spans="1:6">
      <c r="A358" s="34" t="s">
        <v>1096</v>
      </c>
      <c r="B358" s="34" t="s">
        <v>45</v>
      </c>
      <c r="C358" s="34" t="s">
        <v>41</v>
      </c>
      <c r="D358" s="34" t="s">
        <v>22</v>
      </c>
      <c r="E358" s="34">
        <v>0</v>
      </c>
      <c r="F358" s="34">
        <v>0</v>
      </c>
    </row>
    <row r="359" spans="1:6">
      <c r="A359" s="34" t="s">
        <v>1096</v>
      </c>
      <c r="B359" s="34" t="s">
        <v>45</v>
      </c>
      <c r="C359" s="34" t="s">
        <v>42</v>
      </c>
      <c r="D359" s="34" t="s">
        <v>23</v>
      </c>
      <c r="E359" s="34">
        <v>0</v>
      </c>
      <c r="F359" s="34">
        <v>0</v>
      </c>
    </row>
    <row r="360" spans="1:6">
      <c r="A360" s="34" t="s">
        <v>1096</v>
      </c>
      <c r="B360" s="34" t="s">
        <v>45</v>
      </c>
      <c r="C360" s="34" t="s">
        <v>43</v>
      </c>
      <c r="D360" s="34" t="s">
        <v>24</v>
      </c>
      <c r="E360" s="34">
        <v>0</v>
      </c>
      <c r="F360" s="34">
        <v>0</v>
      </c>
    </row>
    <row r="361" spans="1:6">
      <c r="A361" s="34" t="s">
        <v>1096</v>
      </c>
      <c r="B361" s="34" t="s">
        <v>45</v>
      </c>
      <c r="C361" s="34" t="s">
        <v>44</v>
      </c>
      <c r="D361" s="34" t="s">
        <v>25</v>
      </c>
      <c r="E361" s="34">
        <v>0</v>
      </c>
      <c r="F361" s="34">
        <v>0</v>
      </c>
    </row>
    <row r="362" spans="1:6">
      <c r="A362" s="34" t="s">
        <v>1096</v>
      </c>
      <c r="B362" s="34" t="s">
        <v>90</v>
      </c>
      <c r="C362" s="34" t="s">
        <v>91</v>
      </c>
      <c r="D362" s="34" t="s">
        <v>14</v>
      </c>
      <c r="E362" s="34">
        <v>0</v>
      </c>
      <c r="F362" s="34">
        <v>0</v>
      </c>
    </row>
    <row r="363" spans="1:6">
      <c r="A363" s="34" t="s">
        <v>1096</v>
      </c>
      <c r="B363" s="34" t="s">
        <v>90</v>
      </c>
      <c r="C363" s="34" t="s">
        <v>35</v>
      </c>
      <c r="D363" s="34" t="s">
        <v>15</v>
      </c>
      <c r="E363" s="34">
        <v>0</v>
      </c>
      <c r="F363" s="34">
        <v>0</v>
      </c>
    </row>
    <row r="364" spans="1:6">
      <c r="A364" s="34" t="s">
        <v>1096</v>
      </c>
      <c r="B364" s="34" t="s">
        <v>90</v>
      </c>
      <c r="C364" s="34" t="s">
        <v>36</v>
      </c>
      <c r="D364" s="34" t="s">
        <v>16</v>
      </c>
      <c r="E364" s="34">
        <v>0</v>
      </c>
      <c r="F364" s="34">
        <v>0</v>
      </c>
    </row>
    <row r="365" spans="1:6">
      <c r="A365" s="34" t="s">
        <v>1096</v>
      </c>
      <c r="B365" s="34" t="s">
        <v>90</v>
      </c>
      <c r="C365" s="34" t="s">
        <v>37</v>
      </c>
      <c r="D365" s="34" t="s">
        <v>17</v>
      </c>
      <c r="E365" s="34">
        <v>0</v>
      </c>
      <c r="F365" s="34">
        <v>0</v>
      </c>
    </row>
    <row r="366" spans="1:6">
      <c r="A366" s="34" t="s">
        <v>1096</v>
      </c>
      <c r="B366" s="34" t="s">
        <v>90</v>
      </c>
      <c r="C366" s="34" t="s">
        <v>38</v>
      </c>
      <c r="D366" s="34" t="s">
        <v>18</v>
      </c>
      <c r="E366" s="34">
        <v>0</v>
      </c>
      <c r="F366" s="34">
        <v>0</v>
      </c>
    </row>
    <row r="367" spans="1:6">
      <c r="A367" s="34" t="s">
        <v>1096</v>
      </c>
      <c r="B367" s="34" t="s">
        <v>90</v>
      </c>
      <c r="C367" s="34" t="s">
        <v>39</v>
      </c>
      <c r="D367" s="34" t="s">
        <v>19</v>
      </c>
      <c r="E367" s="34">
        <v>0</v>
      </c>
      <c r="F367" s="34">
        <v>0</v>
      </c>
    </row>
    <row r="368" spans="1:6">
      <c r="A368" s="34" t="s">
        <v>1096</v>
      </c>
      <c r="B368" s="34" t="s">
        <v>90</v>
      </c>
      <c r="C368" s="34" t="s">
        <v>40</v>
      </c>
      <c r="D368" s="34" t="s">
        <v>20</v>
      </c>
      <c r="E368" s="34">
        <v>0</v>
      </c>
      <c r="F368" s="34">
        <v>0</v>
      </c>
    </row>
    <row r="369" spans="1:6">
      <c r="A369" s="34" t="s">
        <v>1096</v>
      </c>
      <c r="B369" s="34" t="s">
        <v>90</v>
      </c>
      <c r="C369" s="34" t="s">
        <v>40</v>
      </c>
      <c r="D369" s="34" t="s">
        <v>21</v>
      </c>
      <c r="E369" s="34">
        <v>0</v>
      </c>
      <c r="F369" s="34">
        <v>0</v>
      </c>
    </row>
    <row r="370" spans="1:6">
      <c r="A370" s="34" t="s">
        <v>1096</v>
      </c>
      <c r="B370" s="34" t="s">
        <v>90</v>
      </c>
      <c r="C370" s="34" t="s">
        <v>41</v>
      </c>
      <c r="D370" s="34" t="s">
        <v>22</v>
      </c>
      <c r="E370" s="34">
        <v>0</v>
      </c>
      <c r="F370" s="34">
        <v>0</v>
      </c>
    </row>
    <row r="371" spans="1:6">
      <c r="A371" s="34" t="s">
        <v>1096</v>
      </c>
      <c r="B371" s="34" t="s">
        <v>90</v>
      </c>
      <c r="C371" s="34" t="s">
        <v>42</v>
      </c>
      <c r="D371" s="34" t="s">
        <v>23</v>
      </c>
      <c r="E371" s="34">
        <v>0</v>
      </c>
      <c r="F371" s="34">
        <v>0</v>
      </c>
    </row>
    <row r="372" spans="1:6">
      <c r="A372" s="34" t="s">
        <v>1096</v>
      </c>
      <c r="B372" s="34" t="s">
        <v>90</v>
      </c>
      <c r="C372" s="34" t="s">
        <v>43</v>
      </c>
      <c r="D372" s="34" t="s">
        <v>24</v>
      </c>
      <c r="E372" s="34">
        <v>0</v>
      </c>
      <c r="F372" s="34">
        <v>0</v>
      </c>
    </row>
    <row r="373" spans="1:6">
      <c r="A373" s="34" t="s">
        <v>1096</v>
      </c>
      <c r="B373" s="34" t="s">
        <v>90</v>
      </c>
      <c r="C373" s="34" t="s">
        <v>44</v>
      </c>
      <c r="D373" s="34" t="s">
        <v>25</v>
      </c>
      <c r="E373" s="34">
        <v>0</v>
      </c>
      <c r="F373" s="34">
        <v>0</v>
      </c>
    </row>
    <row r="374" spans="1:6">
      <c r="A374" s="34" t="s">
        <v>1096</v>
      </c>
      <c r="B374" s="34" t="s">
        <v>92</v>
      </c>
      <c r="C374" s="34" t="s">
        <v>34</v>
      </c>
      <c r="D374" s="34" t="s">
        <v>14</v>
      </c>
      <c r="E374" s="34">
        <v>0</v>
      </c>
      <c r="F374" s="34">
        <v>0</v>
      </c>
    </row>
    <row r="375" spans="1:6">
      <c r="A375" s="34" t="s">
        <v>1096</v>
      </c>
      <c r="B375" s="34" t="s">
        <v>92</v>
      </c>
      <c r="C375" s="34" t="s">
        <v>35</v>
      </c>
      <c r="D375" s="34" t="s">
        <v>15</v>
      </c>
      <c r="E375" s="34">
        <v>0</v>
      </c>
      <c r="F375" s="34">
        <v>0</v>
      </c>
    </row>
    <row r="376" spans="1:6">
      <c r="A376" s="34" t="s">
        <v>1096</v>
      </c>
      <c r="B376" s="34" t="s">
        <v>92</v>
      </c>
      <c r="C376" s="34" t="s">
        <v>36</v>
      </c>
      <c r="D376" s="34" t="s">
        <v>16</v>
      </c>
      <c r="E376" s="34">
        <v>0</v>
      </c>
      <c r="F376" s="34">
        <v>0</v>
      </c>
    </row>
    <row r="377" spans="1:6">
      <c r="A377" s="34" t="s">
        <v>1096</v>
      </c>
      <c r="B377" s="34" t="s">
        <v>92</v>
      </c>
      <c r="C377" s="34" t="s">
        <v>37</v>
      </c>
      <c r="D377" s="34" t="s">
        <v>17</v>
      </c>
      <c r="E377" s="34">
        <v>0</v>
      </c>
      <c r="F377" s="34">
        <v>0</v>
      </c>
    </row>
    <row r="378" spans="1:6">
      <c r="A378" s="34" t="s">
        <v>1096</v>
      </c>
      <c r="B378" s="34" t="s">
        <v>92</v>
      </c>
      <c r="C378" s="34" t="s">
        <v>38</v>
      </c>
      <c r="D378" s="34" t="s">
        <v>18</v>
      </c>
      <c r="E378" s="34">
        <v>0</v>
      </c>
      <c r="F378" s="34">
        <v>0</v>
      </c>
    </row>
    <row r="379" spans="1:6">
      <c r="A379" s="34" t="s">
        <v>1096</v>
      </c>
      <c r="B379" s="34" t="s">
        <v>92</v>
      </c>
      <c r="C379" s="34" t="s">
        <v>39</v>
      </c>
      <c r="D379" s="34" t="s">
        <v>19</v>
      </c>
      <c r="E379" s="34">
        <v>0</v>
      </c>
      <c r="F379" s="34">
        <v>0</v>
      </c>
    </row>
    <row r="380" spans="1:6">
      <c r="A380" s="34" t="s">
        <v>1096</v>
      </c>
      <c r="B380" s="34" t="s">
        <v>92</v>
      </c>
      <c r="C380" s="34" t="s">
        <v>40</v>
      </c>
      <c r="D380" s="34" t="s">
        <v>20</v>
      </c>
      <c r="E380" s="34">
        <v>0</v>
      </c>
      <c r="F380" s="34">
        <v>0</v>
      </c>
    </row>
    <row r="381" spans="1:6">
      <c r="A381" s="34" t="s">
        <v>1096</v>
      </c>
      <c r="B381" s="34" t="s">
        <v>92</v>
      </c>
      <c r="C381" s="34" t="s">
        <v>40</v>
      </c>
      <c r="D381" s="34" t="s">
        <v>21</v>
      </c>
      <c r="E381" s="34">
        <v>0</v>
      </c>
      <c r="F381" s="34">
        <v>0</v>
      </c>
    </row>
    <row r="382" spans="1:6">
      <c r="A382" s="34" t="s">
        <v>1096</v>
      </c>
      <c r="B382" s="34" t="s">
        <v>92</v>
      </c>
      <c r="C382" s="34" t="s">
        <v>41</v>
      </c>
      <c r="D382" s="34" t="s">
        <v>22</v>
      </c>
      <c r="E382" s="34">
        <v>0</v>
      </c>
      <c r="F382" s="34">
        <v>0</v>
      </c>
    </row>
    <row r="383" spans="1:6">
      <c r="A383" s="34" t="s">
        <v>1096</v>
      </c>
      <c r="B383" s="34" t="s">
        <v>92</v>
      </c>
      <c r="C383" s="34" t="s">
        <v>42</v>
      </c>
      <c r="D383" s="34" t="s">
        <v>23</v>
      </c>
      <c r="E383" s="34">
        <v>0</v>
      </c>
      <c r="F383" s="34">
        <v>0</v>
      </c>
    </row>
    <row r="384" spans="1:6">
      <c r="A384" s="34" t="s">
        <v>1096</v>
      </c>
      <c r="B384" s="34" t="s">
        <v>92</v>
      </c>
      <c r="C384" s="34" t="s">
        <v>43</v>
      </c>
      <c r="D384" s="34" t="s">
        <v>24</v>
      </c>
      <c r="E384" s="34">
        <v>0</v>
      </c>
      <c r="F384" s="34">
        <v>0</v>
      </c>
    </row>
    <row r="385" spans="1:6">
      <c r="A385" s="34" t="s">
        <v>1096</v>
      </c>
      <c r="B385" s="34" t="s">
        <v>92</v>
      </c>
      <c r="C385" s="34" t="s">
        <v>44</v>
      </c>
      <c r="D385" s="34" t="s">
        <v>25</v>
      </c>
      <c r="E385" s="34">
        <v>0</v>
      </c>
      <c r="F385" s="34">
        <v>0</v>
      </c>
    </row>
    <row r="386" spans="1:6">
      <c r="A386" s="34" t="s">
        <v>1096</v>
      </c>
      <c r="B386" s="34" t="s">
        <v>126</v>
      </c>
      <c r="C386" s="34" t="s">
        <v>127</v>
      </c>
      <c r="D386" s="34" t="s">
        <v>14</v>
      </c>
      <c r="E386" s="34">
        <v>0</v>
      </c>
      <c r="F386" s="34">
        <v>0</v>
      </c>
    </row>
    <row r="387" spans="1:6">
      <c r="A387" s="34" t="s">
        <v>1096</v>
      </c>
      <c r="B387" s="34" t="s">
        <v>126</v>
      </c>
      <c r="C387" s="34" t="s">
        <v>35</v>
      </c>
      <c r="D387" s="34" t="s">
        <v>15</v>
      </c>
      <c r="E387" s="34">
        <v>0</v>
      </c>
      <c r="F387" s="34">
        <v>0</v>
      </c>
    </row>
    <row r="388" spans="1:6">
      <c r="A388" s="34" t="s">
        <v>1096</v>
      </c>
      <c r="B388" s="34" t="s">
        <v>126</v>
      </c>
      <c r="C388" s="34" t="s">
        <v>36</v>
      </c>
      <c r="D388" s="34" t="s">
        <v>16</v>
      </c>
      <c r="E388" s="34">
        <v>0</v>
      </c>
      <c r="F388" s="34">
        <v>0</v>
      </c>
    </row>
    <row r="389" spans="1:6">
      <c r="A389" s="34" t="s">
        <v>1096</v>
      </c>
      <c r="B389" s="34" t="s">
        <v>126</v>
      </c>
      <c r="C389" s="34" t="s">
        <v>37</v>
      </c>
      <c r="D389" s="34" t="s">
        <v>17</v>
      </c>
      <c r="E389" s="34">
        <v>0</v>
      </c>
      <c r="F389" s="34">
        <v>0</v>
      </c>
    </row>
    <row r="390" spans="1:6">
      <c r="A390" s="34" t="s">
        <v>1096</v>
      </c>
      <c r="B390" s="34" t="s">
        <v>126</v>
      </c>
      <c r="C390" s="34" t="s">
        <v>38</v>
      </c>
      <c r="D390" s="34" t="s">
        <v>18</v>
      </c>
      <c r="E390" s="34">
        <v>0</v>
      </c>
      <c r="F390" s="34">
        <v>0</v>
      </c>
    </row>
    <row r="391" spans="1:6">
      <c r="A391" s="34" t="s">
        <v>1096</v>
      </c>
      <c r="B391" s="34" t="s">
        <v>126</v>
      </c>
      <c r="C391" s="34" t="s">
        <v>39</v>
      </c>
      <c r="D391" s="34" t="s">
        <v>19</v>
      </c>
      <c r="E391" s="34">
        <v>0</v>
      </c>
      <c r="F391" s="34">
        <v>0</v>
      </c>
    </row>
    <row r="392" spans="1:6">
      <c r="A392" s="34" t="s">
        <v>1096</v>
      </c>
      <c r="B392" s="34" t="s">
        <v>126</v>
      </c>
      <c r="C392" s="34" t="s">
        <v>40</v>
      </c>
      <c r="D392" s="34" t="s">
        <v>20</v>
      </c>
      <c r="E392" s="34">
        <v>0</v>
      </c>
      <c r="F392" s="34">
        <v>0</v>
      </c>
    </row>
    <row r="393" spans="1:6">
      <c r="A393" s="34" t="s">
        <v>1096</v>
      </c>
      <c r="B393" s="34" t="s">
        <v>126</v>
      </c>
      <c r="C393" s="34" t="s">
        <v>40</v>
      </c>
      <c r="D393" s="34" t="s">
        <v>21</v>
      </c>
      <c r="E393" s="34">
        <v>0</v>
      </c>
      <c r="F393" s="34">
        <v>0</v>
      </c>
    </row>
    <row r="394" spans="1:6">
      <c r="A394" s="34" t="s">
        <v>1096</v>
      </c>
      <c r="B394" s="34" t="s">
        <v>126</v>
      </c>
      <c r="C394" s="34" t="s">
        <v>41</v>
      </c>
      <c r="D394" s="34" t="s">
        <v>22</v>
      </c>
      <c r="E394" s="34">
        <v>0</v>
      </c>
      <c r="F394" s="34">
        <v>0</v>
      </c>
    </row>
    <row r="395" spans="1:6">
      <c r="A395" s="34" t="s">
        <v>1096</v>
      </c>
      <c r="B395" s="34" t="s">
        <v>126</v>
      </c>
      <c r="C395" s="34" t="s">
        <v>42</v>
      </c>
      <c r="D395" s="34" t="s">
        <v>23</v>
      </c>
      <c r="E395" s="34">
        <v>0</v>
      </c>
      <c r="F395" s="34">
        <v>0</v>
      </c>
    </row>
    <row r="396" spans="1:6">
      <c r="A396" s="34" t="s">
        <v>1096</v>
      </c>
      <c r="B396" s="34" t="s">
        <v>126</v>
      </c>
      <c r="C396" s="34" t="s">
        <v>43</v>
      </c>
      <c r="D396" s="34" t="s">
        <v>24</v>
      </c>
      <c r="E396" s="34">
        <v>0</v>
      </c>
      <c r="F396" s="34">
        <v>0</v>
      </c>
    </row>
    <row r="397" spans="1:6">
      <c r="A397" s="34" t="s">
        <v>1096</v>
      </c>
      <c r="B397" s="34" t="s">
        <v>126</v>
      </c>
      <c r="C397" s="34" t="s">
        <v>44</v>
      </c>
      <c r="D397" s="34" t="s">
        <v>25</v>
      </c>
      <c r="E397" s="34">
        <v>0</v>
      </c>
      <c r="F397" s="34">
        <v>0</v>
      </c>
    </row>
    <row r="398" spans="1:6">
      <c r="A398" s="34" t="s">
        <v>1096</v>
      </c>
      <c r="B398" s="34" t="s">
        <v>128</v>
      </c>
      <c r="C398" s="34" t="s">
        <v>129</v>
      </c>
      <c r="D398" s="34" t="s">
        <v>14</v>
      </c>
      <c r="E398" s="34">
        <v>0</v>
      </c>
      <c r="F398" s="34">
        <v>0</v>
      </c>
    </row>
    <row r="399" spans="1:6">
      <c r="A399" s="34" t="s">
        <v>1096</v>
      </c>
      <c r="B399" s="34" t="s">
        <v>128</v>
      </c>
      <c r="C399" s="34" t="s">
        <v>35</v>
      </c>
      <c r="D399" s="34" t="s">
        <v>15</v>
      </c>
      <c r="E399" s="34">
        <v>0</v>
      </c>
      <c r="F399" s="34">
        <v>0</v>
      </c>
    </row>
    <row r="400" spans="1:6">
      <c r="A400" s="34" t="s">
        <v>1096</v>
      </c>
      <c r="B400" s="34" t="s">
        <v>128</v>
      </c>
      <c r="C400" s="34" t="s">
        <v>36</v>
      </c>
      <c r="D400" s="34" t="s">
        <v>16</v>
      </c>
      <c r="E400" s="34">
        <v>0</v>
      </c>
      <c r="F400" s="34">
        <v>0</v>
      </c>
    </row>
    <row r="401" spans="1:6">
      <c r="A401" s="34" t="s">
        <v>1096</v>
      </c>
      <c r="B401" s="34" t="s">
        <v>128</v>
      </c>
      <c r="C401" s="34" t="s">
        <v>37</v>
      </c>
      <c r="D401" s="34" t="s">
        <v>17</v>
      </c>
      <c r="E401" s="34">
        <v>0</v>
      </c>
      <c r="F401" s="34">
        <v>0</v>
      </c>
    </row>
    <row r="402" spans="1:6">
      <c r="A402" s="34" t="s">
        <v>1096</v>
      </c>
      <c r="B402" s="34" t="s">
        <v>128</v>
      </c>
      <c r="C402" s="34" t="s">
        <v>38</v>
      </c>
      <c r="D402" s="34" t="s">
        <v>18</v>
      </c>
      <c r="E402" s="34">
        <v>0</v>
      </c>
      <c r="F402" s="34">
        <v>0</v>
      </c>
    </row>
    <row r="403" spans="1:6">
      <c r="A403" s="34" t="s">
        <v>1096</v>
      </c>
      <c r="B403" s="34" t="s">
        <v>128</v>
      </c>
      <c r="C403" s="34" t="s">
        <v>39</v>
      </c>
      <c r="D403" s="34" t="s">
        <v>19</v>
      </c>
      <c r="E403" s="34">
        <v>0</v>
      </c>
      <c r="F403" s="34">
        <v>0</v>
      </c>
    </row>
    <row r="404" spans="1:6">
      <c r="A404" s="34" t="s">
        <v>1096</v>
      </c>
      <c r="B404" s="34" t="s">
        <v>128</v>
      </c>
      <c r="C404" s="34" t="s">
        <v>40</v>
      </c>
      <c r="D404" s="34" t="s">
        <v>20</v>
      </c>
      <c r="E404" s="34">
        <v>0</v>
      </c>
      <c r="F404" s="34">
        <v>0</v>
      </c>
    </row>
    <row r="405" spans="1:6">
      <c r="A405" s="34" t="s">
        <v>1096</v>
      </c>
      <c r="B405" s="34" t="s">
        <v>128</v>
      </c>
      <c r="C405" s="34" t="s">
        <v>40</v>
      </c>
      <c r="D405" s="34" t="s">
        <v>21</v>
      </c>
      <c r="E405" s="34">
        <v>0</v>
      </c>
      <c r="F405" s="34">
        <v>0</v>
      </c>
    </row>
    <row r="406" spans="1:6">
      <c r="A406" s="34" t="s">
        <v>1096</v>
      </c>
      <c r="B406" s="34" t="s">
        <v>128</v>
      </c>
      <c r="C406" s="34" t="s">
        <v>41</v>
      </c>
      <c r="D406" s="34" t="s">
        <v>22</v>
      </c>
      <c r="E406" s="34">
        <v>0</v>
      </c>
      <c r="F406" s="34">
        <v>0</v>
      </c>
    </row>
    <row r="407" spans="1:6">
      <c r="A407" s="34" t="s">
        <v>1096</v>
      </c>
      <c r="B407" s="34" t="s">
        <v>128</v>
      </c>
      <c r="C407" s="34" t="s">
        <v>42</v>
      </c>
      <c r="D407" s="34" t="s">
        <v>23</v>
      </c>
      <c r="E407" s="34">
        <v>0</v>
      </c>
      <c r="F407" s="34">
        <v>0</v>
      </c>
    </row>
    <row r="408" spans="1:6">
      <c r="A408" s="34" t="s">
        <v>1096</v>
      </c>
      <c r="B408" s="34" t="s">
        <v>128</v>
      </c>
      <c r="C408" s="34" t="s">
        <v>43</v>
      </c>
      <c r="D408" s="34" t="s">
        <v>24</v>
      </c>
      <c r="E408" s="34">
        <v>0</v>
      </c>
      <c r="F408" s="34">
        <v>0</v>
      </c>
    </row>
    <row r="409" spans="1:6">
      <c r="A409" s="34" t="s">
        <v>1096</v>
      </c>
      <c r="B409" s="34" t="s">
        <v>128</v>
      </c>
      <c r="C409" s="34" t="s">
        <v>44</v>
      </c>
      <c r="D409" s="34" t="s">
        <v>25</v>
      </c>
      <c r="E409" s="34">
        <v>0</v>
      </c>
      <c r="F409" s="34">
        <v>0</v>
      </c>
    </row>
    <row r="410" spans="1:6">
      <c r="A410" s="34" t="s">
        <v>1096</v>
      </c>
      <c r="B410" s="34" t="s">
        <v>130</v>
      </c>
      <c r="C410" s="34" t="s">
        <v>131</v>
      </c>
      <c r="D410" s="34" t="s">
        <v>14</v>
      </c>
      <c r="E410" s="34">
        <v>0</v>
      </c>
      <c r="F410" s="34">
        <v>0</v>
      </c>
    </row>
    <row r="411" spans="1:6">
      <c r="A411" s="34" t="s">
        <v>1096</v>
      </c>
      <c r="B411" s="34" t="s">
        <v>130</v>
      </c>
      <c r="C411" s="34" t="s">
        <v>35</v>
      </c>
      <c r="D411" s="34" t="s">
        <v>15</v>
      </c>
      <c r="E411" s="34">
        <v>0</v>
      </c>
      <c r="F411" s="34">
        <v>0</v>
      </c>
    </row>
    <row r="412" spans="1:6">
      <c r="A412" s="34" t="s">
        <v>1096</v>
      </c>
      <c r="B412" s="34" t="s">
        <v>130</v>
      </c>
      <c r="C412" s="34" t="s">
        <v>36</v>
      </c>
      <c r="D412" s="34" t="s">
        <v>16</v>
      </c>
      <c r="E412" s="34">
        <v>0</v>
      </c>
      <c r="F412" s="34">
        <v>0</v>
      </c>
    </row>
    <row r="413" spans="1:6">
      <c r="A413" s="34" t="s">
        <v>1096</v>
      </c>
      <c r="B413" s="34" t="s">
        <v>130</v>
      </c>
      <c r="C413" s="34" t="s">
        <v>37</v>
      </c>
      <c r="D413" s="34" t="s">
        <v>17</v>
      </c>
      <c r="E413" s="34">
        <v>0</v>
      </c>
      <c r="F413" s="34">
        <v>0</v>
      </c>
    </row>
    <row r="414" spans="1:6">
      <c r="A414" s="34" t="s">
        <v>1096</v>
      </c>
      <c r="B414" s="34" t="s">
        <v>130</v>
      </c>
      <c r="C414" s="34" t="s">
        <v>38</v>
      </c>
      <c r="D414" s="34" t="s">
        <v>18</v>
      </c>
      <c r="E414" s="34">
        <v>0</v>
      </c>
      <c r="F414" s="34">
        <v>0</v>
      </c>
    </row>
    <row r="415" spans="1:6">
      <c r="A415" s="34" t="s">
        <v>1096</v>
      </c>
      <c r="B415" s="34" t="s">
        <v>130</v>
      </c>
      <c r="C415" s="34" t="s">
        <v>39</v>
      </c>
      <c r="D415" s="34" t="s">
        <v>19</v>
      </c>
      <c r="E415" s="34">
        <v>0</v>
      </c>
      <c r="F415" s="34">
        <v>0</v>
      </c>
    </row>
    <row r="416" spans="1:6">
      <c r="A416" s="34" t="s">
        <v>1096</v>
      </c>
      <c r="B416" s="34" t="s">
        <v>130</v>
      </c>
      <c r="C416" s="34" t="s">
        <v>40</v>
      </c>
      <c r="D416" s="34" t="s">
        <v>20</v>
      </c>
      <c r="E416" s="34">
        <v>0</v>
      </c>
      <c r="F416" s="34">
        <v>0</v>
      </c>
    </row>
    <row r="417" spans="1:6">
      <c r="A417" s="34" t="s">
        <v>1096</v>
      </c>
      <c r="B417" s="34" t="s">
        <v>130</v>
      </c>
      <c r="C417" s="34" t="s">
        <v>40</v>
      </c>
      <c r="D417" s="34" t="s">
        <v>21</v>
      </c>
      <c r="E417" s="34">
        <v>0</v>
      </c>
      <c r="F417" s="34">
        <v>0</v>
      </c>
    </row>
    <row r="418" spans="1:6">
      <c r="A418" s="34" t="s">
        <v>1096</v>
      </c>
      <c r="B418" s="34" t="s">
        <v>130</v>
      </c>
      <c r="C418" s="34" t="s">
        <v>41</v>
      </c>
      <c r="D418" s="34" t="s">
        <v>22</v>
      </c>
      <c r="E418" s="34">
        <v>0</v>
      </c>
      <c r="F418" s="34">
        <v>0</v>
      </c>
    </row>
    <row r="419" spans="1:6">
      <c r="A419" s="34" t="s">
        <v>1096</v>
      </c>
      <c r="B419" s="34" t="s">
        <v>130</v>
      </c>
      <c r="C419" s="34" t="s">
        <v>42</v>
      </c>
      <c r="D419" s="34" t="s">
        <v>23</v>
      </c>
      <c r="E419" s="34">
        <v>0</v>
      </c>
      <c r="F419" s="34">
        <v>0</v>
      </c>
    </row>
    <row r="420" spans="1:6">
      <c r="A420" s="34" t="s">
        <v>1096</v>
      </c>
      <c r="B420" s="34" t="s">
        <v>130</v>
      </c>
      <c r="C420" s="34" t="s">
        <v>43</v>
      </c>
      <c r="D420" s="34" t="s">
        <v>24</v>
      </c>
      <c r="E420" s="34">
        <v>0</v>
      </c>
      <c r="F420" s="34">
        <v>0</v>
      </c>
    </row>
    <row r="421" spans="1:6">
      <c r="A421" s="34" t="s">
        <v>1096</v>
      </c>
      <c r="B421" s="34" t="s">
        <v>130</v>
      </c>
      <c r="C421" s="34" t="s">
        <v>44</v>
      </c>
      <c r="D421" s="34" t="s">
        <v>25</v>
      </c>
      <c r="E421" s="34">
        <v>0</v>
      </c>
      <c r="F421" s="34">
        <v>0</v>
      </c>
    </row>
    <row r="422" spans="1:6">
      <c r="A422" s="34" t="s">
        <v>1096</v>
      </c>
      <c r="B422" s="34" t="s">
        <v>132</v>
      </c>
      <c r="C422" s="34" t="s">
        <v>133</v>
      </c>
      <c r="D422" s="34" t="s">
        <v>14</v>
      </c>
      <c r="E422" s="34">
        <v>0</v>
      </c>
      <c r="F422" s="34">
        <v>0</v>
      </c>
    </row>
    <row r="423" spans="1:6">
      <c r="A423" s="34" t="s">
        <v>1096</v>
      </c>
      <c r="B423" s="34" t="s">
        <v>132</v>
      </c>
      <c r="C423" s="34" t="s">
        <v>35</v>
      </c>
      <c r="D423" s="34" t="s">
        <v>15</v>
      </c>
      <c r="E423" s="34">
        <v>0</v>
      </c>
      <c r="F423" s="34">
        <v>0</v>
      </c>
    </row>
    <row r="424" spans="1:6">
      <c r="A424" s="34" t="s">
        <v>1096</v>
      </c>
      <c r="B424" s="34" t="s">
        <v>132</v>
      </c>
      <c r="C424" s="34" t="s">
        <v>36</v>
      </c>
      <c r="D424" s="34" t="s">
        <v>16</v>
      </c>
      <c r="E424" s="34">
        <v>0</v>
      </c>
      <c r="F424" s="34">
        <v>0</v>
      </c>
    </row>
    <row r="425" spans="1:6">
      <c r="A425" s="34" t="s">
        <v>1096</v>
      </c>
      <c r="B425" s="34" t="s">
        <v>132</v>
      </c>
      <c r="C425" s="34" t="s">
        <v>37</v>
      </c>
      <c r="D425" s="34" t="s">
        <v>17</v>
      </c>
      <c r="E425" s="34">
        <v>0</v>
      </c>
      <c r="F425" s="34">
        <v>0</v>
      </c>
    </row>
    <row r="426" spans="1:6">
      <c r="A426" s="34" t="s">
        <v>1096</v>
      </c>
      <c r="B426" s="34" t="s">
        <v>132</v>
      </c>
      <c r="C426" s="34" t="s">
        <v>38</v>
      </c>
      <c r="D426" s="34" t="s">
        <v>18</v>
      </c>
      <c r="E426" s="34">
        <v>0</v>
      </c>
      <c r="F426" s="34">
        <v>0</v>
      </c>
    </row>
    <row r="427" spans="1:6">
      <c r="A427" s="34" t="s">
        <v>1096</v>
      </c>
      <c r="B427" s="34" t="s">
        <v>132</v>
      </c>
      <c r="C427" s="34" t="s">
        <v>39</v>
      </c>
      <c r="D427" s="34" t="s">
        <v>19</v>
      </c>
      <c r="E427" s="34">
        <v>0</v>
      </c>
      <c r="F427" s="34">
        <v>0</v>
      </c>
    </row>
    <row r="428" spans="1:6">
      <c r="A428" s="34" t="s">
        <v>1096</v>
      </c>
      <c r="B428" s="34" t="s">
        <v>132</v>
      </c>
      <c r="C428" s="34" t="s">
        <v>40</v>
      </c>
      <c r="D428" s="34" t="s">
        <v>20</v>
      </c>
      <c r="E428" s="34">
        <v>0</v>
      </c>
      <c r="F428" s="34">
        <v>0</v>
      </c>
    </row>
    <row r="429" spans="1:6">
      <c r="A429" s="34" t="s">
        <v>1096</v>
      </c>
      <c r="B429" s="34" t="s">
        <v>132</v>
      </c>
      <c r="C429" s="34" t="s">
        <v>40</v>
      </c>
      <c r="D429" s="34" t="s">
        <v>21</v>
      </c>
      <c r="E429" s="34">
        <v>0</v>
      </c>
      <c r="F429" s="34">
        <v>0</v>
      </c>
    </row>
    <row r="430" spans="1:6">
      <c r="A430" s="34" t="s">
        <v>1096</v>
      </c>
      <c r="B430" s="34" t="s">
        <v>132</v>
      </c>
      <c r="C430" s="34" t="s">
        <v>41</v>
      </c>
      <c r="D430" s="34" t="s">
        <v>22</v>
      </c>
      <c r="E430" s="34">
        <v>0</v>
      </c>
      <c r="F430" s="34">
        <v>0</v>
      </c>
    </row>
    <row r="431" spans="1:6">
      <c r="A431" s="34" t="s">
        <v>1096</v>
      </c>
      <c r="B431" s="34" t="s">
        <v>132</v>
      </c>
      <c r="C431" s="34" t="s">
        <v>42</v>
      </c>
      <c r="D431" s="34" t="s">
        <v>23</v>
      </c>
      <c r="E431" s="34">
        <v>0</v>
      </c>
      <c r="F431" s="34">
        <v>0</v>
      </c>
    </row>
    <row r="432" spans="1:6">
      <c r="A432" s="34" t="s">
        <v>1096</v>
      </c>
      <c r="B432" s="34" t="s">
        <v>132</v>
      </c>
      <c r="C432" s="34" t="s">
        <v>43</v>
      </c>
      <c r="D432" s="34" t="s">
        <v>24</v>
      </c>
      <c r="E432" s="34">
        <v>0</v>
      </c>
      <c r="F432" s="34">
        <v>0</v>
      </c>
    </row>
    <row r="433" spans="1:6">
      <c r="A433" s="34" t="s">
        <v>1096</v>
      </c>
      <c r="B433" s="34" t="s">
        <v>132</v>
      </c>
      <c r="C433" s="34" t="s">
        <v>44</v>
      </c>
      <c r="D433" s="34" t="s">
        <v>25</v>
      </c>
      <c r="E433" s="34">
        <v>0</v>
      </c>
      <c r="F433" s="34">
        <v>0</v>
      </c>
    </row>
    <row r="434" spans="1:6">
      <c r="A434" s="34" t="s">
        <v>1096</v>
      </c>
      <c r="B434" s="34" t="s">
        <v>134</v>
      </c>
      <c r="C434" s="34" t="s">
        <v>135</v>
      </c>
      <c r="D434" s="34" t="s">
        <v>14</v>
      </c>
      <c r="E434" s="34">
        <v>0</v>
      </c>
      <c r="F434" s="34">
        <v>0</v>
      </c>
    </row>
    <row r="435" spans="1:6">
      <c r="A435" s="34" t="s">
        <v>1096</v>
      </c>
      <c r="B435" s="34" t="s">
        <v>134</v>
      </c>
      <c r="C435" s="34" t="s">
        <v>35</v>
      </c>
      <c r="D435" s="34" t="s">
        <v>15</v>
      </c>
      <c r="E435" s="34">
        <v>0</v>
      </c>
      <c r="F435" s="34">
        <v>0</v>
      </c>
    </row>
    <row r="436" spans="1:6">
      <c r="A436" s="34" t="s">
        <v>1096</v>
      </c>
      <c r="B436" s="34" t="s">
        <v>134</v>
      </c>
      <c r="C436" s="34" t="s">
        <v>36</v>
      </c>
      <c r="D436" s="34" t="s">
        <v>16</v>
      </c>
      <c r="E436" s="34">
        <v>0</v>
      </c>
      <c r="F436" s="34">
        <v>0</v>
      </c>
    </row>
    <row r="437" spans="1:6">
      <c r="A437" s="34" t="s">
        <v>1096</v>
      </c>
      <c r="B437" s="34" t="s">
        <v>134</v>
      </c>
      <c r="C437" s="34" t="s">
        <v>37</v>
      </c>
      <c r="D437" s="34" t="s">
        <v>17</v>
      </c>
      <c r="E437" s="34">
        <v>0</v>
      </c>
      <c r="F437" s="34">
        <v>0</v>
      </c>
    </row>
    <row r="438" spans="1:6">
      <c r="A438" s="34" t="s">
        <v>1096</v>
      </c>
      <c r="B438" s="34" t="s">
        <v>134</v>
      </c>
      <c r="C438" s="34" t="s">
        <v>38</v>
      </c>
      <c r="D438" s="34" t="s">
        <v>18</v>
      </c>
      <c r="E438" s="34">
        <v>0</v>
      </c>
      <c r="F438" s="34">
        <v>0</v>
      </c>
    </row>
    <row r="439" spans="1:6">
      <c r="A439" s="34" t="s">
        <v>1096</v>
      </c>
      <c r="B439" s="34" t="s">
        <v>134</v>
      </c>
      <c r="C439" s="34" t="s">
        <v>39</v>
      </c>
      <c r="D439" s="34" t="s">
        <v>19</v>
      </c>
      <c r="E439" s="34">
        <v>0</v>
      </c>
      <c r="F439" s="34">
        <v>0</v>
      </c>
    </row>
    <row r="440" spans="1:6">
      <c r="A440" s="34" t="s">
        <v>1096</v>
      </c>
      <c r="B440" s="34" t="s">
        <v>134</v>
      </c>
      <c r="C440" s="34" t="s">
        <v>40</v>
      </c>
      <c r="D440" s="34" t="s">
        <v>20</v>
      </c>
      <c r="E440" s="34">
        <v>0</v>
      </c>
      <c r="F440" s="34">
        <v>0</v>
      </c>
    </row>
    <row r="441" spans="1:6">
      <c r="A441" s="34" t="s">
        <v>1096</v>
      </c>
      <c r="B441" s="34" t="s">
        <v>134</v>
      </c>
      <c r="C441" s="34" t="s">
        <v>40</v>
      </c>
      <c r="D441" s="34" t="s">
        <v>21</v>
      </c>
      <c r="E441" s="34">
        <v>0</v>
      </c>
      <c r="F441" s="34">
        <v>0</v>
      </c>
    </row>
    <row r="442" spans="1:6">
      <c r="A442" s="34" t="s">
        <v>1096</v>
      </c>
      <c r="B442" s="34" t="s">
        <v>134</v>
      </c>
      <c r="C442" s="34" t="s">
        <v>41</v>
      </c>
      <c r="D442" s="34" t="s">
        <v>22</v>
      </c>
      <c r="E442" s="34">
        <v>0</v>
      </c>
      <c r="F442" s="34">
        <v>0</v>
      </c>
    </row>
    <row r="443" spans="1:6">
      <c r="A443" s="34" t="s">
        <v>1096</v>
      </c>
      <c r="B443" s="34" t="s">
        <v>134</v>
      </c>
      <c r="C443" s="34" t="s">
        <v>42</v>
      </c>
      <c r="D443" s="34" t="s">
        <v>23</v>
      </c>
      <c r="E443" s="34">
        <v>0</v>
      </c>
      <c r="F443" s="34">
        <v>0</v>
      </c>
    </row>
    <row r="444" spans="1:6">
      <c r="A444" s="34" t="s">
        <v>1096</v>
      </c>
      <c r="B444" s="34" t="s">
        <v>134</v>
      </c>
      <c r="C444" s="34" t="s">
        <v>43</v>
      </c>
      <c r="D444" s="34" t="s">
        <v>24</v>
      </c>
      <c r="E444" s="34">
        <v>0</v>
      </c>
      <c r="F444" s="34">
        <v>0</v>
      </c>
    </row>
    <row r="445" spans="1:6">
      <c r="A445" s="34" t="s">
        <v>1096</v>
      </c>
      <c r="B445" s="34" t="s">
        <v>134</v>
      </c>
      <c r="C445" s="34" t="s">
        <v>44</v>
      </c>
      <c r="D445" s="34" t="s">
        <v>25</v>
      </c>
      <c r="E445" s="34">
        <v>0</v>
      </c>
      <c r="F445" s="34">
        <v>0</v>
      </c>
    </row>
    <row r="446" spans="1:6">
      <c r="A446" s="34" t="s">
        <v>96</v>
      </c>
      <c r="B446" s="34" t="s">
        <v>97</v>
      </c>
      <c r="C446" s="34" t="s">
        <v>34</v>
      </c>
      <c r="D446" s="34" t="s">
        <v>14</v>
      </c>
      <c r="E446" s="34">
        <v>0</v>
      </c>
      <c r="F446" s="34">
        <v>0</v>
      </c>
    </row>
    <row r="447" spans="1:6">
      <c r="A447" s="34" t="s">
        <v>96</v>
      </c>
      <c r="B447" s="34" t="s">
        <v>97</v>
      </c>
      <c r="C447" s="34" t="s">
        <v>35</v>
      </c>
      <c r="D447" s="34" t="s">
        <v>15</v>
      </c>
      <c r="E447" s="34">
        <v>0</v>
      </c>
      <c r="F447" s="34">
        <v>0</v>
      </c>
    </row>
    <row r="448" spans="1:6">
      <c r="A448" s="34" t="s">
        <v>96</v>
      </c>
      <c r="B448" s="34" t="s">
        <v>97</v>
      </c>
      <c r="C448" s="34" t="s">
        <v>36</v>
      </c>
      <c r="D448" s="34" t="s">
        <v>16</v>
      </c>
      <c r="E448" s="34">
        <v>0</v>
      </c>
      <c r="F448" s="34">
        <v>0</v>
      </c>
    </row>
    <row r="449" spans="1:6">
      <c r="A449" s="34" t="s">
        <v>96</v>
      </c>
      <c r="B449" s="34" t="s">
        <v>97</v>
      </c>
      <c r="C449" s="34" t="s">
        <v>37</v>
      </c>
      <c r="D449" s="34" t="s">
        <v>17</v>
      </c>
      <c r="E449" s="34">
        <v>0</v>
      </c>
      <c r="F449" s="34">
        <v>0</v>
      </c>
    </row>
    <row r="450" spans="1:6">
      <c r="A450" s="34" t="s">
        <v>96</v>
      </c>
      <c r="B450" s="34" t="s">
        <v>97</v>
      </c>
      <c r="C450" s="34" t="s">
        <v>38</v>
      </c>
      <c r="D450" s="34" t="s">
        <v>18</v>
      </c>
      <c r="E450" s="34">
        <v>0</v>
      </c>
      <c r="F450" s="34">
        <v>0</v>
      </c>
    </row>
    <row r="451" spans="1:6">
      <c r="A451" s="34" t="s">
        <v>96</v>
      </c>
      <c r="B451" s="34" t="s">
        <v>97</v>
      </c>
      <c r="C451" s="34" t="s">
        <v>39</v>
      </c>
      <c r="D451" s="34" t="s">
        <v>19</v>
      </c>
      <c r="E451" s="34">
        <v>0</v>
      </c>
      <c r="F451" s="34">
        <v>0</v>
      </c>
    </row>
    <row r="452" spans="1:6">
      <c r="A452" s="34" t="s">
        <v>96</v>
      </c>
      <c r="B452" s="34" t="s">
        <v>97</v>
      </c>
      <c r="C452" s="34" t="s">
        <v>40</v>
      </c>
      <c r="D452" s="34" t="s">
        <v>20</v>
      </c>
      <c r="E452" s="34">
        <v>0</v>
      </c>
      <c r="F452" s="34">
        <v>0</v>
      </c>
    </row>
    <row r="453" spans="1:6">
      <c r="A453" s="34" t="s">
        <v>96</v>
      </c>
      <c r="B453" s="34" t="s">
        <v>97</v>
      </c>
      <c r="C453" s="34" t="s">
        <v>40</v>
      </c>
      <c r="D453" s="34" t="s">
        <v>21</v>
      </c>
      <c r="E453" s="34">
        <v>0</v>
      </c>
      <c r="F453" s="34">
        <v>0</v>
      </c>
    </row>
    <row r="454" spans="1:6">
      <c r="A454" s="34" t="s">
        <v>96</v>
      </c>
      <c r="B454" s="34" t="s">
        <v>97</v>
      </c>
      <c r="C454" s="34" t="s">
        <v>41</v>
      </c>
      <c r="D454" s="34" t="s">
        <v>22</v>
      </c>
      <c r="E454" s="34">
        <v>0</v>
      </c>
      <c r="F454" s="34">
        <v>0</v>
      </c>
    </row>
    <row r="455" spans="1:6">
      <c r="A455" s="34" t="s">
        <v>96</v>
      </c>
      <c r="B455" s="34" t="s">
        <v>97</v>
      </c>
      <c r="C455" s="34" t="s">
        <v>42</v>
      </c>
      <c r="D455" s="34" t="s">
        <v>23</v>
      </c>
      <c r="E455" s="34">
        <v>0</v>
      </c>
      <c r="F455" s="34">
        <v>0</v>
      </c>
    </row>
    <row r="456" spans="1:6">
      <c r="A456" s="34" t="s">
        <v>96</v>
      </c>
      <c r="B456" s="34" t="s">
        <v>97</v>
      </c>
      <c r="C456" s="34" t="s">
        <v>43</v>
      </c>
      <c r="D456" s="34" t="s">
        <v>24</v>
      </c>
      <c r="E456" s="34">
        <v>0</v>
      </c>
      <c r="F456" s="34">
        <v>0</v>
      </c>
    </row>
    <row r="457" spans="1:6">
      <c r="A457" s="34" t="s">
        <v>96</v>
      </c>
      <c r="B457" s="34" t="s">
        <v>97</v>
      </c>
      <c r="C457" s="34" t="s">
        <v>44</v>
      </c>
      <c r="D457" s="34" t="s">
        <v>25</v>
      </c>
      <c r="E457" s="34">
        <v>0</v>
      </c>
      <c r="F457" s="34">
        <v>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Dashboard</vt:lpstr>
      <vt:lpstr>Produção</vt:lpstr>
      <vt:lpstr>Matriz</vt:lpstr>
      <vt:lpstr>Videos</vt:lpstr>
      <vt:lpstr>Periódicos</vt:lpstr>
      <vt:lpstr>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2026-08-14T04:17:40Z</dcterms:modified>
</cp:coreProperties>
</file>